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45646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45646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45646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45646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45646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45646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45646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45646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45646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45646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45646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45646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45646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45646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45646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45646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45646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45646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45646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45646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45646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45646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45646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45646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45646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45646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45646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45646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45646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44732-2019</t>
        </is>
      </c>
      <c r="B112" s="1" t="n">
        <v>43712</v>
      </c>
      <c r="C112" s="1" t="n">
        <v>45646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44732-2019 artfynd.xlsx", "A 44732-2019")</f>
        <v/>
      </c>
      <c r="T112">
        <f>HYPERLINK("https://klasma.github.io/Logging_2284/kartor/A 44732-2019 karta.png", "A 44732-2019")</f>
        <v/>
      </c>
      <c r="V112">
        <f>HYPERLINK("https://klasma.github.io/Logging_2284/klagomål/A 44732-2019 FSC-klagomål.docx", "A 44732-2019")</f>
        <v/>
      </c>
      <c r="W112">
        <f>HYPERLINK("https://klasma.github.io/Logging_2284/klagomålsmail/A 44732-2019 FSC-klagomål mail.docx", "A 44732-2019")</f>
        <v/>
      </c>
      <c r="X112">
        <f>HYPERLINK("https://klasma.github.io/Logging_2284/tillsyn/A 44732-2019 tillsynsbegäran.docx", "A 44732-2019")</f>
        <v/>
      </c>
      <c r="Y112">
        <f>HYPERLINK("https://klasma.github.io/Logging_2284/tillsynsmail/A 44732-2019 tillsynsbegäran mail.docx", "A 44732-2019")</f>
        <v/>
      </c>
    </row>
    <row r="113" ht="15" customHeight="1">
      <c r="A113" t="inlineStr">
        <is>
          <t>A 54148-2019</t>
        </is>
      </c>
      <c r="B113" s="1" t="n">
        <v>43753</v>
      </c>
      <c r="C113" s="1" t="n">
        <v>45646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54148-2019 artfynd.xlsx", "A 54148-2019")</f>
        <v/>
      </c>
      <c r="T113">
        <f>HYPERLINK("https://klasma.github.io/Logging_2284/kartor/A 54148-2019 karta.png", "A 54148-2019")</f>
        <v/>
      </c>
      <c r="V113">
        <f>HYPERLINK("https://klasma.github.io/Logging_2284/klagomål/A 54148-2019 FSC-klagomål.docx", "A 54148-2019")</f>
        <v/>
      </c>
      <c r="W113">
        <f>HYPERLINK("https://klasma.github.io/Logging_2284/klagomålsmail/A 54148-2019 FSC-klagomål mail.docx", "A 54148-2019")</f>
        <v/>
      </c>
      <c r="X113">
        <f>HYPERLINK("https://klasma.github.io/Logging_2284/tillsyn/A 54148-2019 tillsynsbegäran.docx", "A 54148-2019")</f>
        <v/>
      </c>
      <c r="Y113">
        <f>HYPERLINK("https://klasma.github.io/Logging_2284/tillsynsmail/A 54148-2019 tillsynsbegäran mail.docx", "A 54148-2019")</f>
        <v/>
      </c>
    </row>
    <row r="114" ht="15" customHeight="1">
      <c r="A114" t="inlineStr">
        <is>
          <t>A 55307-2019</t>
        </is>
      </c>
      <c r="B114" s="1" t="n">
        <v>43756</v>
      </c>
      <c r="C114" s="1" t="n">
        <v>45646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55307-2019 artfynd.xlsx", "A 55307-2019")</f>
        <v/>
      </c>
      <c r="T114">
        <f>HYPERLINK("https://klasma.github.io/Logging_2284/kartor/A 55307-2019 karta.png", "A 55307-2019")</f>
        <v/>
      </c>
      <c r="V114">
        <f>HYPERLINK("https://klasma.github.io/Logging_2284/klagomål/A 55307-2019 FSC-klagomål.docx", "A 55307-2019")</f>
        <v/>
      </c>
      <c r="W114">
        <f>HYPERLINK("https://klasma.github.io/Logging_2284/klagomålsmail/A 55307-2019 FSC-klagomål mail.docx", "A 55307-2019")</f>
        <v/>
      </c>
      <c r="X114">
        <f>HYPERLINK("https://klasma.github.io/Logging_2284/tillsyn/A 55307-2019 tillsynsbegäran.docx", "A 55307-2019")</f>
        <v/>
      </c>
      <c r="Y114">
        <f>HYPERLINK("https://klasma.github.io/Logging_2284/tillsynsmail/A 55307-2019 tillsynsbegäran mail.docx", "A 55307-2019")</f>
        <v/>
      </c>
      <c r="Z114">
        <f>HYPERLINK("https://klasma.github.io/Logging_2284/fåglar/A 55307-2019 prioriterade fågelarter.docx", "A 55307-2019")</f>
        <v/>
      </c>
    </row>
    <row r="115" ht="15" customHeight="1">
      <c r="A115" t="inlineStr">
        <is>
          <t>A 60489-2019</t>
        </is>
      </c>
      <c r="B115" s="1" t="n">
        <v>43780</v>
      </c>
      <c r="C115" s="1" t="n">
        <v>45646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60489-2019 artfynd.xlsx", "A 60489-2019")</f>
        <v/>
      </c>
      <c r="T115">
        <f>HYPERLINK("https://klasma.github.io/Logging_2284/kartor/A 60489-2019 karta.png", "A 60489-2019")</f>
        <v/>
      </c>
      <c r="V115">
        <f>HYPERLINK("https://klasma.github.io/Logging_2284/klagomål/A 60489-2019 FSC-klagomål.docx", "A 60489-2019")</f>
        <v/>
      </c>
      <c r="W115">
        <f>HYPERLINK("https://klasma.github.io/Logging_2284/klagomålsmail/A 60489-2019 FSC-klagomål mail.docx", "A 60489-2019")</f>
        <v/>
      </c>
      <c r="X115">
        <f>HYPERLINK("https://klasma.github.io/Logging_2284/tillsyn/A 60489-2019 tillsynsbegäran.docx", "A 60489-2019")</f>
        <v/>
      </c>
      <c r="Y115">
        <f>HYPERLINK("https://klasma.github.io/Logging_2284/tillsynsmail/A 60489-2019 tillsynsbegäran mail.docx", "A 60489-2019")</f>
        <v/>
      </c>
    </row>
    <row r="116" ht="15" customHeight="1">
      <c r="A116" t="inlineStr">
        <is>
          <t>A 1431-2020</t>
        </is>
      </c>
      <c r="B116" s="1" t="n">
        <v>43843</v>
      </c>
      <c r="C116" s="1" t="n">
        <v>45646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1431-2020 artfynd.xlsx", "A 1431-2020")</f>
        <v/>
      </c>
      <c r="T116">
        <f>HYPERLINK("https://klasma.github.io/Logging_2284/kartor/A 1431-2020 karta.png", "A 1431-2020")</f>
        <v/>
      </c>
      <c r="V116">
        <f>HYPERLINK("https://klasma.github.io/Logging_2284/klagomål/A 1431-2020 FSC-klagomål.docx", "A 1431-2020")</f>
        <v/>
      </c>
      <c r="W116">
        <f>HYPERLINK("https://klasma.github.io/Logging_2284/klagomålsmail/A 1431-2020 FSC-klagomål mail.docx", "A 1431-2020")</f>
        <v/>
      </c>
      <c r="X116">
        <f>HYPERLINK("https://klasma.github.io/Logging_2284/tillsyn/A 1431-2020 tillsynsbegäran.docx", "A 1431-2020")</f>
        <v/>
      </c>
      <c r="Y116">
        <f>HYPERLINK("https://klasma.github.io/Logging_2284/tillsynsmail/A 1431-2020 tillsynsbegäran mail.docx", "A 1431-2020")</f>
        <v/>
      </c>
    </row>
    <row r="117" ht="15" customHeight="1">
      <c r="A117" t="inlineStr">
        <is>
          <t>A 3905-2020</t>
        </is>
      </c>
      <c r="B117" s="1" t="n">
        <v>43854</v>
      </c>
      <c r="C117" s="1" t="n">
        <v>45646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3905-2020 artfynd.xlsx", "A 3905-2020")</f>
        <v/>
      </c>
      <c r="T117">
        <f>HYPERLINK("https://klasma.github.io/Logging_2284/kartor/A 3905-2020 karta.png", "A 3905-2020")</f>
        <v/>
      </c>
      <c r="V117">
        <f>HYPERLINK("https://klasma.github.io/Logging_2284/klagomål/A 3905-2020 FSC-klagomål.docx", "A 3905-2020")</f>
        <v/>
      </c>
      <c r="W117">
        <f>HYPERLINK("https://klasma.github.io/Logging_2284/klagomålsmail/A 3905-2020 FSC-klagomål mail.docx", "A 3905-2020")</f>
        <v/>
      </c>
      <c r="X117">
        <f>HYPERLINK("https://klasma.github.io/Logging_2284/tillsyn/A 3905-2020 tillsynsbegäran.docx", "A 3905-2020")</f>
        <v/>
      </c>
      <c r="Y117">
        <f>HYPERLINK("https://klasma.github.io/Logging_2284/tillsynsmail/A 3905-2020 tillsynsbegäran mail.docx", "A 3905-2020")</f>
        <v/>
      </c>
    </row>
    <row r="118" ht="15" customHeight="1">
      <c r="A118" t="inlineStr">
        <is>
          <t>A 35967-2020</t>
        </is>
      </c>
      <c r="B118" s="1" t="n">
        <v>44047</v>
      </c>
      <c r="C118" s="1" t="n">
        <v>45646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Liten myrlejonslända</t>
        </is>
      </c>
      <c r="S118">
        <f>HYPERLINK("https://klasma.github.io/Logging_2284/artfynd/A 35967-2020 artfynd.xlsx", "A 35967-2020")</f>
        <v/>
      </c>
      <c r="T118">
        <f>HYPERLINK("https://klasma.github.io/Logging_2284/kartor/A 35967-2020 karta.png", "A 35967-2020")</f>
        <v/>
      </c>
      <c r="V118">
        <f>HYPERLINK("https://klasma.github.io/Logging_2284/klagomål/A 35967-2020 FSC-klagomål.docx", "A 35967-2020")</f>
        <v/>
      </c>
      <c r="W118">
        <f>HYPERLINK("https://klasma.github.io/Logging_2284/klagomålsmail/A 35967-2020 FSC-klagomål mail.docx", "A 35967-2020")</f>
        <v/>
      </c>
      <c r="X118">
        <f>HYPERLINK("https://klasma.github.io/Logging_2284/tillsyn/A 35967-2020 tillsynsbegäran.docx", "A 35967-2020")</f>
        <v/>
      </c>
      <c r="Y118">
        <f>HYPERLINK("https://klasma.github.io/Logging_2284/tillsynsmail/A 35967-2020 tillsynsbegäran mail.docx", "A 35967-2020")</f>
        <v/>
      </c>
    </row>
    <row r="119" ht="15" customHeight="1">
      <c r="A119" t="inlineStr">
        <is>
          <t>A 41316-2020</t>
        </is>
      </c>
      <c r="B119" s="1" t="n">
        <v>44069</v>
      </c>
      <c r="C119" s="1" t="n">
        <v>45646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Kyrkan</t>
        </is>
      </c>
      <c r="G119" t="n">
        <v>12.3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Skarp dropptaggsvamp</t>
        </is>
      </c>
      <c r="S119">
        <f>HYPERLINK("https://klasma.github.io/Logging_2284/artfynd/A 41316-2020 artfynd.xlsx", "A 41316-2020")</f>
        <v/>
      </c>
      <c r="T119">
        <f>HYPERLINK("https://klasma.github.io/Logging_2284/kartor/A 41316-2020 karta.png", "A 41316-2020")</f>
        <v/>
      </c>
      <c r="V119">
        <f>HYPERLINK("https://klasma.github.io/Logging_2284/klagomål/A 41316-2020 FSC-klagomål.docx", "A 41316-2020")</f>
        <v/>
      </c>
      <c r="W119">
        <f>HYPERLINK("https://klasma.github.io/Logging_2284/klagomålsmail/A 41316-2020 FSC-klagomål mail.docx", "A 41316-2020")</f>
        <v/>
      </c>
      <c r="X119">
        <f>HYPERLINK("https://klasma.github.io/Logging_2284/tillsyn/A 41316-2020 tillsynsbegäran.docx", "A 41316-2020")</f>
        <v/>
      </c>
      <c r="Y119">
        <f>HYPERLINK("https://klasma.github.io/Logging_2284/tillsynsmail/A 41316-2020 tillsynsbegäran mail.docx", "A 41316-2020")</f>
        <v/>
      </c>
    </row>
    <row r="120" ht="15" customHeight="1">
      <c r="A120" t="inlineStr">
        <is>
          <t>A 62020-2020</t>
        </is>
      </c>
      <c r="B120" s="1" t="n">
        <v>44159</v>
      </c>
      <c r="C120" s="1" t="n">
        <v>45646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62020-2020 artfynd.xlsx", "A 62020-2020")</f>
        <v/>
      </c>
      <c r="T120">
        <f>HYPERLINK("https://klasma.github.io/Logging_2284/kartor/A 62020-2020 karta.png", "A 62020-2020")</f>
        <v/>
      </c>
      <c r="V120">
        <f>HYPERLINK("https://klasma.github.io/Logging_2284/klagomål/A 62020-2020 FSC-klagomål.docx", "A 62020-2020")</f>
        <v/>
      </c>
      <c r="W120">
        <f>HYPERLINK("https://klasma.github.io/Logging_2284/klagomålsmail/A 62020-2020 FSC-klagomål mail.docx", "A 62020-2020")</f>
        <v/>
      </c>
      <c r="X120">
        <f>HYPERLINK("https://klasma.github.io/Logging_2284/tillsyn/A 62020-2020 tillsynsbegäran.docx", "A 62020-2020")</f>
        <v/>
      </c>
      <c r="Y120">
        <f>HYPERLINK("https://klasma.github.io/Logging_2284/tillsynsmail/A 62020-2020 tillsynsbegäran mail.docx", "A 62020-2020")</f>
        <v/>
      </c>
    </row>
    <row r="121" ht="15" customHeight="1">
      <c r="A121" t="inlineStr">
        <is>
          <t>A 64596-2020</t>
        </is>
      </c>
      <c r="B121" s="1" t="n">
        <v>44169</v>
      </c>
      <c r="C121" s="1" t="n">
        <v>45646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64596-2020 artfynd.xlsx", "A 64596-2020")</f>
        <v/>
      </c>
      <c r="T121">
        <f>HYPERLINK("https://klasma.github.io/Logging_2284/kartor/A 64596-2020 karta.png", "A 64596-2020")</f>
        <v/>
      </c>
      <c r="V121">
        <f>HYPERLINK("https://klasma.github.io/Logging_2284/klagomål/A 64596-2020 FSC-klagomål.docx", "A 64596-2020")</f>
        <v/>
      </c>
      <c r="W121">
        <f>HYPERLINK("https://klasma.github.io/Logging_2284/klagomålsmail/A 64596-2020 FSC-klagomål mail.docx", "A 64596-2020")</f>
        <v/>
      </c>
      <c r="X121">
        <f>HYPERLINK("https://klasma.github.io/Logging_2284/tillsyn/A 64596-2020 tillsynsbegäran.docx", "A 64596-2020")</f>
        <v/>
      </c>
      <c r="Y121">
        <f>HYPERLINK("https://klasma.github.io/Logging_2284/tillsynsmail/A 64596-2020 tillsynsbegäran mail.docx", "A 64596-2020")</f>
        <v/>
      </c>
    </row>
    <row r="122" ht="15" customHeight="1">
      <c r="A122" t="inlineStr">
        <is>
          <t>A 5452-2021</t>
        </is>
      </c>
      <c r="B122" s="1" t="n">
        <v>44229</v>
      </c>
      <c r="C122" s="1" t="n">
        <v>45646</v>
      </c>
      <c r="D122" t="inlineStr">
        <is>
          <t>VÄSTERNORRLANDS LÄN</t>
        </is>
      </c>
      <c r="E122" t="inlineStr">
        <is>
          <t>ÖRNSKÖLDSVIK</t>
        </is>
      </c>
      <c r="G122" t="n">
        <v>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Vedticka</t>
        </is>
      </c>
      <c r="S122">
        <f>HYPERLINK("https://klasma.github.io/Logging_2284/artfynd/A 5452-2021 artfynd.xlsx", "A 5452-2021")</f>
        <v/>
      </c>
      <c r="T122">
        <f>HYPERLINK("https://klasma.github.io/Logging_2284/kartor/A 5452-2021 karta.png", "A 5452-2021")</f>
        <v/>
      </c>
      <c r="V122">
        <f>HYPERLINK("https://klasma.github.io/Logging_2284/klagomål/A 5452-2021 FSC-klagomål.docx", "A 5452-2021")</f>
        <v/>
      </c>
      <c r="W122">
        <f>HYPERLINK("https://klasma.github.io/Logging_2284/klagomålsmail/A 5452-2021 FSC-klagomål mail.docx", "A 5452-2021")</f>
        <v/>
      </c>
      <c r="X122">
        <f>HYPERLINK("https://klasma.github.io/Logging_2284/tillsyn/A 5452-2021 tillsynsbegäran.docx", "A 5452-2021")</f>
        <v/>
      </c>
      <c r="Y122">
        <f>HYPERLINK("https://klasma.github.io/Logging_2284/tillsynsmail/A 5452-2021 tillsynsbegäran mail.docx", "A 5452-2021")</f>
        <v/>
      </c>
    </row>
    <row r="123" ht="15" customHeight="1">
      <c r="A123" t="inlineStr">
        <is>
          <t>A 10006-2021</t>
        </is>
      </c>
      <c r="B123" s="1" t="n">
        <v>44255</v>
      </c>
      <c r="C123" s="1" t="n">
        <v>45646</v>
      </c>
      <c r="D123" t="inlineStr">
        <is>
          <t>VÄSTERNORRLANDS LÄN</t>
        </is>
      </c>
      <c r="E123" t="inlineStr">
        <is>
          <t>ÖRNSKÖLDSVIK</t>
        </is>
      </c>
      <c r="G123" t="n">
        <v>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10006-2021 artfynd.xlsx", "A 10006-2021")</f>
        <v/>
      </c>
      <c r="T123">
        <f>HYPERLINK("https://klasma.github.io/Logging_2284/kartor/A 10006-2021 karta.png", "A 10006-2021")</f>
        <v/>
      </c>
      <c r="U123">
        <f>HYPERLINK("https://klasma.github.io/Logging_2284/knärot/A 10006-2021 karta knärot.png", "A 10006-2021")</f>
        <v/>
      </c>
      <c r="V123">
        <f>HYPERLINK("https://klasma.github.io/Logging_2284/klagomål/A 10006-2021 FSC-klagomål.docx", "A 10006-2021")</f>
        <v/>
      </c>
      <c r="W123">
        <f>HYPERLINK("https://klasma.github.io/Logging_2284/klagomålsmail/A 10006-2021 FSC-klagomål mail.docx", "A 10006-2021")</f>
        <v/>
      </c>
      <c r="X123">
        <f>HYPERLINK("https://klasma.github.io/Logging_2284/tillsyn/A 10006-2021 tillsynsbegäran.docx", "A 10006-2021")</f>
        <v/>
      </c>
      <c r="Y123">
        <f>HYPERLINK("https://klasma.github.io/Logging_2284/tillsynsmail/A 10006-2021 tillsynsbegäran mail.docx", "A 10006-2021")</f>
        <v/>
      </c>
    </row>
    <row r="124" ht="15" customHeight="1">
      <c r="A124" t="inlineStr">
        <is>
          <t>A 10628-2021</t>
        </is>
      </c>
      <c r="B124" s="1" t="n">
        <v>44258</v>
      </c>
      <c r="C124" s="1" t="n">
        <v>45646</v>
      </c>
      <c r="D124" t="inlineStr">
        <is>
          <t>VÄSTERNORRLANDS LÄN</t>
        </is>
      </c>
      <c r="E124" t="inlineStr">
        <is>
          <t>ÖRNSKÖLDSVIK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Orre</t>
        </is>
      </c>
      <c r="S124">
        <f>HYPERLINK("https://klasma.github.io/Logging_2284/artfynd/A 10628-2021 artfynd.xlsx", "A 10628-2021")</f>
        <v/>
      </c>
      <c r="T124">
        <f>HYPERLINK("https://klasma.github.io/Logging_2284/kartor/A 10628-2021 karta.png", "A 10628-2021")</f>
        <v/>
      </c>
      <c r="V124">
        <f>HYPERLINK("https://klasma.github.io/Logging_2284/klagomål/A 10628-2021 FSC-klagomål.docx", "A 10628-2021")</f>
        <v/>
      </c>
      <c r="W124">
        <f>HYPERLINK("https://klasma.github.io/Logging_2284/klagomålsmail/A 10628-2021 FSC-klagomål mail.docx", "A 10628-2021")</f>
        <v/>
      </c>
      <c r="X124">
        <f>HYPERLINK("https://klasma.github.io/Logging_2284/tillsyn/A 10628-2021 tillsynsbegäran.docx", "A 10628-2021")</f>
        <v/>
      </c>
      <c r="Y124">
        <f>HYPERLINK("https://klasma.github.io/Logging_2284/tillsynsmail/A 10628-2021 tillsynsbegäran mail.docx", "A 10628-2021")</f>
        <v/>
      </c>
      <c r="Z124">
        <f>HYPERLINK("https://klasma.github.io/Logging_2284/fåglar/A 10628-2021 prioriterade fågelarter.docx", "A 10628-2021")</f>
        <v/>
      </c>
    </row>
    <row r="125" ht="15" customHeight="1">
      <c r="A125" t="inlineStr">
        <is>
          <t>A 23217-2021</t>
        </is>
      </c>
      <c r="B125" s="1" t="n">
        <v>44333</v>
      </c>
      <c r="C125" s="1" t="n">
        <v>45646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23217-2021 artfynd.xlsx", "A 23217-2021")</f>
        <v/>
      </c>
      <c r="T125">
        <f>HYPERLINK("https://klasma.github.io/Logging_2284/kartor/A 23217-2021 karta.png", "A 23217-2021")</f>
        <v/>
      </c>
      <c r="V125">
        <f>HYPERLINK("https://klasma.github.io/Logging_2284/klagomål/A 23217-2021 FSC-klagomål.docx", "A 23217-2021")</f>
        <v/>
      </c>
      <c r="W125">
        <f>HYPERLINK("https://klasma.github.io/Logging_2284/klagomålsmail/A 23217-2021 FSC-klagomål mail.docx", "A 23217-2021")</f>
        <v/>
      </c>
      <c r="X125">
        <f>HYPERLINK("https://klasma.github.io/Logging_2284/tillsyn/A 23217-2021 tillsynsbegäran.docx", "A 23217-2021")</f>
        <v/>
      </c>
      <c r="Y125">
        <f>HYPERLINK("https://klasma.github.io/Logging_2284/tillsynsmail/A 23217-2021 tillsynsbegäran mail.docx", "A 23217-2021")</f>
        <v/>
      </c>
    </row>
    <row r="126" ht="15" customHeight="1">
      <c r="A126" t="inlineStr">
        <is>
          <t>A 25455-2021</t>
        </is>
      </c>
      <c r="B126" s="1" t="n">
        <v>44342</v>
      </c>
      <c r="C126" s="1" t="n">
        <v>45646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25455-2021 artfynd.xlsx", "A 25455-2021")</f>
        <v/>
      </c>
      <c r="T126">
        <f>HYPERLINK("https://klasma.github.io/Logging_2284/kartor/A 25455-2021 karta.png", "A 25455-2021")</f>
        <v/>
      </c>
      <c r="V126">
        <f>HYPERLINK("https://klasma.github.io/Logging_2284/klagomål/A 25455-2021 FSC-klagomål.docx", "A 25455-2021")</f>
        <v/>
      </c>
      <c r="W126">
        <f>HYPERLINK("https://klasma.github.io/Logging_2284/klagomålsmail/A 25455-2021 FSC-klagomål mail.docx", "A 25455-2021")</f>
        <v/>
      </c>
      <c r="X126">
        <f>HYPERLINK("https://klasma.github.io/Logging_2284/tillsyn/A 25455-2021 tillsynsbegäran.docx", "A 25455-2021")</f>
        <v/>
      </c>
      <c r="Y126">
        <f>HYPERLINK("https://klasma.github.io/Logging_2284/tillsynsmail/A 25455-2021 tillsynsbegäran mail.docx", "A 25455-2021")</f>
        <v/>
      </c>
    </row>
    <row r="127" ht="15" customHeight="1">
      <c r="A127" t="inlineStr">
        <is>
          <t>A 45551-2021</t>
        </is>
      </c>
      <c r="B127" s="1" t="n">
        <v>44440</v>
      </c>
      <c r="C127" s="1" t="n">
        <v>45646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8.9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45551-2021 artfynd.xlsx", "A 45551-2021")</f>
        <v/>
      </c>
      <c r="T127">
        <f>HYPERLINK("https://klasma.github.io/Logging_2284/kartor/A 45551-2021 karta.png", "A 45551-2021")</f>
        <v/>
      </c>
      <c r="V127">
        <f>HYPERLINK("https://klasma.github.io/Logging_2284/klagomål/A 45551-2021 FSC-klagomål.docx", "A 45551-2021")</f>
        <v/>
      </c>
      <c r="W127">
        <f>HYPERLINK("https://klasma.github.io/Logging_2284/klagomålsmail/A 45551-2021 FSC-klagomål mail.docx", "A 45551-2021")</f>
        <v/>
      </c>
      <c r="X127">
        <f>HYPERLINK("https://klasma.github.io/Logging_2284/tillsyn/A 45551-2021 tillsynsbegäran.docx", "A 45551-2021")</f>
        <v/>
      </c>
      <c r="Y127">
        <f>HYPERLINK("https://klasma.github.io/Logging_2284/tillsynsmail/A 45551-2021 tillsynsbegäran mail.docx", "A 45551-2021")</f>
        <v/>
      </c>
    </row>
    <row r="128" ht="15" customHeight="1">
      <c r="A128" t="inlineStr">
        <is>
          <t>A 58162-2021</t>
        </is>
      </c>
      <c r="B128" s="1" t="n">
        <v>44487</v>
      </c>
      <c r="C128" s="1" t="n">
        <v>45646</v>
      </c>
      <c r="D128" t="inlineStr">
        <is>
          <t>VÄSTERNORRLANDS LÄN</t>
        </is>
      </c>
      <c r="E128" t="inlineStr">
        <is>
          <t>ÖRNSKÖLDSVIK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Knottblomster</t>
        </is>
      </c>
      <c r="S128">
        <f>HYPERLINK("https://klasma.github.io/Logging_2284/artfynd/A 58162-2021 artfynd.xlsx", "A 58162-2021")</f>
        <v/>
      </c>
      <c r="T128">
        <f>HYPERLINK("https://klasma.github.io/Logging_2284/kartor/A 58162-2021 karta.png", "A 58162-2021")</f>
        <v/>
      </c>
      <c r="V128">
        <f>HYPERLINK("https://klasma.github.io/Logging_2284/klagomål/A 58162-2021 FSC-klagomål.docx", "A 58162-2021")</f>
        <v/>
      </c>
      <c r="W128">
        <f>HYPERLINK("https://klasma.github.io/Logging_2284/klagomålsmail/A 58162-2021 FSC-klagomål mail.docx", "A 58162-2021")</f>
        <v/>
      </c>
      <c r="X128">
        <f>HYPERLINK("https://klasma.github.io/Logging_2284/tillsyn/A 58162-2021 tillsynsbegäran.docx", "A 58162-2021")</f>
        <v/>
      </c>
      <c r="Y128">
        <f>HYPERLINK("https://klasma.github.io/Logging_2284/tillsynsmail/A 58162-2021 tillsynsbegäran mail.docx", "A 58162-2021")</f>
        <v/>
      </c>
    </row>
    <row r="129" ht="15" customHeight="1">
      <c r="A129" t="inlineStr">
        <is>
          <t>A 58147-2021</t>
        </is>
      </c>
      <c r="B129" s="1" t="n">
        <v>44487</v>
      </c>
      <c r="C129" s="1" t="n">
        <v>45646</v>
      </c>
      <c r="D129" t="inlineStr">
        <is>
          <t>VÄSTERNORRLANDS LÄN</t>
        </is>
      </c>
      <c r="E129" t="inlineStr">
        <is>
          <t>ÖRNSKÖLDSVIK</t>
        </is>
      </c>
      <c r="G129" t="n">
        <v>6.4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58147-2021 artfynd.xlsx", "A 58147-2021")</f>
        <v/>
      </c>
      <c r="T129">
        <f>HYPERLINK("https://klasma.github.io/Logging_2284/kartor/A 58147-2021 karta.png", "A 58147-2021")</f>
        <v/>
      </c>
      <c r="V129">
        <f>HYPERLINK("https://klasma.github.io/Logging_2284/klagomål/A 58147-2021 FSC-klagomål.docx", "A 58147-2021")</f>
        <v/>
      </c>
      <c r="W129">
        <f>HYPERLINK("https://klasma.github.io/Logging_2284/klagomålsmail/A 58147-2021 FSC-klagomål mail.docx", "A 58147-2021")</f>
        <v/>
      </c>
      <c r="X129">
        <f>HYPERLINK("https://klasma.github.io/Logging_2284/tillsyn/A 58147-2021 tillsynsbegäran.docx", "A 58147-2021")</f>
        <v/>
      </c>
      <c r="Y129">
        <f>HYPERLINK("https://klasma.github.io/Logging_2284/tillsynsmail/A 58147-2021 tillsynsbegäran mail.docx", "A 58147-2021")</f>
        <v/>
      </c>
    </row>
    <row r="130" ht="15" customHeight="1">
      <c r="A130" t="inlineStr">
        <is>
          <t>A 60137-2021</t>
        </is>
      </c>
      <c r="B130" s="1" t="n">
        <v>44494</v>
      </c>
      <c r="C130" s="1" t="n">
        <v>45646</v>
      </c>
      <c r="D130" t="inlineStr">
        <is>
          <t>VÄSTERNORRLANDS LÄN</t>
        </is>
      </c>
      <c r="E130" t="inlineStr">
        <is>
          <t>ÖRNSKÖLDSVIK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Harticka</t>
        </is>
      </c>
      <c r="S130">
        <f>HYPERLINK("https://klasma.github.io/Logging_2284/artfynd/A 60137-2021 artfynd.xlsx", "A 60137-2021")</f>
        <v/>
      </c>
      <c r="T130">
        <f>HYPERLINK("https://klasma.github.io/Logging_2284/kartor/A 60137-2021 karta.png", "A 60137-2021")</f>
        <v/>
      </c>
      <c r="V130">
        <f>HYPERLINK("https://klasma.github.io/Logging_2284/klagomål/A 60137-2021 FSC-klagomål.docx", "A 60137-2021")</f>
        <v/>
      </c>
      <c r="W130">
        <f>HYPERLINK("https://klasma.github.io/Logging_2284/klagomålsmail/A 60137-2021 FSC-klagomål mail.docx", "A 60137-2021")</f>
        <v/>
      </c>
      <c r="X130">
        <f>HYPERLINK("https://klasma.github.io/Logging_2284/tillsyn/A 60137-2021 tillsynsbegäran.docx", "A 60137-2021")</f>
        <v/>
      </c>
      <c r="Y130">
        <f>HYPERLINK("https://klasma.github.io/Logging_2284/tillsynsmail/A 60137-2021 tillsynsbegäran mail.docx", "A 60137-2021")</f>
        <v/>
      </c>
    </row>
    <row r="131" ht="15" customHeight="1">
      <c r="A131" t="inlineStr">
        <is>
          <t>A 66531-2021</t>
        </is>
      </c>
      <c r="B131" s="1" t="n">
        <v>44518</v>
      </c>
      <c r="C131" s="1" t="n">
        <v>45646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Nattviol</t>
        </is>
      </c>
      <c r="S131">
        <f>HYPERLINK("https://klasma.github.io/Logging_2284/artfynd/A 66531-2021 artfynd.xlsx", "A 66531-2021")</f>
        <v/>
      </c>
      <c r="T131">
        <f>HYPERLINK("https://klasma.github.io/Logging_2284/kartor/A 66531-2021 karta.png", "A 66531-2021")</f>
        <v/>
      </c>
      <c r="V131">
        <f>HYPERLINK("https://klasma.github.io/Logging_2284/klagomål/A 66531-2021 FSC-klagomål.docx", "A 66531-2021")</f>
        <v/>
      </c>
      <c r="W131">
        <f>HYPERLINK("https://klasma.github.io/Logging_2284/klagomålsmail/A 66531-2021 FSC-klagomål mail.docx", "A 66531-2021")</f>
        <v/>
      </c>
      <c r="X131">
        <f>HYPERLINK("https://klasma.github.io/Logging_2284/tillsyn/A 66531-2021 tillsynsbegäran.docx", "A 66531-2021")</f>
        <v/>
      </c>
      <c r="Y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67492-2021</t>
        </is>
      </c>
      <c r="B132" s="1" t="n">
        <v>44524</v>
      </c>
      <c r="C132" s="1" t="n">
        <v>45646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67492-2021 artfynd.xlsx", "A 67492-2021")</f>
        <v/>
      </c>
      <c r="T132">
        <f>HYPERLINK("https://klasma.github.io/Logging_2284/kartor/A 67492-2021 karta.png", "A 67492-2021")</f>
        <v/>
      </c>
      <c r="V132">
        <f>HYPERLINK("https://klasma.github.io/Logging_2284/klagomål/A 67492-2021 FSC-klagomål.docx", "A 67492-2021")</f>
        <v/>
      </c>
      <c r="W132">
        <f>HYPERLINK("https://klasma.github.io/Logging_2284/klagomålsmail/A 67492-2021 FSC-klagomål mail.docx", "A 67492-2021")</f>
        <v/>
      </c>
      <c r="X132">
        <f>HYPERLINK("https://klasma.github.io/Logging_2284/tillsyn/A 67492-2021 tillsynsbegäran.docx", "A 67492-2021")</f>
        <v/>
      </c>
      <c r="Y132">
        <f>HYPERLINK("https://klasma.github.io/Logging_2284/tillsynsmail/A 67492-2021 tillsynsbegäran mail.docx", "A 67492-2021")</f>
        <v/>
      </c>
    </row>
    <row r="133" ht="15" customHeight="1">
      <c r="A133" t="inlineStr">
        <is>
          <t>A 23088-2022</t>
        </is>
      </c>
      <c r="B133" s="1" t="n">
        <v>44719</v>
      </c>
      <c r="C133" s="1" t="n">
        <v>45646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23088-2022 artfynd.xlsx", "A 23088-2022")</f>
        <v/>
      </c>
      <c r="T133">
        <f>HYPERLINK("https://klasma.github.io/Logging_2284/kartor/A 23088-2022 karta.png", "A 23088-2022")</f>
        <v/>
      </c>
      <c r="V133">
        <f>HYPERLINK("https://klasma.github.io/Logging_2284/klagomål/A 23088-2022 FSC-klagomål.docx", "A 23088-2022")</f>
        <v/>
      </c>
      <c r="W133">
        <f>HYPERLINK("https://klasma.github.io/Logging_2284/klagomålsmail/A 23088-2022 FSC-klagomål mail.docx", "A 23088-2022")</f>
        <v/>
      </c>
      <c r="X133">
        <f>HYPERLINK("https://klasma.github.io/Logging_2284/tillsyn/A 23088-2022 tillsynsbegäran.docx", "A 23088-2022")</f>
        <v/>
      </c>
      <c r="Y133">
        <f>HYPERLINK("https://klasma.github.io/Logging_2284/tillsynsmail/A 23088-2022 tillsynsbegäran mail.docx", "A 23088-2022")</f>
        <v/>
      </c>
    </row>
    <row r="134" ht="15" customHeight="1">
      <c r="A134" t="inlineStr">
        <is>
          <t>A 32122-2022</t>
        </is>
      </c>
      <c r="B134" s="1" t="n">
        <v>44778</v>
      </c>
      <c r="C134" s="1" t="n">
        <v>45646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Kattfotslav</t>
        </is>
      </c>
      <c r="S134">
        <f>HYPERLINK("https://klasma.github.io/Logging_2284/artfynd/A 32122-2022 artfynd.xlsx", "A 32122-2022")</f>
        <v/>
      </c>
      <c r="T134">
        <f>HYPERLINK("https://klasma.github.io/Logging_2284/kartor/A 32122-2022 karta.png", "A 32122-2022")</f>
        <v/>
      </c>
      <c r="V134">
        <f>HYPERLINK("https://klasma.github.io/Logging_2284/klagomål/A 32122-2022 FSC-klagomål.docx", "A 32122-2022")</f>
        <v/>
      </c>
      <c r="W134">
        <f>HYPERLINK("https://klasma.github.io/Logging_2284/klagomålsmail/A 32122-2022 FSC-klagomål mail.docx", "A 32122-2022")</f>
        <v/>
      </c>
      <c r="X134">
        <f>HYPERLINK("https://klasma.github.io/Logging_2284/tillsyn/A 32122-2022 tillsynsbegäran.docx", "A 32122-2022")</f>
        <v/>
      </c>
      <c r="Y134">
        <f>HYPERLINK("https://klasma.github.io/Logging_2284/tillsynsmail/A 32122-2022 tillsynsbegäran mail.docx", "A 32122-2022")</f>
        <v/>
      </c>
    </row>
    <row r="135" ht="15" customHeight="1">
      <c r="A135" t="inlineStr">
        <is>
          <t>A 40636-2022</t>
        </is>
      </c>
      <c r="B135" s="1" t="n">
        <v>44824</v>
      </c>
      <c r="C135" s="1" t="n">
        <v>45646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HYPERLINK("https://klasma.github.io/Logging_2284/artfynd/A 40636-2022 artfynd.xlsx", "A 40636-2022")</f>
        <v/>
      </c>
      <c r="T135">
        <f>HYPERLINK("https://klasma.github.io/Logging_2284/kartor/A 40636-2022 karta.png", "A 40636-2022")</f>
        <v/>
      </c>
      <c r="V135">
        <f>HYPERLINK("https://klasma.github.io/Logging_2284/klagomål/A 40636-2022 FSC-klagomål.docx", "A 40636-2022")</f>
        <v/>
      </c>
      <c r="W135">
        <f>HYPERLINK("https://klasma.github.io/Logging_2284/klagomålsmail/A 40636-2022 FSC-klagomål mail.docx", "A 40636-2022")</f>
        <v/>
      </c>
      <c r="X135">
        <f>HYPERLINK("https://klasma.github.io/Logging_2284/tillsyn/A 40636-2022 tillsynsbegäran.docx", "A 40636-2022")</f>
        <v/>
      </c>
      <c r="Y135">
        <f>HYPERLINK("https://klasma.github.io/Logging_2284/tillsynsmail/A 40636-2022 tillsynsbegäran mail.docx", "A 40636-2022")</f>
        <v/>
      </c>
    </row>
    <row r="136" ht="15" customHeight="1">
      <c r="A136" t="inlineStr">
        <is>
          <t>A 41184-2022</t>
        </is>
      </c>
      <c r="B136" s="1" t="n">
        <v>44825</v>
      </c>
      <c r="C136" s="1" t="n">
        <v>45646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41184-2022 artfynd.xlsx", "A 41184-2022")</f>
        <v/>
      </c>
      <c r="T136">
        <f>HYPERLINK("https://klasma.github.io/Logging_2284/kartor/A 41184-2022 karta.png", "A 41184-2022")</f>
        <v/>
      </c>
      <c r="V136">
        <f>HYPERLINK("https://klasma.github.io/Logging_2284/klagomål/A 41184-2022 FSC-klagomål.docx", "A 41184-2022")</f>
        <v/>
      </c>
      <c r="W136">
        <f>HYPERLINK("https://klasma.github.io/Logging_2284/klagomålsmail/A 41184-2022 FSC-klagomål mail.docx", "A 41184-2022")</f>
        <v/>
      </c>
      <c r="X136">
        <f>HYPERLINK("https://klasma.github.io/Logging_2284/tillsyn/A 41184-2022 tillsynsbegäran.docx", "A 41184-2022")</f>
        <v/>
      </c>
      <c r="Y136">
        <f>HYPERLINK("https://klasma.github.io/Logging_2284/tillsynsmail/A 41184-2022 tillsynsbegäran mail.docx", "A 41184-2022")</f>
        <v/>
      </c>
    </row>
    <row r="137" ht="15" customHeight="1">
      <c r="A137" t="inlineStr">
        <is>
          <t>A 47067-2022</t>
        </is>
      </c>
      <c r="B137" s="1" t="n">
        <v>44852</v>
      </c>
      <c r="C137" s="1" t="n">
        <v>45646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47067-2022 artfynd.xlsx", "A 47067-2022")</f>
        <v/>
      </c>
      <c r="T137">
        <f>HYPERLINK("https://klasma.github.io/Logging_2284/kartor/A 47067-2022 karta.png", "A 47067-2022")</f>
        <v/>
      </c>
      <c r="V137">
        <f>HYPERLINK("https://klasma.github.io/Logging_2284/klagomål/A 47067-2022 FSC-klagomål.docx", "A 47067-2022")</f>
        <v/>
      </c>
      <c r="W137">
        <f>HYPERLINK("https://klasma.github.io/Logging_2284/klagomålsmail/A 47067-2022 FSC-klagomål mail.docx", "A 47067-2022")</f>
        <v/>
      </c>
      <c r="X137">
        <f>HYPERLINK("https://klasma.github.io/Logging_2284/tillsyn/A 47067-2022 tillsynsbegäran.docx", "A 47067-2022")</f>
        <v/>
      </c>
      <c r="Y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51183-2022</t>
        </is>
      </c>
      <c r="B138" s="1" t="n">
        <v>44868</v>
      </c>
      <c r="C138" s="1" t="n">
        <v>45646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6.4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51183-2022 artfynd.xlsx", "A 51183-2022")</f>
        <v/>
      </c>
      <c r="T138">
        <f>HYPERLINK("https://klasma.github.io/Logging_2284/kartor/A 51183-2022 karta.png", "A 51183-2022")</f>
        <v/>
      </c>
      <c r="V138">
        <f>HYPERLINK("https://klasma.github.io/Logging_2284/klagomål/A 51183-2022 FSC-klagomål.docx", "A 51183-2022")</f>
        <v/>
      </c>
      <c r="W138">
        <f>HYPERLINK("https://klasma.github.io/Logging_2284/klagomålsmail/A 51183-2022 FSC-klagomål mail.docx", "A 51183-2022")</f>
        <v/>
      </c>
      <c r="X138">
        <f>HYPERLINK("https://klasma.github.io/Logging_2284/tillsyn/A 51183-2022 tillsynsbegäran.docx", "A 51183-2022")</f>
        <v/>
      </c>
      <c r="Y138">
        <f>HYPERLINK("https://klasma.github.io/Logging_2284/tillsynsmail/A 51183-2022 tillsynsbegäran mail.docx", "A 51183-2022")</f>
        <v/>
      </c>
    </row>
    <row r="139" ht="15" customHeight="1">
      <c r="A139" t="inlineStr">
        <is>
          <t>A 52575-2022</t>
        </is>
      </c>
      <c r="B139" s="1" t="n">
        <v>44874</v>
      </c>
      <c r="C139" s="1" t="n">
        <v>45646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52575-2022 artfynd.xlsx", "A 52575-2022")</f>
        <v/>
      </c>
      <c r="T139">
        <f>HYPERLINK("https://klasma.github.io/Logging_2284/kartor/A 52575-2022 karta.png", "A 52575-2022")</f>
        <v/>
      </c>
      <c r="V139">
        <f>HYPERLINK("https://klasma.github.io/Logging_2284/klagomål/A 52575-2022 FSC-klagomål.docx", "A 52575-2022")</f>
        <v/>
      </c>
      <c r="W139">
        <f>HYPERLINK("https://klasma.github.io/Logging_2284/klagomålsmail/A 52575-2022 FSC-klagomål mail.docx", "A 52575-2022")</f>
        <v/>
      </c>
      <c r="X139">
        <f>HYPERLINK("https://klasma.github.io/Logging_2284/tillsyn/A 52575-2022 tillsynsbegäran.docx", "A 52575-2022")</f>
        <v/>
      </c>
      <c r="Y139">
        <f>HYPERLINK("https://klasma.github.io/Logging_2284/tillsynsmail/A 52575-2022 tillsynsbegäran mail.docx", "A 52575-2022")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45646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45646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45646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45646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45646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45646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45646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45646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45646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45646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45646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45646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45646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45646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45646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45646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45646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45646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45646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45646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45646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45646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45646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45646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45646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45646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45646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45646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45646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45646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45646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45646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45646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45646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45646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45646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45646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45646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45646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45646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45646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45646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45646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45646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45646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45646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45646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45646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45646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45646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45646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45646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45646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45646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45646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45646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45646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45646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45646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45646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45646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45646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45646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45646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45646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45646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45646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45646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45646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45646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45646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45646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45646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45646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45646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45646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45646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45646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45646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45646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45646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45646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45646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45646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45646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45646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45646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45646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45646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45646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45646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45646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45646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45646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45646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45646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45646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45646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45646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45646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45646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45646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45646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45646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45646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45646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45646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45646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45646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45646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45646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45646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45646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45646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45646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45646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45646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45646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45646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45646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45646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45646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45646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45646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45646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45646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45646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45646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45646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45646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45646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45646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45646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45646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45646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45646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45646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45646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45646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45646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45646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45646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45646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45646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45646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45646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45646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45646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45646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45646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45646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45646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45646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45646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45646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45646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45646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45646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45646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45646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45646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45646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45646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45646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45646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45646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45646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45646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45646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45646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45646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45646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45646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45646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45646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45646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45646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45646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45646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45646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45646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45646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45646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45646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45646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45646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45646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45646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45646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45646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45646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45646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45646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45646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45646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45646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45646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45646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45646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45646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45646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45646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45646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45646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45646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45646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45646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45646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45646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45646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45646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45646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45646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45646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45646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45646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45646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45646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45646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45646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45646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45646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45646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45646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45646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45646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45646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45646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45646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45646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45646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45646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45646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45646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45646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45646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45646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45646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45646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45646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45646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45646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45646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45646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45646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45646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45646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45646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45646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45646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45646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45646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45646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45646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45646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45646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45646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45646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45646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45646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45646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45646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45646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45646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45646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45646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45646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45646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45646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45646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45646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45646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45646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45646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45646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45646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45646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45646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45646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45646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45646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45646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45646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45646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45646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45646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45646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45646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45646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45646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45646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45646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45646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45646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45646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45646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45646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45646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45646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45646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45646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45646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45646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45646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45646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45646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45646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45646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45646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45646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45646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45646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45646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45646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45646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45646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45646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45646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45646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45646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45646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45646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45646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45646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45646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45646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45646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45646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45646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45646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45646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45646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45646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45646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45646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45646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45646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45646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45646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45646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45646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45646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45646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45646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45646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45646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45646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45646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45646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45646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45646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45646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45646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45646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45646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45646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45646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45646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45646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45646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45646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45646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45646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45646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45646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45646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45646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45646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45646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45646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45646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45646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45646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45646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45646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45646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45646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45646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45646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45646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45646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45646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45646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45646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45646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45646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45646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45646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45646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45646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45646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45646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45646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45646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45646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45646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45646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45646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45646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45646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45646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45646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45646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45646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45646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45646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45646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45646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45646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45646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45646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45646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45646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45646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45646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45646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45646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45646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45646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45646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45646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45646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45646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45646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45646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45646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45646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45646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45646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45646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45646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45646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45646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45646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45646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45646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45646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45646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45646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45646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45646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45646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45646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45646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45646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45646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45646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45646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45646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45646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45646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45646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45646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45646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45646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45646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45646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45646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45646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45646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45646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45646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45646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45646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45646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45646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45646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45646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45646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45646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45646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45646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45646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45646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45646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45646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45646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45646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45646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45646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45646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45646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45646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45646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45646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45646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45646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45646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45646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45646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45646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45646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45646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45646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45646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45646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45646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45646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45646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45646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45646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45646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45646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45646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45646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45646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45646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45646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45646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45646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45646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45646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45646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45646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45646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45646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45646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45646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45646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45646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45646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45646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45646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45646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45646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45646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45646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45646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45646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45646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45646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45646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45646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45646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45646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45646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45646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45646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45646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45646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45646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45646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45646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45646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45646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45646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45646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45646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45646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45646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45646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45646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45646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45646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45646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45646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45646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45646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45646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45646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45646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45646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45646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45646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45646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45646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45646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45646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45646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45646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45646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45646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45646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45646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45646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45646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45646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45646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45646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45646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45646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45646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45646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45646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45646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45646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45646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45646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45646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45646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45646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45646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45646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45646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45646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45646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45646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45646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45646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45646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45646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45646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45646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45646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45646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45646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45646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45646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45646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45646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45646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45646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45646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45646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45646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45646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45646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45646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45646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45646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45646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45646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45646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45646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45646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45646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45646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45646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45646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45646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45646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45646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45646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45646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45646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45646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45646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45646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45646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45646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45646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45646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45646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45646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45646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45646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45646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45646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45646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45646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45646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45646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45646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45646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45646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45646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45646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45646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45646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45646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45646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45646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45646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45646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45646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45646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45646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45646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45646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45646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45646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45646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45646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45646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45646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45646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45646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45646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45646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45646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45646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45646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45646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45646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45646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45646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45646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45646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45646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45646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45646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45646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45646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45646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45646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45646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45646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45646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45646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45646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45646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45646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45646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45646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45646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45646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45646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45646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45646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45646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45646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45646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45646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45646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45646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45646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45646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45646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45646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45646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45646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45646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45646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45646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45646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45646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45646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45646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45646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45646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45646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45646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45646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45646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45646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45646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45646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45646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45646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45646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45646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45646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45646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45646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45646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45646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45646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45646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45646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45646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45646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45646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45646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45646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45646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45646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45646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45646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45646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45646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45646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45646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45646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45646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45646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45646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45646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45646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45646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45646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45646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45646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45646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45646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45646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45646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45646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45646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45646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45646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45646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45646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45646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45646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45646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45646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45646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45646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45646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45646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45646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45646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45646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45646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45646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45646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45646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45646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45646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45646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45646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45646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45646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45646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45646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45646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45646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45646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45646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45646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45646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45646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45646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45646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45646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45646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45646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45646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45646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45646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45646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45646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45646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45646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45646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45646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45646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45646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45646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45646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45646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45646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45646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45646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45646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45646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45646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45646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45646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45646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45646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45646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45646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45646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45646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45646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45646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45646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45646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45646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45646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45646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45646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45646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45646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45646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45646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45646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45646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45646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45646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45646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45646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45646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45646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45646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45646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45646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45646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45646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45646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45646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45646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45646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45646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45646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45646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45646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45646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45646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45646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45646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45646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45646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45646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45646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45646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45646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45646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45646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45646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45646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45646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45646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45646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45646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45646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45646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45646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45646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45646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45646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45646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45646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45646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45646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45646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45646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45646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45646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45646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45646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45646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45646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45646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45646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45646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45646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45646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45646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45646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45646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45646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45646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45646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45646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45646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45646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45646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45646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45646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45646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45646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45646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45646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45646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45646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45646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45646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45646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45646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45646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45646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45646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45646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45646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45646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45646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45646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45646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45646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45646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45646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45646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45646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45646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45646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45646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45646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45646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45646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45646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45646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45646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45646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45646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45646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45646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45646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45646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45646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45646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45646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45646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45646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45646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45646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45646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45646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45646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45646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45646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45646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45646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45646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45646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45646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45646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45646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45646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45646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45646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45646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45646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45646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45646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45646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45646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45646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45646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45646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45646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45646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45646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45646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45646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45646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45646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45646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45646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45646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45646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45646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45646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45646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45646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45646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45646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45646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45646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45646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45646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45646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45646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45646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45646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45646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45646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45646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45646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45646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45646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45646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45646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45646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45646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45646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45646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45646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45646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45646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45646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45646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45646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45646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45646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45646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45646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45646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45646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45646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45646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45646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45646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45646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45646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45646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45646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45646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45646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45646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45646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45646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45646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45646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45646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45646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45646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45646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45646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45646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45646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45646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45646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45646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45646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45646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45646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45646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45646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45646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45646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45646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45646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45646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45646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45646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45646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45646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45646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45646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45646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45646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45646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45646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45646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45646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45646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45646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45646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45646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45646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45646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45646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45646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45646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45646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45646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45646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45646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45646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45646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45646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45646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45646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45646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45646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45646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45646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45646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45646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45646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45646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45646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45646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45646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45646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45646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45646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45646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45646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45646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45646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45646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45646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45646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45646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45646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45646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45646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45646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45646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45646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45646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45646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45646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45646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45646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45646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45646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45646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45646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45646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45646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45646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45646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45646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45646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45646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45646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45646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45646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45646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45646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45646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45646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45646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45646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45646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45646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45646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45646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45646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45646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45646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45646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45646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45646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45646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45646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45646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45646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45646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45646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45646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45646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45646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45646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45646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45646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45646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45646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45646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45646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45646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45646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45646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45646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45646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45646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45646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45646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45646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45646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45646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45646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45646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45646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45646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45646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45646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45646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45646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45646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45646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45646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45646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45646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45646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45646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45646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45646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45646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45646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45646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45646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45646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45646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45646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45646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45646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45646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45646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45646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45646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45646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45646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45646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45646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45646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45646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45646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45646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45646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45646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45646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45646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45646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45646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45646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45646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45646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45646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45646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45646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45646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45646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45646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45646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45646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45646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45646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45646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45646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45646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45646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45646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45646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45646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45646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45646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45646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45646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45646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45646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45646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45646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45646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45646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45646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45646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45646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45646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45646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45646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45646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45646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45646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45646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45646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45646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45646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45646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45646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45646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45646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45646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45646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45646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45646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45646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45646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45646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45646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45646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45646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45646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45646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45646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45646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45646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45646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45646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45646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45646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45646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45646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45646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45646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45646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45646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45646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45646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45646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45646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45646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45646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45646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45646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45646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45646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45646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45646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45646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45646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45646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45646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45646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45646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45646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45646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45646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45646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45646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45646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45646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45646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45646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45646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45646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45646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45646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45646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45646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45646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45646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45646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45646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45646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45646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45646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45646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45646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45646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45646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45646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45646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45646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45646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45646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45646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45646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45646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45646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45646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45646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45646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45646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45646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45646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45646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45646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45646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45646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45646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45646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45646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45646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45646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45646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45646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45646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45646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45646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45646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45646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45646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45646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45646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45646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45646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45646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45646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45646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45646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45646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45646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45646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45646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45646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45646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45646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45646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45646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45646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45646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45646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45646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45646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45646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45646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45646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45646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45646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45646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45646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45646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45646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45646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45646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45646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45646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45646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45646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45646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45646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45646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45646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45646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45646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45646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45646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45646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45646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45646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45646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45646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45646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45646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45646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45646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45646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45646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45646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45646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45646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45646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45646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45646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45646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45646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45646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45646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45646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45646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45646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45646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45646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45646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45646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45646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45646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45646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45646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45646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45646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45646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45646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45646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45646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45646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45646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45646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45646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45646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45646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45646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45646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45646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45646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45646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45646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45646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45646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45646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45646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45646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45646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45646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45646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45646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45646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45646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45646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45646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45646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45646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45646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45646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45646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45646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45646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45646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45646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45646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45646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45646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45646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45646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45646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45646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45646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45646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45646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45646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45646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45646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45646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45646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45646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45646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45646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45646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45646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45646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45646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45646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45646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45646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45646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45646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45646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45646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45646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45646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45646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45646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45646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45646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45646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45646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45646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45646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45646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45646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45646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45646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45646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45646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45646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45646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45646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45646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45646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45646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45646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45646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45646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45646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45646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45646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45646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45646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45646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45646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45646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45646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45646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45646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45646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45646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45646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45646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45646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45646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45646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45646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45646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45646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45646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45646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45646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45646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45646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45646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45646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45646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45646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45646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45646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45646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45646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45646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45646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45646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45646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45646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45646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45646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45646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45646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45646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45646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45646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45646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45646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45646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45646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45646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45646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45646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45646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45646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45646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45646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45646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45646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45646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45646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45646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45646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45646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45646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45646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45646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45646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45646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45646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45646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45646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45646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45646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45646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45646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45646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45646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45646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45646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45646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45646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45646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45646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45646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45646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45646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45646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45646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45646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45646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45646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45646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45646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45646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45646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45646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45646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45646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45646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45646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45646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45646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45646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45646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45646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45646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45646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45646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45646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45646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45646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45646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45646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45646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45646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45646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45646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45646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45646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45646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45646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45646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45646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45646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45646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45646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45646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45646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45646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45646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45646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45646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45646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45646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45646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45646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45646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45646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45646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45646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45646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45646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45646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45646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45646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45646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45646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45646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45646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45646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45646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45646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45646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45646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45646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45646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45646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45646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45646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45646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45646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45646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45646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45646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45646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45646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45646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45646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45646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45646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45646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45646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45646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45646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45646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45646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45646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45646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45646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45646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45646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45646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45646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45646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45646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45646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45646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45646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45646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45646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45646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45646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45646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45646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45646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45646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45646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45646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45646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45646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45646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45646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45646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45646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45646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45646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45646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45646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45646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45646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45646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45646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45646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45646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45646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45646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45646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45646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45646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45646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45646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45646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45646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45646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45646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45646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45646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45646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45646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45646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45646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45646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45646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45646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45646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45646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45646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45646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45646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45646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45646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45646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45646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45646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45646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45646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45646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45646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45646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45646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45646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45646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45646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45646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45646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45646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45646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45646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45646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45646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45646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45646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45646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45646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45646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45646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45646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45646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45646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45646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45646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45646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45646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45646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45646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45646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45646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45646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45646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45646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45646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45646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45646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45646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45646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45646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45646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45646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45646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45646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45646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45646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45646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45646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45646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45646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45646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45646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45646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45646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45646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45646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45646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45646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45646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45646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45646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45646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45646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45646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45646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45646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45646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45646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45646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45646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45646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45646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45646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45646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45646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45646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45646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45646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45646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45646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45646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45646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45646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45646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45646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45646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45646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45646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45646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45646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45646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45646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45646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45646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45646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45646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45646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45646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45646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45646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45646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45646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45646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45646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45646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45646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45646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45646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45646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45646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45646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45646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45646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45646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45646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45646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45646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45646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45646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45646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45646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45646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45646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45646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45646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45646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45646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45646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45646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45646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45646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45646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45646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45646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45646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45646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45646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45646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45646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45646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45646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45646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45646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45646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45646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45646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45646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45646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45646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45646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45646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45646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45646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45646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45646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45646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45646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45646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45646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45646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45646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45646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45646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45646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45646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45646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45646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45646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45646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45646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45646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45646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45646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45646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45646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45646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45646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45646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45646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45646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45646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45646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45646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45646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45646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45646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45646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45646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45646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45646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45646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45646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45646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45646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45646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45646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45646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45646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45646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45646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45646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45646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45646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45646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45646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45646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45646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45646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45646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45646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45646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45646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45646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45646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45646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45646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45646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45646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45646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45646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45646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45646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45646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45646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45646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45646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45646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45646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45646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45646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45646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45646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45646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45646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45646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45646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45646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45646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45646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45646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45646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45646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45646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45646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45646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45646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45646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45646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45646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45646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45646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45646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45646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45646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45646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45646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45646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45646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45646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45646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45646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45646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45646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45646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45646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45646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45646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45646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45646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45646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45646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45646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45646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45646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45646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45646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45646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45646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45646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45646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45646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45646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45646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45646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45646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45646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45646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45646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45646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45646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45646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45646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45646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45646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45646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45646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45646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45646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45646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45646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45646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45646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45646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45646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45646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45646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45646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45646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45646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45646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45646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45646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45646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45646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45646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45646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45646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45646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45646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45646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45646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45646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45646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45646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45646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45646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45646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45646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45646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45646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45646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45646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45646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45646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45646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45646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45646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45646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45646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45646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45646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45646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45646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45646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45646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45646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45646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45646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45646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45646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45646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45646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45646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45646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45646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45646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45646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45646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45646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45646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45646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45646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45646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45646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45646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45646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45646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45646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45646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45646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45646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45646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45646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45646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45646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45646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45646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45646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45646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45646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45646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45646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45646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45646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45646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45646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45646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45646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45646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45646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45646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45646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45646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45646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45646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45646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45646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45646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45646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45646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45646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45646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45646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45646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45646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45646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45646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45646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45646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45646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45646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45646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45646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45646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45646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45646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45646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45646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45646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45646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45646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45646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45646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45646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45646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45646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45646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45646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45646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45646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45646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45646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45646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45646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45646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45646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45646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45646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45646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45646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45646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45646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45646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45646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45646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45646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45646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45646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45646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45646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45646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45646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45646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45646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45646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45646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45646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45646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45646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45646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45646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45646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45646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45646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45646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45646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45646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45646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45646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45646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45646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45646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45646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45646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45646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45646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45646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45646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45646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45646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45646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45646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45646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45646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45646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45646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45646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45646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45646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45646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45646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45646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45646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45646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45646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45646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45646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45646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45646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45646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45646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45646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45646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45646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45646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45646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45646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45646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45646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45646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45646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45646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45646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45646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45646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45646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45646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45646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45646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45646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45646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45646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45646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45646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45646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45646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45646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45646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45646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45646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45646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45646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45646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45646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45646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52982-2024</t>
        </is>
      </c>
      <c r="B4568" s="1" t="n">
        <v>45611</v>
      </c>
      <c r="C4568" s="1" t="n">
        <v>45646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45646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53687-2024</t>
        </is>
      </c>
      <c r="B4570" s="1" t="n">
        <v>45615</v>
      </c>
      <c r="C4570" s="1" t="n">
        <v>45646</v>
      </c>
      <c r="D4570" t="inlineStr">
        <is>
          <t>VÄSTERNORRLANDS LÄN</t>
        </is>
      </c>
      <c r="E4570" t="inlineStr">
        <is>
          <t>ÖRNSKÖLDSVIK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53694-2024</t>
        </is>
      </c>
      <c r="B4571" s="1" t="n">
        <v>45615</v>
      </c>
      <c r="C4571" s="1" t="n">
        <v>45646</v>
      </c>
      <c r="D4571" t="inlineStr">
        <is>
          <t>VÄSTERNORRLANDS LÄN</t>
        </is>
      </c>
      <c r="E4571" t="inlineStr">
        <is>
          <t>ÖRNSKÖLDSVIK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53693-2024</t>
        </is>
      </c>
      <c r="B4572" s="1" t="n">
        <v>45615</v>
      </c>
      <c r="C4572" s="1" t="n">
        <v>45646</v>
      </c>
      <c r="D4572" t="inlineStr">
        <is>
          <t>VÄSTERNORRLANDS LÄN</t>
        </is>
      </c>
      <c r="E4572" t="inlineStr">
        <is>
          <t>ÖRNSKÖLDSVIK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53689-2024</t>
        </is>
      </c>
      <c r="B4573" s="1" t="n">
        <v>45615</v>
      </c>
      <c r="C4573" s="1" t="n">
        <v>45646</v>
      </c>
      <c r="D4573" t="inlineStr">
        <is>
          <t>VÄSTERNORRLANDS LÄN</t>
        </is>
      </c>
      <c r="E4573" t="inlineStr">
        <is>
          <t>ÖRNSKÖLDSVIK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53705-2024</t>
        </is>
      </c>
      <c r="B4574" s="1" t="n">
        <v>45615</v>
      </c>
      <c r="C4574" s="1" t="n">
        <v>45646</v>
      </c>
      <c r="D4574" t="inlineStr">
        <is>
          <t>VÄSTERNORRLANDS LÄN</t>
        </is>
      </c>
      <c r="E4574" t="inlineStr">
        <is>
          <t>ÖRNSKÖLDSVIK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54138-2024</t>
        </is>
      </c>
      <c r="B4575" s="1" t="n">
        <v>45616</v>
      </c>
      <c r="C4575" s="1" t="n">
        <v>45646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SCA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45646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54000-2024</t>
        </is>
      </c>
      <c r="B4577" s="1" t="n">
        <v>45616</v>
      </c>
      <c r="C4577" s="1" t="n">
        <v>45646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54285-2024</t>
        </is>
      </c>
      <c r="B4578" s="1" t="n">
        <v>45616</v>
      </c>
      <c r="C4578" s="1" t="n">
        <v>45646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53997-2024</t>
        </is>
      </c>
      <c r="B4579" s="1" t="n">
        <v>45616</v>
      </c>
      <c r="C4579" s="1" t="n">
        <v>45646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54192-2024</t>
        </is>
      </c>
      <c r="B4580" s="1" t="n">
        <v>45616</v>
      </c>
      <c r="C4580" s="1" t="n">
        <v>45646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8.1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54200-2024</t>
        </is>
      </c>
      <c r="B4581" s="1" t="n">
        <v>45616</v>
      </c>
      <c r="C4581" s="1" t="n">
        <v>45646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54434-2024</t>
        </is>
      </c>
      <c r="B4582" s="1" t="n">
        <v>45617</v>
      </c>
      <c r="C4582" s="1" t="n">
        <v>45646</v>
      </c>
      <c r="D4582" t="inlineStr">
        <is>
          <t>VÄSTERNORRLANDS LÄN</t>
        </is>
      </c>
      <c r="E4582" t="inlineStr">
        <is>
          <t>ÖRNSKÖLDSVIK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54407-2024</t>
        </is>
      </c>
      <c r="B4583" s="1" t="n">
        <v>45617</v>
      </c>
      <c r="C4583" s="1" t="n">
        <v>45646</v>
      </c>
      <c r="D4583" t="inlineStr">
        <is>
          <t>VÄSTERNORRLANDS LÄN</t>
        </is>
      </c>
      <c r="E4583" t="inlineStr">
        <is>
          <t>ÖRNSKÖLDSVIK</t>
        </is>
      </c>
      <c r="G4583" t="n">
        <v>8.9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54513-2024</t>
        </is>
      </c>
      <c r="B4584" s="1" t="n">
        <v>45617</v>
      </c>
      <c r="C4584" s="1" t="n">
        <v>45646</v>
      </c>
      <c r="D4584" t="inlineStr">
        <is>
          <t>VÄSTERNORRLANDS LÄN</t>
        </is>
      </c>
      <c r="E4584" t="inlineStr">
        <is>
          <t>ÖRNSKÖLDSVIK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54549-2024</t>
        </is>
      </c>
      <c r="B4585" s="1" t="n">
        <v>45617</v>
      </c>
      <c r="C4585" s="1" t="n">
        <v>45646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54561-2024</t>
        </is>
      </c>
      <c r="B4586" s="1" t="n">
        <v>45617</v>
      </c>
      <c r="C4586" s="1" t="n">
        <v>45646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54613-2024</t>
        </is>
      </c>
      <c r="B4587" s="1" t="n">
        <v>45617</v>
      </c>
      <c r="C4587" s="1" t="n">
        <v>45646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54617-2024</t>
        </is>
      </c>
      <c r="B4588" s="1" t="n">
        <v>45617</v>
      </c>
      <c r="C4588" s="1" t="n">
        <v>45646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54625-2024</t>
        </is>
      </c>
      <c r="B4589" s="1" t="n">
        <v>45617</v>
      </c>
      <c r="C4589" s="1" t="n">
        <v>45646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54351-2024</t>
        </is>
      </c>
      <c r="B4590" s="1" t="n">
        <v>45617</v>
      </c>
      <c r="C4590" s="1" t="n">
        <v>45646</v>
      </c>
      <c r="D4590" t="inlineStr">
        <is>
          <t>VÄSTERNORRLANDS LÄN</t>
        </is>
      </c>
      <c r="E4590" t="inlineStr">
        <is>
          <t>ÖRNSKÖLDSVIK</t>
        </is>
      </c>
      <c r="G4590" t="n">
        <v>9.5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45646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45646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54345-2024</t>
        </is>
      </c>
      <c r="B4593" s="1" t="n">
        <v>45617</v>
      </c>
      <c r="C4593" s="1" t="n">
        <v>45646</v>
      </c>
      <c r="D4593" t="inlineStr">
        <is>
          <t>VÄSTERNORRLANDS LÄN</t>
        </is>
      </c>
      <c r="E4593" t="inlineStr">
        <is>
          <t>ÖRNSKÖLDSVIK</t>
        </is>
      </c>
      <c r="G4593" t="n">
        <v>11.6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45646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45646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54422-2024</t>
        </is>
      </c>
      <c r="B4596" s="1" t="n">
        <v>45617</v>
      </c>
      <c r="C4596" s="1" t="n">
        <v>45646</v>
      </c>
      <c r="D4596" t="inlineStr">
        <is>
          <t>VÄSTERNORRLANDS LÄN</t>
        </is>
      </c>
      <c r="E4596" t="inlineStr">
        <is>
          <t>ÖRNSKÖLDSVIK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54515-2024</t>
        </is>
      </c>
      <c r="B4597" s="1" t="n">
        <v>45617</v>
      </c>
      <c r="C4597" s="1" t="n">
        <v>45646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54563-2024</t>
        </is>
      </c>
      <c r="B4598" s="1" t="n">
        <v>45617</v>
      </c>
      <c r="C4598" s="1" t="n">
        <v>45646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54599-2024</t>
        </is>
      </c>
      <c r="B4599" s="1" t="n">
        <v>45617</v>
      </c>
      <c r="C4599" s="1" t="n">
        <v>45646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45646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45646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54773-2024</t>
        </is>
      </c>
      <c r="B4602" s="1" t="n">
        <v>45618</v>
      </c>
      <c r="C4602" s="1" t="n">
        <v>45646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45646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45646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54841-2024</t>
        </is>
      </c>
      <c r="B4605" s="1" t="n">
        <v>45618</v>
      </c>
      <c r="C4605" s="1" t="n">
        <v>45646</v>
      </c>
      <c r="D4605" t="inlineStr">
        <is>
          <t>VÄSTERNORRLANDS LÄN</t>
        </is>
      </c>
      <c r="E4605" t="inlineStr">
        <is>
          <t>ÖRNSKÖLDSVIK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54791-2024</t>
        </is>
      </c>
      <c r="B4606" s="1" t="n">
        <v>45618</v>
      </c>
      <c r="C4606" s="1" t="n">
        <v>45646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54949-2024</t>
        </is>
      </c>
      <c r="B4607" s="1" t="n">
        <v>45619</v>
      </c>
      <c r="C4607" s="1" t="n">
        <v>45646</v>
      </c>
      <c r="D4607" t="inlineStr">
        <is>
          <t>VÄSTERNORRLANDS LÄN</t>
        </is>
      </c>
      <c r="E4607" t="inlineStr">
        <is>
          <t>ÖRNSKÖLDSVIK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54950-2024</t>
        </is>
      </c>
      <c r="B4608" s="1" t="n">
        <v>45619</v>
      </c>
      <c r="C4608" s="1" t="n">
        <v>45646</v>
      </c>
      <c r="D4608" t="inlineStr">
        <is>
          <t>VÄSTERNORRLANDS LÄN</t>
        </is>
      </c>
      <c r="E4608" t="inlineStr">
        <is>
          <t>ÖRNSKÖLDSVIK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55166-2024</t>
        </is>
      </c>
      <c r="B4609" s="1" t="n">
        <v>45621</v>
      </c>
      <c r="C4609" s="1" t="n">
        <v>45646</v>
      </c>
      <c r="D4609" t="inlineStr">
        <is>
          <t>VÄSTERNORRLANDS LÄN</t>
        </is>
      </c>
      <c r="E4609" t="inlineStr">
        <is>
          <t>ÖRNSKÖLDSVIK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55207-2024</t>
        </is>
      </c>
      <c r="B4610" s="1" t="n">
        <v>45621</v>
      </c>
      <c r="C4610" s="1" t="n">
        <v>45646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45646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55447-2024</t>
        </is>
      </c>
      <c r="B4612" s="1" t="n">
        <v>45622</v>
      </c>
      <c r="C4612" s="1" t="n">
        <v>45646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55417-2024</t>
        </is>
      </c>
      <c r="B4613" s="1" t="n">
        <v>45622</v>
      </c>
      <c r="C4613" s="1" t="n">
        <v>45646</v>
      </c>
      <c r="D4613" t="inlineStr">
        <is>
          <t>VÄSTERNORRLANDS LÄN</t>
        </is>
      </c>
      <c r="E4613" t="inlineStr">
        <is>
          <t>ÖRNSKÖLDSVIK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55470-2024</t>
        </is>
      </c>
      <c r="B4614" s="1" t="n">
        <v>45622</v>
      </c>
      <c r="C4614" s="1" t="n">
        <v>45646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55636-2024</t>
        </is>
      </c>
      <c r="B4615" s="1" t="n">
        <v>45622</v>
      </c>
      <c r="C4615" s="1" t="n">
        <v>45646</v>
      </c>
      <c r="D4615" t="inlineStr">
        <is>
          <t>VÄSTERNORRLANDS LÄN</t>
        </is>
      </c>
      <c r="E4615" t="inlineStr">
        <is>
          <t>ÖRNSKÖLDSVIK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55655-2024</t>
        </is>
      </c>
      <c r="B4616" s="1" t="n">
        <v>45622</v>
      </c>
      <c r="C4616" s="1" t="n">
        <v>45646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SCA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55684-2024</t>
        </is>
      </c>
      <c r="B4617" s="1" t="n">
        <v>45622</v>
      </c>
      <c r="C4617" s="1" t="n">
        <v>45646</v>
      </c>
      <c r="D4617" t="inlineStr">
        <is>
          <t>VÄSTERNORRLANDS LÄN</t>
        </is>
      </c>
      <c r="E4617" t="inlineStr">
        <is>
          <t>ÖRNSKÖLDSVIK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45646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45646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45646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55934-2024</t>
        </is>
      </c>
      <c r="B4621" s="1" t="n">
        <v>45623</v>
      </c>
      <c r="C4621" s="1" t="n">
        <v>45646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45646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55754-2024</t>
        </is>
      </c>
      <c r="B4623" s="1" t="n">
        <v>45623</v>
      </c>
      <c r="C4623" s="1" t="n">
        <v>45646</v>
      </c>
      <c r="D4623" t="inlineStr">
        <is>
          <t>VÄSTERNORRLANDS LÄN</t>
        </is>
      </c>
      <c r="E4623" t="inlineStr">
        <is>
          <t>ÖRNSKÖLDSVIK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55972-2024</t>
        </is>
      </c>
      <c r="B4624" s="1" t="n">
        <v>45623</v>
      </c>
      <c r="C4624" s="1" t="n">
        <v>45646</v>
      </c>
      <c r="D4624" t="inlineStr">
        <is>
          <t>VÄSTERNORRLANDS LÄN</t>
        </is>
      </c>
      <c r="E4624" t="inlineStr">
        <is>
          <t>ÖRNSKÖLDSVIK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45646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56200-2024</t>
        </is>
      </c>
      <c r="B4626" s="1" t="n">
        <v>45624</v>
      </c>
      <c r="C4626" s="1" t="n">
        <v>45646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56217-2024</t>
        </is>
      </c>
      <c r="B4627" s="1" t="n">
        <v>45624</v>
      </c>
      <c r="C4627" s="1" t="n">
        <v>45646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56095-2024</t>
        </is>
      </c>
      <c r="B4628" s="1" t="n">
        <v>45624</v>
      </c>
      <c r="C4628" s="1" t="n">
        <v>45646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45646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56306-2024</t>
        </is>
      </c>
      <c r="B4630" s="1" t="n">
        <v>45624</v>
      </c>
      <c r="C4630" s="1" t="n">
        <v>45646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56322-2024</t>
        </is>
      </c>
      <c r="B4631" s="1" t="n">
        <v>45624</v>
      </c>
      <c r="C4631" s="1" t="n">
        <v>45646</v>
      </c>
      <c r="D4631" t="inlineStr">
        <is>
          <t>VÄSTERNORRLANDS LÄN</t>
        </is>
      </c>
      <c r="E4631" t="inlineStr">
        <is>
          <t>ÖRNSKÖLDSVIK</t>
        </is>
      </c>
      <c r="G4631" t="n">
        <v>7.8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45646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45646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45646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56337-2024</t>
        </is>
      </c>
      <c r="B4635" s="1" t="n">
        <v>45624</v>
      </c>
      <c r="C4635" s="1" t="n">
        <v>45646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56349-2024</t>
        </is>
      </c>
      <c r="B4636" s="1" t="n">
        <v>45624</v>
      </c>
      <c r="C4636" s="1" t="n">
        <v>45646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45646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56402-2024</t>
        </is>
      </c>
      <c r="B4638" s="1" t="n">
        <v>45625</v>
      </c>
      <c r="C4638" s="1" t="n">
        <v>45646</v>
      </c>
      <c r="D4638" t="inlineStr">
        <is>
          <t>VÄSTERNORRLANDS LÄN</t>
        </is>
      </c>
      <c r="E4638" t="inlineStr">
        <is>
          <t>ÖRNSKÖLDSVIK</t>
        </is>
      </c>
      <c r="G4638" t="n">
        <v>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56424-2024</t>
        </is>
      </c>
      <c r="B4639" s="1" t="n">
        <v>45625</v>
      </c>
      <c r="C4639" s="1" t="n">
        <v>45646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56397-2024</t>
        </is>
      </c>
      <c r="B4640" s="1" t="n">
        <v>45625</v>
      </c>
      <c r="C4640" s="1" t="n">
        <v>45646</v>
      </c>
      <c r="D4640" t="inlineStr">
        <is>
          <t>VÄSTERNORRLANDS LÄN</t>
        </is>
      </c>
      <c r="E4640" t="inlineStr">
        <is>
          <t>ÖRNSKÖLDSVIK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56421-2024</t>
        </is>
      </c>
      <c r="B4641" s="1" t="n">
        <v>45625</v>
      </c>
      <c r="C4641" s="1" t="n">
        <v>45646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45646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45646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45646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45646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56775-2024</t>
        </is>
      </c>
      <c r="B4646" s="1" t="n">
        <v>45628</v>
      </c>
      <c r="C4646" s="1" t="n">
        <v>45646</v>
      </c>
      <c r="D4646" t="inlineStr">
        <is>
          <t>VÄSTERNORRLANDS LÄN</t>
        </is>
      </c>
      <c r="E4646" t="inlineStr">
        <is>
          <t>ÖRNSKÖLDSVIK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56869-2024</t>
        </is>
      </c>
      <c r="B4647" s="1" t="n">
        <v>45628</v>
      </c>
      <c r="C4647" s="1" t="n">
        <v>45646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56966-2024</t>
        </is>
      </c>
      <c r="B4648" s="1" t="n">
        <v>45628</v>
      </c>
      <c r="C4648" s="1" t="n">
        <v>45646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56979-2024</t>
        </is>
      </c>
      <c r="B4649" s="1" t="n">
        <v>45628</v>
      </c>
      <c r="C4649" s="1" t="n">
        <v>45646</v>
      </c>
      <c r="D4649" t="inlineStr">
        <is>
          <t>VÄSTERNORRLANDS LÄN</t>
        </is>
      </c>
      <c r="E4649" t="inlineStr">
        <is>
          <t>ÖRNSKÖLDSVIK</t>
        </is>
      </c>
      <c r="G4649" t="n">
        <v>11.6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56992-2024</t>
        </is>
      </c>
      <c r="B4650" s="1" t="n">
        <v>45628</v>
      </c>
      <c r="C4650" s="1" t="n">
        <v>45646</v>
      </c>
      <c r="D4650" t="inlineStr">
        <is>
          <t>VÄSTERNORRLANDS LÄN</t>
        </is>
      </c>
      <c r="E4650" t="inlineStr">
        <is>
          <t>ÖRNSKÖLDSVIK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45646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45646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57045-2024</t>
        </is>
      </c>
      <c r="B4653" s="1" t="n">
        <v>45629</v>
      </c>
      <c r="C4653" s="1" t="n">
        <v>45646</v>
      </c>
      <c r="D4653" t="inlineStr">
        <is>
          <t>VÄSTERNORRLANDS LÄN</t>
        </is>
      </c>
      <c r="E4653" t="inlineStr">
        <is>
          <t>ÖRNSKÖLDSVIK</t>
        </is>
      </c>
      <c r="G4653" t="n">
        <v>4.9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57074-2024</t>
        </is>
      </c>
      <c r="B4654" s="1" t="n">
        <v>45629</v>
      </c>
      <c r="C4654" s="1" t="n">
        <v>45646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57237-2024</t>
        </is>
      </c>
      <c r="B4655" s="1" t="n">
        <v>45629</v>
      </c>
      <c r="C4655" s="1" t="n">
        <v>45646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57362-2024</t>
        </is>
      </c>
      <c r="B4656" s="1" t="n">
        <v>45629</v>
      </c>
      <c r="C4656" s="1" t="n">
        <v>45646</v>
      </c>
      <c r="D4656" t="inlineStr">
        <is>
          <t>VÄSTERNORRLANDS LÄN</t>
        </is>
      </c>
      <c r="E4656" t="inlineStr">
        <is>
          <t>ÖRNSKÖLDSVIK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45646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57333-2024</t>
        </is>
      </c>
      <c r="B4658" s="1" t="n">
        <v>45629</v>
      </c>
      <c r="C4658" s="1" t="n">
        <v>45646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57073-2024</t>
        </is>
      </c>
      <c r="B4659" s="1" t="n">
        <v>45629</v>
      </c>
      <c r="C4659" s="1" t="n">
        <v>45646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57123-2024</t>
        </is>
      </c>
      <c r="B4660" s="1" t="n">
        <v>45629</v>
      </c>
      <c r="C4660" s="1" t="n">
        <v>45646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57309-2024</t>
        </is>
      </c>
      <c r="B4661" s="1" t="n">
        <v>45629</v>
      </c>
      <c r="C4661" s="1" t="n">
        <v>45646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6.8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45646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45646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45646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45646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57604-2024</t>
        </is>
      </c>
      <c r="B4666" s="1" t="n">
        <v>45630</v>
      </c>
      <c r="C4666" s="1" t="n">
        <v>45646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SCA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57676-2024</t>
        </is>
      </c>
      <c r="B4667" s="1" t="n">
        <v>45630</v>
      </c>
      <c r="C4667" s="1" t="n">
        <v>45646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7.4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57680-2024</t>
        </is>
      </c>
      <c r="B4668" s="1" t="n">
        <v>45630</v>
      </c>
      <c r="C4668" s="1" t="n">
        <v>45646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58016-2024</t>
        </is>
      </c>
      <c r="B4669" s="1" t="n">
        <v>45631</v>
      </c>
      <c r="C4669" s="1" t="n">
        <v>45646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45646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57958-2024</t>
        </is>
      </c>
      <c r="B4671" s="1" t="n">
        <v>45631</v>
      </c>
      <c r="C4671" s="1" t="n">
        <v>45646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57970-2024</t>
        </is>
      </c>
      <c r="B4672" s="1" t="n">
        <v>45631</v>
      </c>
      <c r="C4672" s="1" t="n">
        <v>45646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58046-2024</t>
        </is>
      </c>
      <c r="B4673" s="1" t="n">
        <v>45631</v>
      </c>
      <c r="C4673" s="1" t="n">
        <v>45646</v>
      </c>
      <c r="D4673" t="inlineStr">
        <is>
          <t>VÄSTERNORRLANDS LÄN</t>
        </is>
      </c>
      <c r="E4673" t="inlineStr">
        <is>
          <t>ÖRNSKÖLDSVIK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58054-2024</t>
        </is>
      </c>
      <c r="B4674" s="1" t="n">
        <v>45631</v>
      </c>
      <c r="C4674" s="1" t="n">
        <v>45646</v>
      </c>
      <c r="D4674" t="inlineStr">
        <is>
          <t>VÄSTERNORRLANDS LÄN</t>
        </is>
      </c>
      <c r="E4674" t="inlineStr">
        <is>
          <t>ÖRNSKÖLDSVIK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58068-2024</t>
        </is>
      </c>
      <c r="B4675" s="1" t="n">
        <v>45631</v>
      </c>
      <c r="C4675" s="1" t="n">
        <v>45646</v>
      </c>
      <c r="D4675" t="inlineStr">
        <is>
          <t>VÄSTERNORRLANDS LÄN</t>
        </is>
      </c>
      <c r="E4675" t="inlineStr">
        <is>
          <t>ÖRNSKÖLDSVIK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58069-2024</t>
        </is>
      </c>
      <c r="B4676" s="1" t="n">
        <v>45631</v>
      </c>
      <c r="C4676" s="1" t="n">
        <v>45646</v>
      </c>
      <c r="D4676" t="inlineStr">
        <is>
          <t>VÄSTERNORRLANDS LÄN</t>
        </is>
      </c>
      <c r="E4676" t="inlineStr">
        <is>
          <t>ÖRNSKÖLDSVIK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57967-2024</t>
        </is>
      </c>
      <c r="B4677" s="1" t="n">
        <v>45631</v>
      </c>
      <c r="C4677" s="1" t="n">
        <v>45646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45646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58287-2024</t>
        </is>
      </c>
      <c r="B4679" s="1" t="n">
        <v>45632</v>
      </c>
      <c r="C4679" s="1" t="n">
        <v>45646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45646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58342-2024</t>
        </is>
      </c>
      <c r="B4681" s="1" t="n">
        <v>45632</v>
      </c>
      <c r="C4681" s="1" t="n">
        <v>45646</v>
      </c>
      <c r="D4681" t="inlineStr">
        <is>
          <t>VÄSTERNORRLANDS LÄN</t>
        </is>
      </c>
      <c r="E4681" t="inlineStr">
        <is>
          <t>ÖRNSKÖLDSVIK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45646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45646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45646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58441-2024</t>
        </is>
      </c>
      <c r="B4685" s="1" t="n">
        <v>45635</v>
      </c>
      <c r="C4685" s="1" t="n">
        <v>45646</v>
      </c>
      <c r="D4685" t="inlineStr">
        <is>
          <t>VÄSTERNORRLANDS LÄN</t>
        </is>
      </c>
      <c r="E4685" t="inlineStr">
        <is>
          <t>ÖRNSKÖLDSVIK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58526-2024</t>
        </is>
      </c>
      <c r="B4686" s="1" t="n">
        <v>45635</v>
      </c>
      <c r="C4686" s="1" t="n">
        <v>45646</v>
      </c>
      <c r="D4686" t="inlineStr">
        <is>
          <t>VÄSTERNORRLANDS LÄN</t>
        </is>
      </c>
      <c r="E4686" t="inlineStr">
        <is>
          <t>ÖRNSKÖLDSVIK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45646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58481-2024</t>
        </is>
      </c>
      <c r="B4688" s="1" t="n">
        <v>45635</v>
      </c>
      <c r="C4688" s="1" t="n">
        <v>45646</v>
      </c>
      <c r="D4688" t="inlineStr">
        <is>
          <t>VÄSTERNORRLANDS LÄN</t>
        </is>
      </c>
      <c r="E4688" t="inlineStr">
        <is>
          <t>ÖRNSKÖLDSVIK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45646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45646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58725-2024</t>
        </is>
      </c>
      <c r="B4691" s="1" t="n">
        <v>45635</v>
      </c>
      <c r="C4691" s="1" t="n">
        <v>45646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58850-2024</t>
        </is>
      </c>
      <c r="B4692" s="1" t="n">
        <v>45636</v>
      </c>
      <c r="C4692" s="1" t="n">
        <v>45646</v>
      </c>
      <c r="D4692" t="inlineStr">
        <is>
          <t>VÄSTERNORRLANDS LÄN</t>
        </is>
      </c>
      <c r="E4692" t="inlineStr">
        <is>
          <t>ÖRNSKÖLDSVIK</t>
        </is>
      </c>
      <c r="G4692" t="n">
        <v>5.9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58936-2024</t>
        </is>
      </c>
      <c r="B4693" s="1" t="n">
        <v>45636</v>
      </c>
      <c r="C4693" s="1" t="n">
        <v>45646</v>
      </c>
      <c r="D4693" t="inlineStr">
        <is>
          <t>VÄSTERNORRLANDS LÄN</t>
        </is>
      </c>
      <c r="E4693" t="inlineStr">
        <is>
          <t>ÖRNSKÖLDSVIK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45646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59041-2024</t>
        </is>
      </c>
      <c r="B4695" s="1" t="n">
        <v>45636</v>
      </c>
      <c r="C4695" s="1" t="n">
        <v>45646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59163-2024</t>
        </is>
      </c>
      <c r="B4696" s="1" t="n">
        <v>45637</v>
      </c>
      <c r="C4696" s="1" t="n">
        <v>45646</v>
      </c>
      <c r="D4696" t="inlineStr">
        <is>
          <t>VÄSTERNORRLANDS LÄN</t>
        </is>
      </c>
      <c r="E4696" t="inlineStr">
        <is>
          <t>ÖRNSKÖLDSVIK</t>
        </is>
      </c>
      <c r="G4696" t="n">
        <v>3.9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59162-2024</t>
        </is>
      </c>
      <c r="B4697" s="1" t="n">
        <v>45637</v>
      </c>
      <c r="C4697" s="1" t="n">
        <v>45646</v>
      </c>
      <c r="D4697" t="inlineStr">
        <is>
          <t>VÄSTERNORRLANDS LÄN</t>
        </is>
      </c>
      <c r="E4697" t="inlineStr">
        <is>
          <t>ÖRNSKÖLDSVIK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59287-2024</t>
        </is>
      </c>
      <c r="B4698" s="1" t="n">
        <v>45637</v>
      </c>
      <c r="C4698" s="1" t="n">
        <v>45646</v>
      </c>
      <c r="D4698" t="inlineStr">
        <is>
          <t>VÄSTERNORRLANDS LÄN</t>
        </is>
      </c>
      <c r="E4698" t="inlineStr">
        <is>
          <t>ÖRNSKÖLDSVIK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59392-2024</t>
        </is>
      </c>
      <c r="B4699" s="1" t="n">
        <v>45637</v>
      </c>
      <c r="C4699" s="1" t="n">
        <v>45646</v>
      </c>
      <c r="D4699" t="inlineStr">
        <is>
          <t>VÄSTERNORRLANDS LÄN</t>
        </is>
      </c>
      <c r="E4699" t="inlineStr">
        <is>
          <t>ÖRNSKÖLDSVIK</t>
        </is>
      </c>
      <c r="G4699" t="n">
        <v>8.5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45646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45646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45646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59393-2024</t>
        </is>
      </c>
      <c r="B4703" s="1" t="n">
        <v>45637</v>
      </c>
      <c r="C4703" s="1" t="n">
        <v>45646</v>
      </c>
      <c r="D4703" t="inlineStr">
        <is>
          <t>VÄSTERNORRLANDS LÄN</t>
        </is>
      </c>
      <c r="E4703" t="inlineStr">
        <is>
          <t>ÖRNSKÖLDSVIK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45646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59596-2024</t>
        </is>
      </c>
      <c r="B4705" s="1" t="n">
        <v>45638</v>
      </c>
      <c r="C4705" s="1" t="n">
        <v>45646</v>
      </c>
      <c r="D4705" t="inlineStr">
        <is>
          <t>VÄSTERNORRLANDS LÄN</t>
        </is>
      </c>
      <c r="E4705" t="inlineStr">
        <is>
          <t>ÖRNSKÖLDSVIK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45646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59755-2024</t>
        </is>
      </c>
      <c r="B4707" s="1" t="n">
        <v>45638</v>
      </c>
      <c r="C4707" s="1" t="n">
        <v>45646</v>
      </c>
      <c r="D4707" t="inlineStr">
        <is>
          <t>VÄSTERNORRLANDS LÄN</t>
        </is>
      </c>
      <c r="E4707" t="inlineStr">
        <is>
          <t>ÖRNSKÖLDSVIK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59771-2024</t>
        </is>
      </c>
      <c r="B4708" s="1" t="n">
        <v>45638</v>
      </c>
      <c r="C4708" s="1" t="n">
        <v>45646</v>
      </c>
      <c r="D4708" t="inlineStr">
        <is>
          <t>VÄSTERNORRLANDS LÄN</t>
        </is>
      </c>
      <c r="E4708" t="inlineStr">
        <is>
          <t>ÖRNSKÖLDSVIK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59835-2024</t>
        </is>
      </c>
      <c r="B4709" s="1" t="n">
        <v>45638</v>
      </c>
      <c r="C4709" s="1" t="n">
        <v>45646</v>
      </c>
      <c r="D4709" t="inlineStr">
        <is>
          <t>VÄSTERNORRLANDS LÄN</t>
        </is>
      </c>
      <c r="E4709" t="inlineStr">
        <is>
          <t>ÖRNSKÖLDSVIK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59485-2024</t>
        </is>
      </c>
      <c r="B4710" s="1" t="n">
        <v>45638</v>
      </c>
      <c r="C4710" s="1" t="n">
        <v>45646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45646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45646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45646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59781-2024</t>
        </is>
      </c>
      <c r="B4714" s="1" t="n">
        <v>45638</v>
      </c>
      <c r="C4714" s="1" t="n">
        <v>45646</v>
      </c>
      <c r="D4714" t="inlineStr">
        <is>
          <t>VÄSTERNORRLANDS LÄN</t>
        </is>
      </c>
      <c r="E4714" t="inlineStr">
        <is>
          <t>ÖRNSKÖLDSVIK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59458-2024</t>
        </is>
      </c>
      <c r="B4715" s="1" t="n">
        <v>45638</v>
      </c>
      <c r="C4715" s="1" t="n">
        <v>45646</v>
      </c>
      <c r="D4715" t="inlineStr">
        <is>
          <t>VÄSTERNORRLANDS LÄN</t>
        </is>
      </c>
      <c r="E4715" t="inlineStr">
        <is>
          <t>ÖRNSKÖLDSVIK</t>
        </is>
      </c>
      <c r="G4715" t="n">
        <v>5.1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59769-2024</t>
        </is>
      </c>
      <c r="B4716" s="1" t="n">
        <v>45638</v>
      </c>
      <c r="C4716" s="1" t="n">
        <v>45646</v>
      </c>
      <c r="D4716" t="inlineStr">
        <is>
          <t>VÄSTERNORRLANDS LÄN</t>
        </is>
      </c>
      <c r="E4716" t="inlineStr">
        <is>
          <t>ÖRNSKÖLDSVIK</t>
        </is>
      </c>
      <c r="G4716" t="n">
        <v>4.4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59834-2024</t>
        </is>
      </c>
      <c r="B4717" s="1" t="n">
        <v>45638</v>
      </c>
      <c r="C4717" s="1" t="n">
        <v>45646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59654-2024</t>
        </is>
      </c>
      <c r="B4718" s="1" t="n">
        <v>45639</v>
      </c>
      <c r="C4718" s="1" t="n">
        <v>45646</v>
      </c>
      <c r="D4718" t="inlineStr">
        <is>
          <t>VÄSTERNORRLANDS LÄN</t>
        </is>
      </c>
      <c r="E4718" t="inlineStr">
        <is>
          <t>ÖRNSKÖLDSVIK</t>
        </is>
      </c>
      <c r="G4718" t="n">
        <v>6.5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59817-2024</t>
        </is>
      </c>
      <c r="B4719" s="1" t="n">
        <v>45639</v>
      </c>
      <c r="C4719" s="1" t="n">
        <v>45646</v>
      </c>
      <c r="D4719" t="inlineStr">
        <is>
          <t>VÄSTERNORRLANDS LÄN</t>
        </is>
      </c>
      <c r="E4719" t="inlineStr">
        <is>
          <t>ÖRNSKÖLDSVIK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59794-2024</t>
        </is>
      </c>
      <c r="B4720" s="1" t="n">
        <v>45639</v>
      </c>
      <c r="C4720" s="1" t="n">
        <v>45646</v>
      </c>
      <c r="D4720" t="inlineStr">
        <is>
          <t>VÄSTERNORRLANDS LÄN</t>
        </is>
      </c>
      <c r="E4720" t="inlineStr">
        <is>
          <t>ÖRNSKÖLDSVIK</t>
        </is>
      </c>
      <c r="G4720" t="n">
        <v>7.1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59967-2024</t>
        </is>
      </c>
      <c r="B4721" s="1" t="n">
        <v>45639</v>
      </c>
      <c r="C4721" s="1" t="n">
        <v>45646</v>
      </c>
      <c r="D4721" t="inlineStr">
        <is>
          <t>VÄSTERNORRLANDS LÄN</t>
        </is>
      </c>
      <c r="E4721" t="inlineStr">
        <is>
          <t>ÖRNSKÖLDSVIK</t>
        </is>
      </c>
      <c r="G4721" t="n">
        <v>21.4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59706-2024</t>
        </is>
      </c>
      <c r="B4722" s="1" t="n">
        <v>45639</v>
      </c>
      <c r="C4722" s="1" t="n">
        <v>45646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45646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59978-2024</t>
        </is>
      </c>
      <c r="B4724" s="1" t="n">
        <v>45639</v>
      </c>
      <c r="C4724" s="1" t="n">
        <v>45646</v>
      </c>
      <c r="D4724" t="inlineStr">
        <is>
          <t>VÄSTERNORRLANDS LÄN</t>
        </is>
      </c>
      <c r="E4724" t="inlineStr">
        <is>
          <t>ÖRNSKÖLDSVIK</t>
        </is>
      </c>
      <c r="G4724" t="n">
        <v>4.5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59933-2024</t>
        </is>
      </c>
      <c r="B4725" s="1" t="n">
        <v>45642</v>
      </c>
      <c r="C4725" s="1" t="n">
        <v>45646</v>
      </c>
      <c r="D4725" t="inlineStr">
        <is>
          <t>VÄSTERNORRLANDS LÄN</t>
        </is>
      </c>
      <c r="E4725" t="inlineStr">
        <is>
          <t>ÖRNSKÖLDSVIK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60161-2024</t>
        </is>
      </c>
      <c r="B4726" s="1" t="n">
        <v>45642</v>
      </c>
      <c r="C4726" s="1" t="n">
        <v>45646</v>
      </c>
      <c r="D4726" t="inlineStr">
        <is>
          <t>VÄSTERNORRLANDS LÄN</t>
        </is>
      </c>
      <c r="E4726" t="inlineStr">
        <is>
          <t>ÖRNSKÖLDSVIK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60115-2024</t>
        </is>
      </c>
      <c r="B4727" s="1" t="n">
        <v>45642</v>
      </c>
      <c r="C4727" s="1" t="n">
        <v>45646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45646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60029-2024</t>
        </is>
      </c>
      <c r="B4729" s="1" t="n">
        <v>45642</v>
      </c>
      <c r="C4729" s="1" t="n">
        <v>45646</v>
      </c>
      <c r="D4729" t="inlineStr">
        <is>
          <t>VÄSTERNORRLANDS LÄN</t>
        </is>
      </c>
      <c r="E4729" t="inlineStr">
        <is>
          <t>ÖRNSKÖLDSVIK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45646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45646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45646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60412-2024</t>
        </is>
      </c>
      <c r="B4733" s="1" t="n">
        <v>45643</v>
      </c>
      <c r="C4733" s="1" t="n">
        <v>45646</v>
      </c>
      <c r="D4733" t="inlineStr">
        <is>
          <t>VÄSTERNORRLANDS LÄN</t>
        </is>
      </c>
      <c r="E4733" t="inlineStr">
        <is>
          <t>ÖRNSKÖLDSVIK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45646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60510-2024</t>
        </is>
      </c>
      <c r="B4735" s="1" t="n">
        <v>45643</v>
      </c>
      <c r="C4735" s="1" t="n">
        <v>45646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Holmen skog AB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45646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60494-2024</t>
        </is>
      </c>
      <c r="B4737" s="1" t="n">
        <v>45643</v>
      </c>
      <c r="C4737" s="1" t="n">
        <v>45646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60690-2024</t>
        </is>
      </c>
      <c r="B4738" s="1" t="n">
        <v>45644</v>
      </c>
      <c r="C4738" s="1" t="n">
        <v>45646</v>
      </c>
      <c r="D4738" t="inlineStr">
        <is>
          <t>VÄSTERNORRLANDS LÄN</t>
        </is>
      </c>
      <c r="E4738" t="inlineStr">
        <is>
          <t>ÖRNSKÖLDSVIK</t>
        </is>
      </c>
      <c r="G4738" t="n">
        <v>5.6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60642-2024</t>
        </is>
      </c>
      <c r="B4739" s="1" t="n">
        <v>45644</v>
      </c>
      <c r="C4739" s="1" t="n">
        <v>45646</v>
      </c>
      <c r="D4739" t="inlineStr">
        <is>
          <t>VÄSTERNORRLANDS LÄN</t>
        </is>
      </c>
      <c r="E4739" t="inlineStr">
        <is>
          <t>ÖRNSKÖLDSVIK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60712-2024</t>
        </is>
      </c>
      <c r="B4740" s="1" t="n">
        <v>45644</v>
      </c>
      <c r="C4740" s="1" t="n">
        <v>45646</v>
      </c>
      <c r="D4740" t="inlineStr">
        <is>
          <t>VÄSTERNORRLANDS LÄN</t>
        </is>
      </c>
      <c r="E4740" t="inlineStr">
        <is>
          <t>ÖRNSKÖLDSVIK</t>
        </is>
      </c>
      <c r="G4740" t="n">
        <v>5.3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61255-2024</t>
        </is>
      </c>
      <c r="B4741" s="1" t="n">
        <v>45644</v>
      </c>
      <c r="C4741" s="1" t="n">
        <v>45646</v>
      </c>
      <c r="D4741" t="inlineStr">
        <is>
          <t>VÄSTERNORRLANDS LÄN</t>
        </is>
      </c>
      <c r="E4741" t="inlineStr">
        <is>
          <t>ÖRNSKÖLDSVIK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61265-2024</t>
        </is>
      </c>
      <c r="B4742" s="1" t="n">
        <v>45644</v>
      </c>
      <c r="C4742" s="1" t="n">
        <v>45646</v>
      </c>
      <c r="D4742" t="inlineStr">
        <is>
          <t>VÄSTERNORRLANDS LÄN</t>
        </is>
      </c>
      <c r="E4742" t="inlineStr">
        <is>
          <t>ÖRNSKÖLDSVIK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45646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45646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60600-2024</t>
        </is>
      </c>
      <c r="B4745" s="1" t="n">
        <v>45644</v>
      </c>
      <c r="C4745" s="1" t="n">
        <v>45646</v>
      </c>
      <c r="D4745" t="inlineStr">
        <is>
          <t>VÄSTERNORRLANDS LÄN</t>
        </is>
      </c>
      <c r="E4745" t="inlineStr">
        <is>
          <t>ÖRNSKÖLDSVIK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60647-2024</t>
        </is>
      </c>
      <c r="B4746" s="1" t="n">
        <v>45644</v>
      </c>
      <c r="C4746" s="1" t="n">
        <v>45646</v>
      </c>
      <c r="D4746" t="inlineStr">
        <is>
          <t>VÄSTERNORRLANDS LÄN</t>
        </is>
      </c>
      <c r="E4746" t="inlineStr">
        <is>
          <t>ÖRNSKÖLDSVIK</t>
        </is>
      </c>
      <c r="G4746" t="n">
        <v>6.9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45646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61013-2024</t>
        </is>
      </c>
      <c r="B4748" s="1" t="n">
        <v>45645</v>
      </c>
      <c r="C4748" s="1" t="n">
        <v>45646</v>
      </c>
      <c r="D4748" t="inlineStr">
        <is>
          <t>VÄSTERNORRLANDS LÄN</t>
        </is>
      </c>
      <c r="E4748" t="inlineStr">
        <is>
          <t>ÖRNSKÖLDSVIK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61062-2024</t>
        </is>
      </c>
      <c r="B4749" s="1" t="n">
        <v>45645</v>
      </c>
      <c r="C4749" s="1" t="n">
        <v>45646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13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61102-2024</t>
        </is>
      </c>
      <c r="B4750" s="1" t="n">
        <v>45645</v>
      </c>
      <c r="C4750" s="1" t="n">
        <v>45646</v>
      </c>
      <c r="D4750" t="inlineStr">
        <is>
          <t>VÄSTERNORRLANDS LÄN</t>
        </is>
      </c>
      <c r="E4750" t="inlineStr">
        <is>
          <t>ÖRNSKÖLDSVIK</t>
        </is>
      </c>
      <c r="G4750" t="n">
        <v>8.5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61110-2024</t>
        </is>
      </c>
      <c r="B4751" s="1" t="n">
        <v>45645</v>
      </c>
      <c r="C4751" s="1" t="n">
        <v>45646</v>
      </c>
      <c r="D4751" t="inlineStr">
        <is>
          <t>VÄSTERNORRLANDS LÄN</t>
        </is>
      </c>
      <c r="E4751" t="inlineStr">
        <is>
          <t>ÖRNSKÖLDSVIK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45646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45646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61146-2024</t>
        </is>
      </c>
      <c r="B4754" s="1" t="n">
        <v>45645</v>
      </c>
      <c r="C4754" s="1" t="n">
        <v>45646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61122-2024</t>
        </is>
      </c>
      <c r="B4755" s="1" t="n">
        <v>45645</v>
      </c>
      <c r="C4755" s="1" t="n">
        <v>45646</v>
      </c>
      <c r="D4755" t="inlineStr">
        <is>
          <t>VÄSTERNORRLANDS LÄN</t>
        </is>
      </c>
      <c r="E4755" t="inlineStr">
        <is>
          <t>ÖRNSKÖLDSVIK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61148-2024</t>
        </is>
      </c>
      <c r="B4756" s="1" t="n">
        <v>45645</v>
      </c>
      <c r="C4756" s="1" t="n">
        <v>45646</v>
      </c>
      <c r="D4756" t="inlineStr">
        <is>
          <t>VÄSTERNORRLANDS LÄN</t>
        </is>
      </c>
      <c r="E4756" t="inlineStr">
        <is>
          <t>ÖRNSKÖLDSVIK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45646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61098-2024</t>
        </is>
      </c>
      <c r="B4758" s="1" t="n">
        <v>45645</v>
      </c>
      <c r="C4758" s="1" t="n">
        <v>45646</v>
      </c>
      <c r="D4758" t="inlineStr">
        <is>
          <t>VÄSTERNORRLANDS LÄN</t>
        </is>
      </c>
      <c r="E4758" t="inlineStr">
        <is>
          <t>ÖRNSKÖLDSVIK</t>
        </is>
      </c>
      <c r="G4758" t="n">
        <v>8.699999999999999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45646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45646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>
      <c r="A4761" t="inlineStr">
        <is>
          <t>A 61195-2024</t>
        </is>
      </c>
      <c r="B4761" s="1" t="n">
        <v>45645</v>
      </c>
      <c r="C4761" s="1" t="n">
        <v>45646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2024-12-20T15:14:49Z</dcterms:created>
  <dcterms:modified xmlns:dcterms="http://purl.org/dc/terms/" xmlns:xsi="http://www.w3.org/2001/XMLSchema-instance" xsi:type="dcterms:W3CDTF">2024-12-20T15:14:53Z</dcterms:modified>
</cp:coreProperties>
</file>