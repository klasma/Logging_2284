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45843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45843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45843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45843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45843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45843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45843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45843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45843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45843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45843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45843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45843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45843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45843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45843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45843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45843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45843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45843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45843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45843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49289-2022</t>
        </is>
      </c>
      <c r="B105" s="1" t="n">
        <v>44861</v>
      </c>
      <c r="C105" s="1" t="n">
        <v>45843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8.4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HYPERLINK("https://klasma.github.io/Logging_2284/artfynd/A 49289-2022 artfynd.xlsx", "A 49289-2022")</f>
        <v/>
      </c>
      <c r="T105">
        <f>HYPERLINK("https://klasma.github.io/Logging_2284/kartor/A 49289-2022 karta.png", "A 49289-2022")</f>
        <v/>
      </c>
      <c r="V105">
        <f>HYPERLINK("https://klasma.github.io/Logging_2284/klagomål/A 49289-2022 FSC-klagomål.docx", "A 49289-2022")</f>
        <v/>
      </c>
      <c r="W105">
        <f>HYPERLINK("https://klasma.github.io/Logging_2284/klagomålsmail/A 49289-2022 FSC-klagomål mail.docx", "A 49289-2022")</f>
        <v/>
      </c>
      <c r="X105">
        <f>HYPERLINK("https://klasma.github.io/Logging_2284/tillsyn/A 49289-2022 tillsynsbegäran.docx", "A 49289-2022")</f>
        <v/>
      </c>
      <c r="Y105">
        <f>HYPERLINK("https://klasma.github.io/Logging_2284/tillsynsmail/A 49289-2022 tillsynsbegäran mail.docx", "A 49289-2022")</f>
        <v/>
      </c>
    </row>
    <row r="106" ht="15" customHeight="1">
      <c r="A106" t="inlineStr">
        <is>
          <t>A 50570-2022</t>
        </is>
      </c>
      <c r="B106" s="1" t="n">
        <v>44866</v>
      </c>
      <c r="C106" s="1" t="n">
        <v>45843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12.5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Bred paljettdykare
Bredkantad dykare</t>
        </is>
      </c>
      <c r="S106">
        <f>HYPERLINK("https://klasma.github.io/Logging_2284/artfynd/A 50570-2022 artfynd.xlsx", "A 50570-2022")</f>
        <v/>
      </c>
      <c r="T106">
        <f>HYPERLINK("https://klasma.github.io/Logging_2284/kartor/A 50570-2022 karta.png", "A 50570-2022")</f>
        <v/>
      </c>
      <c r="V106">
        <f>HYPERLINK("https://klasma.github.io/Logging_2284/klagomål/A 50570-2022 FSC-klagomål.docx", "A 50570-2022")</f>
        <v/>
      </c>
      <c r="W106">
        <f>HYPERLINK("https://klasma.github.io/Logging_2284/klagomålsmail/A 50570-2022 FSC-klagomål mail.docx", "A 50570-2022")</f>
        <v/>
      </c>
      <c r="X106">
        <f>HYPERLINK("https://klasma.github.io/Logging_2284/tillsyn/A 50570-2022 tillsynsbegäran.docx", "A 50570-2022")</f>
        <v/>
      </c>
      <c r="Y106">
        <f>HYPERLINK("https://klasma.github.io/Logging_2284/tillsynsmail/A 50570-2022 tillsynsbegäran mail.docx", "A 50570-2022")</f>
        <v/>
      </c>
    </row>
    <row r="107" ht="15" customHeight="1">
      <c r="A107" t="inlineStr">
        <is>
          <t>A 56530-2022</t>
        </is>
      </c>
      <c r="B107" s="1" t="n">
        <v>44893</v>
      </c>
      <c r="C107" s="1" t="n">
        <v>45843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Violettgrå tagellav
Skinnlav</t>
        </is>
      </c>
      <c r="S107">
        <f>HYPERLINK("https://klasma.github.io/Logging_2284/artfynd/A 56530-2022 artfynd.xlsx", "A 56530-2022")</f>
        <v/>
      </c>
      <c r="T107">
        <f>HYPERLINK("https://klasma.github.io/Logging_2284/kartor/A 56530-2022 karta.png", "A 56530-2022")</f>
        <v/>
      </c>
      <c r="V107">
        <f>HYPERLINK("https://klasma.github.io/Logging_2284/klagomål/A 56530-2022 FSC-klagomål.docx", "A 56530-2022")</f>
        <v/>
      </c>
      <c r="W107">
        <f>HYPERLINK("https://klasma.github.io/Logging_2284/klagomålsmail/A 56530-2022 FSC-klagomål mail.docx", "A 56530-2022")</f>
        <v/>
      </c>
      <c r="X107">
        <f>HYPERLINK("https://klasma.github.io/Logging_2284/tillsyn/A 56530-2022 tillsynsbegäran.docx", "A 56530-2022")</f>
        <v/>
      </c>
      <c r="Y107">
        <f>HYPERLINK("https://klasma.github.io/Logging_2284/tillsynsmail/A 56530-2022 tillsynsbegäran mail.docx", "A 56530-2022")</f>
        <v/>
      </c>
    </row>
    <row r="108" ht="15" customHeight="1">
      <c r="A108" t="inlineStr">
        <is>
          <t>A 58070-2022</t>
        </is>
      </c>
      <c r="B108" s="1" t="n">
        <v>44893</v>
      </c>
      <c r="C108" s="1" t="n">
        <v>45843</v>
      </c>
      <c r="D108" t="inlineStr">
        <is>
          <t>VÄSTERNORRLANDS LÄN</t>
        </is>
      </c>
      <c r="E108" t="inlineStr">
        <is>
          <t>ÖRNSKÖLDSVIK</t>
        </is>
      </c>
      <c r="G108" t="n">
        <v>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Ärtsångare
Dropptaggsvamp</t>
        </is>
      </c>
      <c r="S108">
        <f>HYPERLINK("https://klasma.github.io/Logging_2284/artfynd/A 58070-2022 artfynd.xlsx", "A 58070-2022")</f>
        <v/>
      </c>
      <c r="T108">
        <f>HYPERLINK("https://klasma.github.io/Logging_2284/kartor/A 58070-2022 karta.png", "A 58070-2022")</f>
        <v/>
      </c>
      <c r="V108">
        <f>HYPERLINK("https://klasma.github.io/Logging_2284/klagomål/A 58070-2022 FSC-klagomål.docx", "A 58070-2022")</f>
        <v/>
      </c>
      <c r="W108">
        <f>HYPERLINK("https://klasma.github.io/Logging_2284/klagomålsmail/A 58070-2022 FSC-klagomål mail.docx", "A 58070-2022")</f>
        <v/>
      </c>
      <c r="X108">
        <f>HYPERLINK("https://klasma.github.io/Logging_2284/tillsyn/A 58070-2022 tillsynsbegäran.docx", "A 58070-2022")</f>
        <v/>
      </c>
      <c r="Y108">
        <f>HYPERLINK("https://klasma.github.io/Logging_2284/tillsynsmail/A 58070-2022 tillsynsbegäran mail.docx", "A 58070-2022")</f>
        <v/>
      </c>
      <c r="Z108">
        <f>HYPERLINK("https://klasma.github.io/Logging_2284/fåglar/A 58070-2022 prioriterade fågelarter.docx", "A 58070-2022")</f>
        <v/>
      </c>
    </row>
    <row r="109" ht="15" customHeight="1">
      <c r="A109" t="inlineStr">
        <is>
          <t>A 56962-2022</t>
        </is>
      </c>
      <c r="B109" s="1" t="n">
        <v>44894</v>
      </c>
      <c r="C109" s="1" t="n">
        <v>45843</v>
      </c>
      <c r="D109" t="inlineStr">
        <is>
          <t>VÄSTERNORRLANDS LÄN</t>
        </is>
      </c>
      <c r="E109" t="inlineStr">
        <is>
          <t>ÖRNSKÖLDSVIK</t>
        </is>
      </c>
      <c r="G109" t="n">
        <v>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56962-2022 artfynd.xlsx", "A 56962-2022")</f>
        <v/>
      </c>
      <c r="T109">
        <f>HYPERLINK("https://klasma.github.io/Logging_2284/kartor/A 56962-2022 karta.png", "A 56962-2022")</f>
        <v/>
      </c>
      <c r="V109">
        <f>HYPERLINK("https://klasma.github.io/Logging_2284/klagomål/A 56962-2022 FSC-klagomål.docx", "A 56962-2022")</f>
        <v/>
      </c>
      <c r="W109">
        <f>HYPERLINK("https://klasma.github.io/Logging_2284/klagomålsmail/A 56962-2022 FSC-klagomål mail.docx", "A 56962-2022")</f>
        <v/>
      </c>
      <c r="X109">
        <f>HYPERLINK("https://klasma.github.io/Logging_2284/tillsyn/A 56962-2022 tillsynsbegäran.docx", "A 56962-2022")</f>
        <v/>
      </c>
      <c r="Y109">
        <f>HYPERLINK("https://klasma.github.io/Logging_2284/tillsynsmail/A 56962-2022 tillsynsbegäran mail.docx", "A 56962-2022")</f>
        <v/>
      </c>
    </row>
    <row r="110" ht="15" customHeight="1">
      <c r="A110" t="inlineStr">
        <is>
          <t>A 62256-2022</t>
        </is>
      </c>
      <c r="B110" s="1" t="n">
        <v>44922</v>
      </c>
      <c r="C110" s="1" t="n">
        <v>45843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62256-2022 artfynd.xlsx", "A 62256-2022")</f>
        <v/>
      </c>
      <c r="T110">
        <f>HYPERLINK("https://klasma.github.io/Logging_2284/kartor/A 62256-2022 karta.png", "A 62256-2022")</f>
        <v/>
      </c>
      <c r="V110">
        <f>HYPERLINK("https://klasma.github.io/Logging_2284/klagomål/A 62256-2022 FSC-klagomål.docx", "A 62256-2022")</f>
        <v/>
      </c>
      <c r="W110">
        <f>HYPERLINK("https://klasma.github.io/Logging_2284/klagomålsmail/A 62256-2022 FSC-klagomål mail.docx", "A 62256-2022")</f>
        <v/>
      </c>
      <c r="X110">
        <f>HYPERLINK("https://klasma.github.io/Logging_2284/tillsyn/A 62256-2022 tillsynsbegäran.docx", "A 62256-2022")</f>
        <v/>
      </c>
      <c r="Y110">
        <f>HYPERLINK("https://klasma.github.io/Logging_2284/tillsynsmail/A 62256-2022 tillsynsbegäran mail.docx", "A 62256-2022")</f>
        <v/>
      </c>
      <c r="Z110">
        <f>HYPERLINK("https://klasma.github.io/Logging_2284/fåglar/A 62256-2022 prioriterade fågelarter.docx", "A 62256-2022")</f>
        <v/>
      </c>
    </row>
    <row r="111" ht="15" customHeight="1">
      <c r="A111" t="inlineStr">
        <is>
          <t>A 2008-2023</t>
        </is>
      </c>
      <c r="B111" s="1" t="n">
        <v>44939</v>
      </c>
      <c r="C111" s="1" t="n">
        <v>45843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HYPERLINK("https://klasma.github.io/Logging_2284/artfynd/A 2008-2023 artfynd.xlsx", "A 2008-2023")</f>
        <v/>
      </c>
      <c r="T111">
        <f>HYPERLINK("https://klasma.github.io/Logging_2284/kartor/A 2008-2023 karta.png", "A 2008-2023")</f>
        <v/>
      </c>
      <c r="V111">
        <f>HYPERLINK("https://klasma.github.io/Logging_2284/klagomål/A 2008-2023 FSC-klagomål.docx", "A 2008-2023")</f>
        <v/>
      </c>
      <c r="W111">
        <f>HYPERLINK("https://klasma.github.io/Logging_2284/klagomålsmail/A 2008-2023 FSC-klagomål mail.docx", "A 2008-2023")</f>
        <v/>
      </c>
      <c r="X111">
        <f>HYPERLINK("https://klasma.github.io/Logging_2284/tillsyn/A 2008-2023 tillsynsbegäran.docx", "A 2008-2023")</f>
        <v/>
      </c>
      <c r="Y111">
        <f>HYPERLINK("https://klasma.github.io/Logging_2284/tillsynsmail/A 2008-2023 tillsynsbegäran mail.docx", "A 2008-2023")</f>
        <v/>
      </c>
    </row>
    <row r="112" ht="15" customHeight="1">
      <c r="A112" t="inlineStr">
        <is>
          <t>A 4455-2023</t>
        </is>
      </c>
      <c r="B112" s="1" t="n">
        <v>44956</v>
      </c>
      <c r="C112" s="1" t="n">
        <v>45843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HYPERLINK("https://klasma.github.io/Logging_2284/artfynd/A 4455-2023 artfynd.xlsx", "A 4455-2023")</f>
        <v/>
      </c>
      <c r="T112">
        <f>HYPERLINK("https://klasma.github.io/Logging_2284/kartor/A 4455-2023 karta.png", "A 4455-2023")</f>
        <v/>
      </c>
      <c r="V112">
        <f>HYPERLINK("https://klasma.github.io/Logging_2284/klagomål/A 4455-2023 FSC-klagomål.docx", "A 4455-2023")</f>
        <v/>
      </c>
      <c r="W112">
        <f>HYPERLINK("https://klasma.github.io/Logging_2284/klagomålsmail/A 4455-2023 FSC-klagomål mail.docx", "A 4455-2023")</f>
        <v/>
      </c>
      <c r="X112">
        <f>HYPERLINK("https://klasma.github.io/Logging_2284/tillsyn/A 4455-2023 tillsynsbegäran.docx", "A 4455-2023")</f>
        <v/>
      </c>
      <c r="Y112">
        <f>HYPERLINK("https://klasma.github.io/Logging_2284/tillsynsmail/A 4455-2023 tillsynsbegäran mail.docx", "A 4455-2023")</f>
        <v/>
      </c>
    </row>
    <row r="113" ht="15" customHeight="1">
      <c r="A113" t="inlineStr">
        <is>
          <t>A 11332-2023</t>
        </is>
      </c>
      <c r="B113" s="1" t="n">
        <v>44988</v>
      </c>
      <c r="C113" s="1" t="n">
        <v>45843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Revlummer</t>
        </is>
      </c>
      <c r="S113">
        <f>HYPERLINK("https://klasma.github.io/Logging_2284/artfynd/A 11332-2023 artfynd.xlsx", "A 11332-2023")</f>
        <v/>
      </c>
      <c r="T113">
        <f>HYPERLINK("https://klasma.github.io/Logging_2284/kartor/A 11332-2023 karta.png", "A 11332-2023")</f>
        <v/>
      </c>
      <c r="V113">
        <f>HYPERLINK("https://klasma.github.io/Logging_2284/klagomål/A 11332-2023 FSC-klagomål.docx", "A 11332-2023")</f>
        <v/>
      </c>
      <c r="W113">
        <f>HYPERLINK("https://klasma.github.io/Logging_2284/klagomålsmail/A 11332-2023 FSC-klagomål mail.docx", "A 11332-2023")</f>
        <v/>
      </c>
      <c r="X113">
        <f>HYPERLINK("https://klasma.github.io/Logging_2284/tillsyn/A 11332-2023 tillsynsbegäran.docx", "A 11332-2023")</f>
        <v/>
      </c>
      <c r="Y113">
        <f>HYPERLINK("https://klasma.github.io/Logging_2284/tillsynsmail/A 11332-2023 tillsynsbegäran mail.docx", "A 11332-2023")</f>
        <v/>
      </c>
    </row>
    <row r="114" ht="15" customHeight="1">
      <c r="A114" t="inlineStr">
        <is>
          <t>A 11060-2023</t>
        </is>
      </c>
      <c r="B114" s="1" t="n">
        <v>44991</v>
      </c>
      <c r="C114" s="1" t="n">
        <v>45843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28.4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Rödbrun blekspik</t>
        </is>
      </c>
      <c r="S114">
        <f>HYPERLINK("https://klasma.github.io/Logging_2284/artfynd/A 11060-2023 artfynd.xlsx", "A 11060-2023")</f>
        <v/>
      </c>
      <c r="T114">
        <f>HYPERLINK("https://klasma.github.io/Logging_2284/kartor/A 11060-2023 karta.png", "A 11060-2023")</f>
        <v/>
      </c>
      <c r="V114">
        <f>HYPERLINK("https://klasma.github.io/Logging_2284/klagomål/A 11060-2023 FSC-klagomål.docx", "A 11060-2023")</f>
        <v/>
      </c>
      <c r="W114">
        <f>HYPERLINK("https://klasma.github.io/Logging_2284/klagomålsmail/A 11060-2023 FSC-klagomål mail.docx", "A 11060-2023")</f>
        <v/>
      </c>
      <c r="X114">
        <f>HYPERLINK("https://klasma.github.io/Logging_2284/tillsyn/A 11060-2023 tillsynsbegäran.docx", "A 11060-2023")</f>
        <v/>
      </c>
      <c r="Y114">
        <f>HYPERLINK("https://klasma.github.io/Logging_2284/tillsynsmail/A 11060-2023 tillsynsbegäran mail.docx", "A 11060-2023")</f>
        <v/>
      </c>
    </row>
    <row r="115" ht="15" customHeight="1">
      <c r="A115" t="inlineStr">
        <is>
          <t>A 15386-2023</t>
        </is>
      </c>
      <c r="B115" s="1" t="n">
        <v>45019</v>
      </c>
      <c r="C115" s="1" t="n">
        <v>45843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Tallticka</t>
        </is>
      </c>
      <c r="S115">
        <f>HYPERLINK("https://klasma.github.io/Logging_2284/artfynd/A 15386-2023 artfynd.xlsx", "A 15386-2023")</f>
        <v/>
      </c>
      <c r="T115">
        <f>HYPERLINK("https://klasma.github.io/Logging_2284/kartor/A 15386-2023 karta.png", "A 15386-2023")</f>
        <v/>
      </c>
      <c r="V115">
        <f>HYPERLINK("https://klasma.github.io/Logging_2284/klagomål/A 15386-2023 FSC-klagomål.docx", "A 15386-2023")</f>
        <v/>
      </c>
      <c r="W115">
        <f>HYPERLINK("https://klasma.github.io/Logging_2284/klagomålsmail/A 15386-2023 FSC-klagomål mail.docx", "A 15386-2023")</f>
        <v/>
      </c>
      <c r="X115">
        <f>HYPERLINK("https://klasma.github.io/Logging_2284/tillsyn/A 15386-2023 tillsynsbegäran.docx", "A 15386-2023")</f>
        <v/>
      </c>
      <c r="Y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30071-2023</t>
        </is>
      </c>
      <c r="B116" s="1" t="n">
        <v>45110</v>
      </c>
      <c r="C116" s="1" t="n">
        <v>45843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Stuplav</t>
        </is>
      </c>
      <c r="S116">
        <f>HYPERLINK("https://klasma.github.io/Logging_2284/artfynd/A 30071-2023 artfynd.xlsx", "A 30071-2023")</f>
        <v/>
      </c>
      <c r="T116">
        <f>HYPERLINK("https://klasma.github.io/Logging_2284/kartor/A 30071-2023 karta.png", "A 30071-2023")</f>
        <v/>
      </c>
      <c r="V116">
        <f>HYPERLINK("https://klasma.github.io/Logging_2284/klagomål/A 30071-2023 FSC-klagomål.docx", "A 30071-2023")</f>
        <v/>
      </c>
      <c r="W116">
        <f>HYPERLINK("https://klasma.github.io/Logging_2284/klagomålsmail/A 30071-2023 FSC-klagomål mail.docx", "A 30071-2023")</f>
        <v/>
      </c>
      <c r="X116">
        <f>HYPERLINK("https://klasma.github.io/Logging_2284/tillsyn/A 30071-2023 tillsynsbegäran.docx", "A 30071-2023")</f>
        <v/>
      </c>
      <c r="Y116">
        <f>HYPERLINK("https://klasma.github.io/Logging_2284/tillsynsmail/A 30071-2023 tillsynsbegäran mail.docx", "A 30071-2023")</f>
        <v/>
      </c>
    </row>
    <row r="117" ht="15" customHeight="1">
      <c r="A117" t="inlineStr">
        <is>
          <t>A 38269-2023</t>
        </is>
      </c>
      <c r="B117" s="1" t="n">
        <v>45161</v>
      </c>
      <c r="C117" s="1" t="n">
        <v>45843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38269-2023 artfynd.xlsx", "A 38269-2023")</f>
        <v/>
      </c>
      <c r="T117">
        <f>HYPERLINK("https://klasma.github.io/Logging_2284/kartor/A 38269-2023 karta.png", "A 38269-2023")</f>
        <v/>
      </c>
      <c r="V117">
        <f>HYPERLINK("https://klasma.github.io/Logging_2284/klagomål/A 38269-2023 FSC-klagomål.docx", "A 38269-2023")</f>
        <v/>
      </c>
      <c r="W117">
        <f>HYPERLINK("https://klasma.github.io/Logging_2284/klagomålsmail/A 38269-2023 FSC-klagomål mail.docx", "A 38269-2023")</f>
        <v/>
      </c>
      <c r="X117">
        <f>HYPERLINK("https://klasma.github.io/Logging_2284/tillsyn/A 38269-2023 tillsynsbegäran.docx", "A 38269-2023")</f>
        <v/>
      </c>
      <c r="Y117">
        <f>HYPERLINK("https://klasma.github.io/Logging_2284/tillsynsmail/A 38269-2023 tillsynsbegäran mail.docx", "A 38269-2023")</f>
        <v/>
      </c>
    </row>
    <row r="118" ht="15" customHeight="1">
      <c r="A118" t="inlineStr">
        <is>
          <t>A 42551-2023</t>
        </is>
      </c>
      <c r="B118" s="1" t="n">
        <v>45176</v>
      </c>
      <c r="C118" s="1" t="n">
        <v>45843</v>
      </c>
      <c r="D118" t="inlineStr">
        <is>
          <t>VÄSTERNORRLANDS LÄN</t>
        </is>
      </c>
      <c r="E118" t="inlineStr">
        <is>
          <t>ÖRNSKÖLDSVIK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Ullticka</t>
        </is>
      </c>
      <c r="S118">
        <f>HYPERLINK("https://klasma.github.io/Logging_2284/artfynd/A 42551-2023 artfynd.xlsx", "A 42551-2023")</f>
        <v/>
      </c>
      <c r="T118">
        <f>HYPERLINK("https://klasma.github.io/Logging_2284/kartor/A 42551-2023 karta.png", "A 42551-2023")</f>
        <v/>
      </c>
      <c r="V118">
        <f>HYPERLINK("https://klasma.github.io/Logging_2284/klagomål/A 42551-2023 FSC-klagomål.docx", "A 42551-2023")</f>
        <v/>
      </c>
      <c r="W118">
        <f>HYPERLINK("https://klasma.github.io/Logging_2284/klagomålsmail/A 42551-2023 FSC-klagomål mail.docx", "A 42551-2023")</f>
        <v/>
      </c>
      <c r="X118">
        <f>HYPERLINK("https://klasma.github.io/Logging_2284/tillsyn/A 42551-2023 tillsynsbegäran.docx", "A 42551-2023")</f>
        <v/>
      </c>
      <c r="Y118">
        <f>HYPERLINK("https://klasma.github.io/Logging_2284/tillsynsmail/A 42551-2023 tillsynsbegäran mail.docx", "A 42551-2023")</f>
        <v/>
      </c>
    </row>
    <row r="119" ht="15" customHeight="1">
      <c r="A119" t="inlineStr">
        <is>
          <t>A 47654-2023</t>
        </is>
      </c>
      <c r="B119" s="1" t="n">
        <v>45203</v>
      </c>
      <c r="C119" s="1" t="n">
        <v>45843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Skarp dropptaggsvamp</t>
        </is>
      </c>
      <c r="S119">
        <f>HYPERLINK("https://klasma.github.io/Logging_2284/artfynd/A 47654-2023 artfynd.xlsx", "A 47654-2023")</f>
        <v/>
      </c>
      <c r="T119">
        <f>HYPERLINK("https://klasma.github.io/Logging_2284/kartor/A 47654-2023 karta.png", "A 47654-2023")</f>
        <v/>
      </c>
      <c r="V119">
        <f>HYPERLINK("https://klasma.github.io/Logging_2284/klagomål/A 47654-2023 FSC-klagomål.docx", "A 47654-2023")</f>
        <v/>
      </c>
      <c r="W119">
        <f>HYPERLINK("https://klasma.github.io/Logging_2284/klagomålsmail/A 47654-2023 FSC-klagomål mail.docx", "A 47654-2023")</f>
        <v/>
      </c>
      <c r="X119">
        <f>HYPERLINK("https://klasma.github.io/Logging_2284/tillsyn/A 47654-2023 tillsynsbegäran.docx", "A 47654-2023")</f>
        <v/>
      </c>
      <c r="Y119">
        <f>HYPERLINK("https://klasma.github.io/Logging_2284/tillsynsmail/A 47654-2023 tillsynsbegäran mail.docx", "A 47654-2023")</f>
        <v/>
      </c>
    </row>
    <row r="120" ht="15" customHeight="1">
      <c r="A120" t="inlineStr">
        <is>
          <t>A 51148-2023</t>
        </is>
      </c>
      <c r="B120" s="1" t="n">
        <v>45219</v>
      </c>
      <c r="C120" s="1" t="n">
        <v>45843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51148-2023 artfynd.xlsx", "A 51148-2023")</f>
        <v/>
      </c>
      <c r="T120">
        <f>HYPERLINK("https://klasma.github.io/Logging_2284/kartor/A 51148-2023 karta.png", "A 51148-2023")</f>
        <v/>
      </c>
      <c r="V120">
        <f>HYPERLINK("https://klasma.github.io/Logging_2284/klagomål/A 51148-2023 FSC-klagomål.docx", "A 51148-2023")</f>
        <v/>
      </c>
      <c r="W120">
        <f>HYPERLINK("https://klasma.github.io/Logging_2284/klagomålsmail/A 51148-2023 FSC-klagomål mail.docx", "A 51148-2023")</f>
        <v/>
      </c>
      <c r="X120">
        <f>HYPERLINK("https://klasma.github.io/Logging_2284/tillsyn/A 51148-2023 tillsynsbegäran.docx", "A 51148-2023")</f>
        <v/>
      </c>
      <c r="Y120">
        <f>HYPERLINK("https://klasma.github.io/Logging_2284/tillsynsmail/A 51148-2023 tillsynsbegäran mail.docx", "A 51148-2023")</f>
        <v/>
      </c>
    </row>
    <row r="121" ht="15" customHeight="1">
      <c r="A121" t="inlineStr">
        <is>
          <t>A 54155-2023</t>
        </is>
      </c>
      <c r="B121" s="1" t="n">
        <v>45232</v>
      </c>
      <c r="C121" s="1" t="n">
        <v>45843</v>
      </c>
      <c r="D121" t="inlineStr">
        <is>
          <t>VÄSTERNORRLANDS LÄN</t>
        </is>
      </c>
      <c r="E121" t="inlineStr">
        <is>
          <t>ÖRNSKÖLDSVIK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Liten hornflikmossa
Vedtrappmossa</t>
        </is>
      </c>
      <c r="S121">
        <f>HYPERLINK("https://klasma.github.io/Logging_2284/artfynd/A 54155-2023 artfynd.xlsx", "A 54155-2023")</f>
        <v/>
      </c>
      <c r="T121">
        <f>HYPERLINK("https://klasma.github.io/Logging_2284/kartor/A 54155-2023 karta.png", "A 54155-2023")</f>
        <v/>
      </c>
      <c r="V121">
        <f>HYPERLINK("https://klasma.github.io/Logging_2284/klagomål/A 54155-2023 FSC-klagomål.docx", "A 54155-2023")</f>
        <v/>
      </c>
      <c r="W121">
        <f>HYPERLINK("https://klasma.github.io/Logging_2284/klagomålsmail/A 54155-2023 FSC-klagomål mail.docx", "A 54155-2023")</f>
        <v/>
      </c>
      <c r="X121">
        <f>HYPERLINK("https://klasma.github.io/Logging_2284/tillsyn/A 54155-2023 tillsynsbegäran.docx", "A 54155-2023")</f>
        <v/>
      </c>
      <c r="Y121">
        <f>HYPERLINK("https://klasma.github.io/Logging_2284/tillsynsmail/A 54155-2023 tillsynsbegäran mail.docx", "A 54155-2023")</f>
        <v/>
      </c>
    </row>
    <row r="122" ht="15" customHeight="1">
      <c r="A122" t="inlineStr">
        <is>
          <t>A 19812-2024</t>
        </is>
      </c>
      <c r="B122" s="1" t="n">
        <v>45433</v>
      </c>
      <c r="C122" s="1" t="n">
        <v>45843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Tretåig hackspett</t>
        </is>
      </c>
      <c r="S122">
        <f>HYPERLINK("https://klasma.github.io/Logging_2284/artfynd/A 19812-2024 artfynd.xlsx", "A 19812-2024")</f>
        <v/>
      </c>
      <c r="T122">
        <f>HYPERLINK("https://klasma.github.io/Logging_2284/kartor/A 19812-2024 karta.png", "A 19812-2024")</f>
        <v/>
      </c>
      <c r="V122">
        <f>HYPERLINK("https://klasma.github.io/Logging_2284/klagomål/A 19812-2024 FSC-klagomål.docx", "A 19812-2024")</f>
        <v/>
      </c>
      <c r="W122">
        <f>HYPERLINK("https://klasma.github.io/Logging_2284/klagomålsmail/A 19812-2024 FSC-klagomål mail.docx", "A 19812-2024")</f>
        <v/>
      </c>
      <c r="X122">
        <f>HYPERLINK("https://klasma.github.io/Logging_2284/tillsyn/A 19812-2024 tillsynsbegäran.docx", "A 19812-2024")</f>
        <v/>
      </c>
      <c r="Y122">
        <f>HYPERLINK("https://klasma.github.io/Logging_2284/tillsynsmail/A 19812-2024 tillsynsbegäran mail.docx", "A 19812-2024")</f>
        <v/>
      </c>
      <c r="Z122">
        <f>HYPERLINK("https://klasma.github.io/Logging_2284/fåglar/A 19812-2024 prioriterade fågelarter.docx", "A 19812-2024")</f>
        <v/>
      </c>
    </row>
    <row r="123" ht="15" customHeight="1">
      <c r="A123" t="inlineStr">
        <is>
          <t>A 22498-2024</t>
        </is>
      </c>
      <c r="B123" s="1" t="n">
        <v>45447</v>
      </c>
      <c r="C123" s="1" t="n">
        <v>45843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Ullticka</t>
        </is>
      </c>
      <c r="S123">
        <f>HYPERLINK("https://klasma.github.io/Logging_2284/artfynd/A 22498-2024 artfynd.xlsx", "A 22498-2024")</f>
        <v/>
      </c>
      <c r="T123">
        <f>HYPERLINK("https://klasma.github.io/Logging_2284/kartor/A 22498-2024 karta.png", "A 22498-2024")</f>
        <v/>
      </c>
      <c r="V123">
        <f>HYPERLINK("https://klasma.github.io/Logging_2284/klagomål/A 22498-2024 FSC-klagomål.docx", "A 22498-2024")</f>
        <v/>
      </c>
      <c r="W123">
        <f>HYPERLINK("https://klasma.github.io/Logging_2284/klagomålsmail/A 22498-2024 FSC-klagomål mail.docx", "A 22498-2024")</f>
        <v/>
      </c>
      <c r="X123">
        <f>HYPERLINK("https://klasma.github.io/Logging_2284/tillsyn/A 22498-2024 tillsynsbegäran.docx", "A 22498-2024")</f>
        <v/>
      </c>
      <c r="Y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32524-2024</t>
        </is>
      </c>
      <c r="B124" s="1" t="n">
        <v>45513</v>
      </c>
      <c r="C124" s="1" t="n">
        <v>45843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Granticka
Kolflarnlav</t>
        </is>
      </c>
      <c r="S124">
        <f>HYPERLINK("https://klasma.github.io/Logging_2284/artfynd/A 32524-2024 artfynd.xlsx", "A 32524-2024")</f>
        <v/>
      </c>
      <c r="T124">
        <f>HYPERLINK("https://klasma.github.io/Logging_2284/kartor/A 32524-2024 karta.png", "A 32524-2024")</f>
        <v/>
      </c>
      <c r="V124">
        <f>HYPERLINK("https://klasma.github.io/Logging_2284/klagomål/A 32524-2024 FSC-klagomål.docx", "A 32524-2024")</f>
        <v/>
      </c>
      <c r="W124">
        <f>HYPERLINK("https://klasma.github.io/Logging_2284/klagomålsmail/A 32524-2024 FSC-klagomål mail.docx", "A 32524-2024")</f>
        <v/>
      </c>
      <c r="X124">
        <f>HYPERLINK("https://klasma.github.io/Logging_2284/tillsyn/A 32524-2024 tillsynsbegäran.docx", "A 32524-2024")</f>
        <v/>
      </c>
      <c r="Y124">
        <f>HYPERLINK("https://klasma.github.io/Logging_2284/tillsynsmail/A 32524-2024 tillsynsbegäran mail.docx", "A 32524-2024")</f>
        <v/>
      </c>
    </row>
    <row r="125" ht="15" customHeight="1">
      <c r="A125" t="inlineStr">
        <is>
          <t>A 35802-2024</t>
        </is>
      </c>
      <c r="B125" s="1" t="n">
        <v>45532</v>
      </c>
      <c r="C125" s="1" t="n">
        <v>45843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6.7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HYPERLINK("https://klasma.github.io/Logging_2284/artfynd/A 35802-2024 artfynd.xlsx", "A 35802-2024")</f>
        <v/>
      </c>
      <c r="T125">
        <f>HYPERLINK("https://klasma.github.io/Logging_2284/kartor/A 35802-2024 karta.png", "A 35802-2024")</f>
        <v/>
      </c>
      <c r="V125">
        <f>HYPERLINK("https://klasma.github.io/Logging_2284/klagomål/A 35802-2024 FSC-klagomål.docx", "A 35802-2024")</f>
        <v/>
      </c>
      <c r="W125">
        <f>HYPERLINK("https://klasma.github.io/Logging_2284/klagomålsmail/A 35802-2024 FSC-klagomål mail.docx", "A 35802-2024")</f>
        <v/>
      </c>
      <c r="X125">
        <f>HYPERLINK("https://klasma.github.io/Logging_2284/tillsyn/A 35802-2024 tillsynsbegäran.docx", "A 35802-2024")</f>
        <v/>
      </c>
      <c r="Y125">
        <f>HYPERLINK("https://klasma.github.io/Logging_2284/tillsynsmail/A 35802-2024 tillsynsbegäran mail.docx", "A 35802-2024")</f>
        <v/>
      </c>
    </row>
    <row r="126" ht="15" customHeight="1">
      <c r="A126" t="inlineStr">
        <is>
          <t>A 37479-2024</t>
        </is>
      </c>
      <c r="B126" s="1" t="n">
        <v>45541</v>
      </c>
      <c r="C126" s="1" t="n">
        <v>45843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HYPERLINK("https://klasma.github.io/Logging_2284/artfynd/A 37479-2024 artfynd.xlsx", "A 37479-2024")</f>
        <v/>
      </c>
      <c r="T126">
        <f>HYPERLINK("https://klasma.github.io/Logging_2284/kartor/A 37479-2024 karta.png", "A 37479-2024")</f>
        <v/>
      </c>
      <c r="V126">
        <f>HYPERLINK("https://klasma.github.io/Logging_2284/klagomål/A 37479-2024 FSC-klagomål.docx", "A 37479-2024")</f>
        <v/>
      </c>
      <c r="W126">
        <f>HYPERLINK("https://klasma.github.io/Logging_2284/klagomålsmail/A 37479-2024 FSC-klagomål mail.docx", "A 37479-2024")</f>
        <v/>
      </c>
      <c r="X126">
        <f>HYPERLINK("https://klasma.github.io/Logging_2284/tillsyn/A 37479-2024 tillsynsbegäran.docx", "A 37479-2024")</f>
        <v/>
      </c>
      <c r="Y126">
        <f>HYPERLINK("https://klasma.github.io/Logging_2284/tillsynsmail/A 37479-2024 tillsynsbegäran mail.docx", "A 37479-2024")</f>
        <v/>
      </c>
    </row>
    <row r="127" ht="15" customHeight="1">
      <c r="A127" t="inlineStr">
        <is>
          <t>A 41600-2024</t>
        </is>
      </c>
      <c r="B127" s="1" t="n">
        <v>45560</v>
      </c>
      <c r="C127" s="1" t="n">
        <v>45843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Dropptaggsvamp</t>
        </is>
      </c>
      <c r="S127">
        <f>HYPERLINK("https://klasma.github.io/Logging_2284/artfynd/A 41600-2024 artfynd.xlsx", "A 41600-2024")</f>
        <v/>
      </c>
      <c r="T127">
        <f>HYPERLINK("https://klasma.github.io/Logging_2284/kartor/A 41600-2024 karta.png", "A 41600-2024")</f>
        <v/>
      </c>
      <c r="V127">
        <f>HYPERLINK("https://klasma.github.io/Logging_2284/klagomål/A 41600-2024 FSC-klagomål.docx", "A 41600-2024")</f>
        <v/>
      </c>
      <c r="W127">
        <f>HYPERLINK("https://klasma.github.io/Logging_2284/klagomålsmail/A 41600-2024 FSC-klagomål mail.docx", "A 41600-2024")</f>
        <v/>
      </c>
      <c r="X127">
        <f>HYPERLINK("https://klasma.github.io/Logging_2284/tillsyn/A 41600-2024 tillsynsbegäran.docx", "A 41600-2024")</f>
        <v/>
      </c>
      <c r="Y127">
        <f>HYPERLINK("https://klasma.github.io/Logging_2284/tillsynsmail/A 41600-2024 tillsynsbegäran mail.docx", "A 41600-2024")</f>
        <v/>
      </c>
    </row>
    <row r="128" ht="15" customHeight="1">
      <c r="A128" t="inlineStr">
        <is>
          <t>A 52188-2024</t>
        </is>
      </c>
      <c r="B128" s="1" t="n">
        <v>45608</v>
      </c>
      <c r="C128" s="1" t="n">
        <v>45843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28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Mörk husmossa
Stuplav</t>
        </is>
      </c>
      <c r="S128">
        <f>HYPERLINK("https://klasma.github.io/Logging_2284/artfynd/A 52188-2024 artfynd.xlsx", "A 52188-2024")</f>
        <v/>
      </c>
      <c r="T128">
        <f>HYPERLINK("https://klasma.github.io/Logging_2284/kartor/A 52188-2024 karta.png", "A 52188-2024")</f>
        <v/>
      </c>
      <c r="V128">
        <f>HYPERLINK("https://klasma.github.io/Logging_2284/klagomål/A 52188-2024 FSC-klagomål.docx", "A 52188-2024")</f>
        <v/>
      </c>
      <c r="W128">
        <f>HYPERLINK("https://klasma.github.io/Logging_2284/klagomålsmail/A 52188-2024 FSC-klagomål mail.docx", "A 52188-2024")</f>
        <v/>
      </c>
      <c r="X128">
        <f>HYPERLINK("https://klasma.github.io/Logging_2284/tillsyn/A 52188-2024 tillsynsbegäran.docx", "A 52188-2024")</f>
        <v/>
      </c>
      <c r="Y128">
        <f>HYPERLINK("https://klasma.github.io/Logging_2284/tillsynsmail/A 52188-2024 tillsynsbegäran mail.docx", "A 52188-2024")</f>
        <v/>
      </c>
    </row>
    <row r="129" ht="15" customHeight="1">
      <c r="A129" t="inlineStr">
        <is>
          <t>A 61515-2024</t>
        </is>
      </c>
      <c r="B129" s="1" t="n">
        <v>45646</v>
      </c>
      <c r="C129" s="1" t="n">
        <v>45843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2.5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HYPERLINK("https://klasma.github.io/Logging_2284/artfynd/A 61515-2024 artfynd.xlsx", "A 61515-2024")</f>
        <v/>
      </c>
      <c r="T129">
        <f>HYPERLINK("https://klasma.github.io/Logging_2284/kartor/A 61515-2024 karta.png", "A 61515-2024")</f>
        <v/>
      </c>
      <c r="V129">
        <f>HYPERLINK("https://klasma.github.io/Logging_2284/klagomål/A 61515-2024 FSC-klagomål.docx", "A 61515-2024")</f>
        <v/>
      </c>
      <c r="W129">
        <f>HYPERLINK("https://klasma.github.io/Logging_2284/klagomålsmail/A 61515-2024 FSC-klagomål mail.docx", "A 61515-2024")</f>
        <v/>
      </c>
      <c r="X129">
        <f>HYPERLINK("https://klasma.github.io/Logging_2284/tillsyn/A 61515-2024 tillsynsbegäran.docx", "A 61515-2024")</f>
        <v/>
      </c>
      <c r="Y129">
        <f>HYPERLINK("https://klasma.github.io/Logging_2284/tillsynsmail/A 61515-2024 tillsynsbegäran mail.docx", "A 61515-2024")</f>
        <v/>
      </c>
    </row>
    <row r="130" ht="15" customHeight="1">
      <c r="A130" t="inlineStr">
        <is>
          <t>A 13626-2025</t>
        </is>
      </c>
      <c r="B130" s="1" t="n">
        <v>45736</v>
      </c>
      <c r="C130" s="1" t="n">
        <v>45843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Bårdlav</t>
        </is>
      </c>
      <c r="S130">
        <f>HYPERLINK("https://klasma.github.io/Logging_222284/artfynd/A 13626-2025 artfynd.xlsx", "A 13626-2025")</f>
        <v/>
      </c>
      <c r="T130">
        <f>HYPERLINK("https://klasma.github.io/Logging_222284/kartor/A 13626-2025 karta.png", "A 13626-2025")</f>
        <v/>
      </c>
      <c r="V130">
        <f>HYPERLINK("https://klasma.github.io/Logging_222284/klagomål/A 13626-2025 FSC-klagomål.docx", "A 13626-2025")</f>
        <v/>
      </c>
      <c r="W130">
        <f>HYPERLINK("https://klasma.github.io/Logging_222284/klagomålsmail/A 13626-2025 FSC-klagomål mail.docx", "A 13626-2025")</f>
        <v/>
      </c>
      <c r="X130">
        <f>HYPERLINK("https://klasma.github.io/Logging_222284/tillsyn/A 13626-2025 tillsynsbegäran.docx", "A 13626-2025")</f>
        <v/>
      </c>
      <c r="Y130">
        <f>HYPERLINK("https://klasma.github.io/Logging_222284/tillsynsmail/A 13626-2025 tillsynsbegäran mail.docx", "A 13626-2025")</f>
        <v/>
      </c>
    </row>
    <row r="131" ht="15" customHeight="1">
      <c r="A131" t="inlineStr">
        <is>
          <t>A 44732-2019</t>
        </is>
      </c>
      <c r="B131" s="1" t="n">
        <v>43712</v>
      </c>
      <c r="C131" s="1" t="n">
        <v>45843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44732-2019 artfynd.xlsx", "A 44732-2019")</f>
        <v/>
      </c>
      <c r="T131">
        <f>HYPERLINK("https://klasma.github.io/Logging_2284/kartor/A 44732-2019 karta.png", "A 44732-2019")</f>
        <v/>
      </c>
      <c r="V131">
        <f>HYPERLINK("https://klasma.github.io/Logging_2284/klagomål/A 44732-2019 FSC-klagomål.docx", "A 44732-2019")</f>
        <v/>
      </c>
      <c r="W131">
        <f>HYPERLINK("https://klasma.github.io/Logging_2284/klagomålsmail/A 44732-2019 FSC-klagomål mail.docx", "A 44732-2019")</f>
        <v/>
      </c>
      <c r="X131">
        <f>HYPERLINK("https://klasma.github.io/Logging_2284/tillsyn/A 44732-2019 tillsynsbegäran.docx", "A 44732-2019")</f>
        <v/>
      </c>
      <c r="Y131">
        <f>HYPERLINK("https://klasma.github.io/Logging_2284/tillsynsmail/A 44732-2019 tillsynsbegäran mail.docx", "A 44732-2019")</f>
        <v/>
      </c>
    </row>
    <row r="132" ht="15" customHeight="1">
      <c r="A132" t="inlineStr">
        <is>
          <t>A 54148-2019</t>
        </is>
      </c>
      <c r="B132" s="1" t="n">
        <v>43753</v>
      </c>
      <c r="C132" s="1" t="n">
        <v>45843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54148-2019 artfynd.xlsx", "A 54148-2019")</f>
        <v/>
      </c>
      <c r="T132">
        <f>HYPERLINK("https://klasma.github.io/Logging_2284/kartor/A 54148-2019 karta.png", "A 54148-2019")</f>
        <v/>
      </c>
      <c r="V132">
        <f>HYPERLINK("https://klasma.github.io/Logging_2284/klagomål/A 54148-2019 FSC-klagomål.docx", "A 54148-2019")</f>
        <v/>
      </c>
      <c r="W132">
        <f>HYPERLINK("https://klasma.github.io/Logging_2284/klagomålsmail/A 54148-2019 FSC-klagomål mail.docx", "A 54148-2019")</f>
        <v/>
      </c>
      <c r="X132">
        <f>HYPERLINK("https://klasma.github.io/Logging_2284/tillsyn/A 54148-2019 tillsynsbegäran.docx", "A 54148-2019")</f>
        <v/>
      </c>
      <c r="Y132">
        <f>HYPERLINK("https://klasma.github.io/Logging_2284/tillsynsmail/A 54148-2019 tillsynsbegäran mail.docx", "A 54148-2019")</f>
        <v/>
      </c>
    </row>
    <row r="133" ht="15" customHeight="1">
      <c r="A133" t="inlineStr">
        <is>
          <t>A 55307-2019</t>
        </is>
      </c>
      <c r="B133" s="1" t="n">
        <v>43756</v>
      </c>
      <c r="C133" s="1" t="n">
        <v>45843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55307-2019 artfynd.xlsx", "A 55307-2019")</f>
        <v/>
      </c>
      <c r="T133">
        <f>HYPERLINK("https://klasma.github.io/Logging_2284/kartor/A 55307-2019 karta.png", "A 55307-2019")</f>
        <v/>
      </c>
      <c r="V133">
        <f>HYPERLINK("https://klasma.github.io/Logging_2284/klagomål/A 55307-2019 FSC-klagomål.docx", "A 55307-2019")</f>
        <v/>
      </c>
      <c r="W133">
        <f>HYPERLINK("https://klasma.github.io/Logging_2284/klagomålsmail/A 55307-2019 FSC-klagomål mail.docx", "A 55307-2019")</f>
        <v/>
      </c>
      <c r="X133">
        <f>HYPERLINK("https://klasma.github.io/Logging_2284/tillsyn/A 55307-2019 tillsynsbegäran.docx", "A 55307-2019")</f>
        <v/>
      </c>
      <c r="Y133">
        <f>HYPERLINK("https://klasma.github.io/Logging_2284/tillsynsmail/A 55307-2019 tillsynsbegäran mail.docx", "A 55307-2019")</f>
        <v/>
      </c>
      <c r="Z133">
        <f>HYPERLINK("https://klasma.github.io/Logging_2284/fåglar/A 55307-2019 prioriterade fågelarter.docx", "A 55307-2019")</f>
        <v/>
      </c>
    </row>
    <row r="134" ht="15" customHeight="1">
      <c r="A134" t="inlineStr">
        <is>
          <t>A 60489-2019</t>
        </is>
      </c>
      <c r="B134" s="1" t="n">
        <v>43780</v>
      </c>
      <c r="C134" s="1" t="n">
        <v>45843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60489-2019 artfynd.xlsx", "A 60489-2019")</f>
        <v/>
      </c>
      <c r="T134">
        <f>HYPERLINK("https://klasma.github.io/Logging_2284/kartor/A 60489-2019 karta.png", "A 60489-2019")</f>
        <v/>
      </c>
      <c r="V134">
        <f>HYPERLINK("https://klasma.github.io/Logging_2284/klagomål/A 60489-2019 FSC-klagomål.docx", "A 60489-2019")</f>
        <v/>
      </c>
      <c r="W134">
        <f>HYPERLINK("https://klasma.github.io/Logging_2284/klagomålsmail/A 60489-2019 FSC-klagomål mail.docx", "A 60489-2019")</f>
        <v/>
      </c>
      <c r="X134">
        <f>HYPERLINK("https://klasma.github.io/Logging_2284/tillsyn/A 60489-2019 tillsynsbegäran.docx", "A 60489-2019")</f>
        <v/>
      </c>
      <c r="Y134">
        <f>HYPERLINK("https://klasma.github.io/Logging_2284/tillsynsmail/A 60489-2019 tillsynsbegäran mail.docx", "A 60489-2019")</f>
        <v/>
      </c>
    </row>
    <row r="135" ht="15" customHeight="1">
      <c r="A135" t="inlineStr">
        <is>
          <t>A 1431-2020</t>
        </is>
      </c>
      <c r="B135" s="1" t="n">
        <v>43843</v>
      </c>
      <c r="C135" s="1" t="n">
        <v>45843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1431-2020 artfynd.xlsx", "A 1431-2020")</f>
        <v/>
      </c>
      <c r="T135">
        <f>HYPERLINK("https://klasma.github.io/Logging_2284/kartor/A 1431-2020 karta.png", "A 1431-2020")</f>
        <v/>
      </c>
      <c r="V135">
        <f>HYPERLINK("https://klasma.github.io/Logging_2284/klagomål/A 1431-2020 FSC-klagomål.docx", "A 1431-2020")</f>
        <v/>
      </c>
      <c r="W135">
        <f>HYPERLINK("https://klasma.github.io/Logging_2284/klagomålsmail/A 1431-2020 FSC-klagomål mail.docx", "A 1431-2020")</f>
        <v/>
      </c>
      <c r="X135">
        <f>HYPERLINK("https://klasma.github.io/Logging_2284/tillsyn/A 1431-2020 tillsynsbegäran.docx", "A 1431-2020")</f>
        <v/>
      </c>
      <c r="Y135">
        <f>HYPERLINK("https://klasma.github.io/Logging_2284/tillsynsmail/A 1431-2020 tillsynsbegäran mail.docx", "A 1431-2020")</f>
        <v/>
      </c>
    </row>
    <row r="136" ht="15" customHeight="1">
      <c r="A136" t="inlineStr">
        <is>
          <t>A 3905-2020</t>
        </is>
      </c>
      <c r="B136" s="1" t="n">
        <v>43854</v>
      </c>
      <c r="C136" s="1" t="n">
        <v>45843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3905-2020 artfynd.xlsx", "A 3905-2020")</f>
        <v/>
      </c>
      <c r="T136">
        <f>HYPERLINK("https://klasma.github.io/Logging_2284/kartor/A 3905-2020 karta.png", "A 3905-2020")</f>
        <v/>
      </c>
      <c r="V136">
        <f>HYPERLINK("https://klasma.github.io/Logging_2284/klagomål/A 3905-2020 FSC-klagomål.docx", "A 3905-2020")</f>
        <v/>
      </c>
      <c r="W136">
        <f>HYPERLINK("https://klasma.github.io/Logging_2284/klagomålsmail/A 3905-2020 FSC-klagomål mail.docx", "A 3905-2020")</f>
        <v/>
      </c>
      <c r="X136">
        <f>HYPERLINK("https://klasma.github.io/Logging_2284/tillsyn/A 3905-2020 tillsynsbegäran.docx", "A 3905-2020")</f>
        <v/>
      </c>
      <c r="Y136">
        <f>HYPERLINK("https://klasma.github.io/Logging_2284/tillsynsmail/A 3905-2020 tillsynsbegäran mail.docx", "A 3905-2020")</f>
        <v/>
      </c>
    </row>
    <row r="137" ht="15" customHeight="1">
      <c r="A137" t="inlineStr">
        <is>
          <t>A 21992-2020</t>
        </is>
      </c>
      <c r="B137" s="1" t="n">
        <v>43959</v>
      </c>
      <c r="C137" s="1" t="n">
        <v>45843</v>
      </c>
      <c r="D137" t="inlineStr">
        <is>
          <t>VÄSTERNORRLANDS LÄN</t>
        </is>
      </c>
      <c r="E137" t="inlineStr">
        <is>
          <t>ÖRNSKÖLDSVIK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HYPERLINK("https://klasma.github.io/Logging_2284/artfynd/A 21992-2020 artfynd.xlsx", "A 21992-2020")</f>
        <v/>
      </c>
      <c r="T137">
        <f>HYPERLINK("https://klasma.github.io/Logging_2284/kartor/A 21992-2020 karta.png", "A 21992-2020")</f>
        <v/>
      </c>
      <c r="V137">
        <f>HYPERLINK("https://klasma.github.io/Logging_2284/klagomål/A 21992-2020 FSC-klagomål.docx", "A 21992-2020")</f>
        <v/>
      </c>
      <c r="W137">
        <f>HYPERLINK("https://klasma.github.io/Logging_2284/klagomålsmail/A 21992-2020 FSC-klagomål mail.docx", "A 21992-2020")</f>
        <v/>
      </c>
      <c r="X137">
        <f>HYPERLINK("https://klasma.github.io/Logging_2284/tillsyn/A 21992-2020 tillsynsbegäran.docx", "A 21992-2020")</f>
        <v/>
      </c>
      <c r="Y137">
        <f>HYPERLINK("https://klasma.github.io/Logging_2284/tillsynsmail/A 21992-2020 tillsynsbegäran mail.docx", "A 21992-2020")</f>
        <v/>
      </c>
    </row>
    <row r="138" ht="15" customHeight="1">
      <c r="A138" t="inlineStr">
        <is>
          <t>A 35967-2020</t>
        </is>
      </c>
      <c r="B138" s="1" t="n">
        <v>44047</v>
      </c>
      <c r="C138" s="1" t="n">
        <v>45843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Liten myrlejonslända</t>
        </is>
      </c>
      <c r="S138">
        <f>HYPERLINK("https://klasma.github.io/Logging_2284/artfynd/A 35967-2020 artfynd.xlsx", "A 35967-2020")</f>
        <v/>
      </c>
      <c r="T138">
        <f>HYPERLINK("https://klasma.github.io/Logging_2284/kartor/A 35967-2020 karta.png", "A 35967-2020")</f>
        <v/>
      </c>
      <c r="V138">
        <f>HYPERLINK("https://klasma.github.io/Logging_2284/klagomål/A 35967-2020 FSC-klagomål.docx", "A 35967-2020")</f>
        <v/>
      </c>
      <c r="W138">
        <f>HYPERLINK("https://klasma.github.io/Logging_2284/klagomålsmail/A 35967-2020 FSC-klagomål mail.docx", "A 35967-2020")</f>
        <v/>
      </c>
      <c r="X138">
        <f>HYPERLINK("https://klasma.github.io/Logging_2284/tillsyn/A 35967-2020 tillsynsbegäran.docx", "A 35967-2020")</f>
        <v/>
      </c>
      <c r="Y138">
        <f>HYPERLINK("https://klasma.github.io/Logging_2284/tillsynsmail/A 35967-2020 tillsynsbegäran mail.docx", "A 35967-2020")</f>
        <v/>
      </c>
    </row>
    <row r="139" ht="15" customHeight="1">
      <c r="A139" t="inlineStr">
        <is>
          <t>A 41316-2020</t>
        </is>
      </c>
      <c r="B139" s="1" t="n">
        <v>44069</v>
      </c>
      <c r="C139" s="1" t="n">
        <v>45843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Kyrkan</t>
        </is>
      </c>
      <c r="G139" t="n">
        <v>12.3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HYPERLINK("https://klasma.github.io/Logging_2284/artfynd/A 41316-2020 artfynd.xlsx", "A 41316-2020")</f>
        <v/>
      </c>
      <c r="T139">
        <f>HYPERLINK("https://klasma.github.io/Logging_2284/kartor/A 41316-2020 karta.png", "A 41316-2020")</f>
        <v/>
      </c>
      <c r="V139">
        <f>HYPERLINK("https://klasma.github.io/Logging_2284/klagomål/A 41316-2020 FSC-klagomål.docx", "A 41316-2020")</f>
        <v/>
      </c>
      <c r="W139">
        <f>HYPERLINK("https://klasma.github.io/Logging_2284/klagomålsmail/A 41316-2020 FSC-klagomål mail.docx", "A 41316-2020")</f>
        <v/>
      </c>
      <c r="X139">
        <f>HYPERLINK("https://klasma.github.io/Logging_2284/tillsyn/A 41316-2020 tillsynsbegäran.docx", "A 41316-2020")</f>
        <v/>
      </c>
      <c r="Y139">
        <f>HYPERLINK("https://klasma.github.io/Logging_2284/tillsynsmail/A 41316-2020 tillsynsbegäran mail.docx", "A 41316-2020")</f>
        <v/>
      </c>
    </row>
    <row r="140" ht="15" customHeight="1">
      <c r="A140" t="inlineStr">
        <is>
          <t>A 62020-2020</t>
        </is>
      </c>
      <c r="B140" s="1" t="n">
        <v>44159</v>
      </c>
      <c r="C140" s="1" t="n">
        <v>45843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62020-2020 artfynd.xlsx", "A 62020-2020")</f>
        <v/>
      </c>
      <c r="T140">
        <f>HYPERLINK("https://klasma.github.io/Logging_2284/kartor/A 62020-2020 karta.png", "A 62020-2020")</f>
        <v/>
      </c>
      <c r="V140">
        <f>HYPERLINK("https://klasma.github.io/Logging_2284/klagomål/A 62020-2020 FSC-klagomål.docx", "A 62020-2020")</f>
        <v/>
      </c>
      <c r="W140">
        <f>HYPERLINK("https://klasma.github.io/Logging_2284/klagomålsmail/A 62020-2020 FSC-klagomål mail.docx", "A 62020-2020")</f>
        <v/>
      </c>
      <c r="X140">
        <f>HYPERLINK("https://klasma.github.io/Logging_2284/tillsyn/A 62020-2020 tillsynsbegäran.docx", "A 62020-2020")</f>
        <v/>
      </c>
      <c r="Y140">
        <f>HYPERLINK("https://klasma.github.io/Logging_2284/tillsynsmail/A 62020-2020 tillsynsbegäran mail.docx", "A 62020-2020")</f>
        <v/>
      </c>
    </row>
    <row r="141" ht="15" customHeight="1">
      <c r="A141" t="inlineStr">
        <is>
          <t>A 64596-2020</t>
        </is>
      </c>
      <c r="B141" s="1" t="n">
        <v>44169</v>
      </c>
      <c r="C141" s="1" t="n">
        <v>45843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64596-2020 artfynd.xlsx", "A 64596-2020")</f>
        <v/>
      </c>
      <c r="T141">
        <f>HYPERLINK("https://klasma.github.io/Logging_2284/kartor/A 64596-2020 karta.png", "A 64596-2020")</f>
        <v/>
      </c>
      <c r="V141">
        <f>HYPERLINK("https://klasma.github.io/Logging_2284/klagomål/A 64596-2020 FSC-klagomål.docx", "A 64596-2020")</f>
        <v/>
      </c>
      <c r="W141">
        <f>HYPERLINK("https://klasma.github.io/Logging_2284/klagomålsmail/A 64596-2020 FSC-klagomål mail.docx", "A 64596-2020")</f>
        <v/>
      </c>
      <c r="X141">
        <f>HYPERLINK("https://klasma.github.io/Logging_2284/tillsyn/A 64596-2020 tillsynsbegäran.docx", "A 64596-2020")</f>
        <v/>
      </c>
      <c r="Y141">
        <f>HYPERLINK("https://klasma.github.io/Logging_2284/tillsynsmail/A 64596-2020 tillsynsbegäran mail.docx", "A 64596-2020")</f>
        <v/>
      </c>
    </row>
    <row r="142" ht="15" customHeight="1">
      <c r="A142" t="inlineStr">
        <is>
          <t>A 5452-2021</t>
        </is>
      </c>
      <c r="B142" s="1" t="n">
        <v>44229</v>
      </c>
      <c r="C142" s="1" t="n">
        <v>45843</v>
      </c>
      <c r="D142" t="inlineStr">
        <is>
          <t>VÄSTERNORRLANDS LÄN</t>
        </is>
      </c>
      <c r="E142" t="inlineStr">
        <is>
          <t>ÖRNSKÖLDSVIK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HYPERLINK("https://klasma.github.io/Logging_2284/artfynd/A 5452-2021 artfynd.xlsx", "A 5452-2021")</f>
        <v/>
      </c>
      <c r="T142">
        <f>HYPERLINK("https://klasma.github.io/Logging_2284/kartor/A 5452-2021 karta.png", "A 5452-2021")</f>
        <v/>
      </c>
      <c r="V142">
        <f>HYPERLINK("https://klasma.github.io/Logging_2284/klagomål/A 5452-2021 FSC-klagomål.docx", "A 5452-2021")</f>
        <v/>
      </c>
      <c r="W142">
        <f>HYPERLINK("https://klasma.github.io/Logging_2284/klagomålsmail/A 5452-2021 FSC-klagomål mail.docx", "A 5452-2021")</f>
        <v/>
      </c>
      <c r="X142">
        <f>HYPERLINK("https://klasma.github.io/Logging_2284/tillsyn/A 5452-2021 tillsynsbegäran.docx", "A 5452-2021")</f>
        <v/>
      </c>
      <c r="Y142">
        <f>HYPERLINK("https://klasma.github.io/Logging_2284/tillsynsmail/A 5452-2021 tillsynsbegäran mail.docx", "A 5452-2021")</f>
        <v/>
      </c>
    </row>
    <row r="143" ht="15" customHeight="1">
      <c r="A143" t="inlineStr">
        <is>
          <t>A 10006-2021</t>
        </is>
      </c>
      <c r="B143" s="1" t="n">
        <v>44255</v>
      </c>
      <c r="C143" s="1" t="n">
        <v>45843</v>
      </c>
      <c r="D143" t="inlineStr">
        <is>
          <t>VÄSTERNORRLANDS LÄN</t>
        </is>
      </c>
      <c r="E143" t="inlineStr">
        <is>
          <t>ÖRNSKÖLDSVIK</t>
        </is>
      </c>
      <c r="G143" t="n">
        <v>5.7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10006-2021 artfynd.xlsx", "A 10006-2021")</f>
        <v/>
      </c>
      <c r="T143">
        <f>HYPERLINK("https://klasma.github.io/Logging_2284/kartor/A 10006-2021 karta.png", "A 10006-2021")</f>
        <v/>
      </c>
      <c r="U143">
        <f>HYPERLINK("https://klasma.github.io/Logging_2284/knärot/A 10006-2021 karta knärot.png", "A 10006-2021")</f>
        <v/>
      </c>
      <c r="V143">
        <f>HYPERLINK("https://klasma.github.io/Logging_2284/klagomål/A 10006-2021 FSC-klagomål.docx", "A 10006-2021")</f>
        <v/>
      </c>
      <c r="W143">
        <f>HYPERLINK("https://klasma.github.io/Logging_2284/klagomålsmail/A 10006-2021 FSC-klagomål mail.docx", "A 10006-2021")</f>
        <v/>
      </c>
      <c r="X143">
        <f>HYPERLINK("https://klasma.github.io/Logging_2284/tillsyn/A 10006-2021 tillsynsbegäran.docx", "A 10006-2021")</f>
        <v/>
      </c>
      <c r="Y143">
        <f>HYPERLINK("https://klasma.github.io/Logging_2284/tillsynsmail/A 10006-2021 tillsynsbegäran mail.docx", "A 10006-2021")</f>
        <v/>
      </c>
    </row>
    <row r="144" ht="15" customHeight="1">
      <c r="A144" t="inlineStr">
        <is>
          <t>A 10628-2021</t>
        </is>
      </c>
      <c r="B144" s="1" t="n">
        <v>44258</v>
      </c>
      <c r="C144" s="1" t="n">
        <v>45843</v>
      </c>
      <c r="D144" t="inlineStr">
        <is>
          <t>VÄSTERNORRLANDS LÄN</t>
        </is>
      </c>
      <c r="E144" t="inlineStr">
        <is>
          <t>ÖRNSKÖLDSVIK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HYPERLINK("https://klasma.github.io/Logging_2284/artfynd/A 10628-2021 artfynd.xlsx", "A 10628-2021")</f>
        <v/>
      </c>
      <c r="T144">
        <f>HYPERLINK("https://klasma.github.io/Logging_2284/kartor/A 10628-2021 karta.png", "A 10628-2021")</f>
        <v/>
      </c>
      <c r="V144">
        <f>HYPERLINK("https://klasma.github.io/Logging_2284/klagomål/A 10628-2021 FSC-klagomål.docx", "A 10628-2021")</f>
        <v/>
      </c>
      <c r="W144">
        <f>HYPERLINK("https://klasma.github.io/Logging_2284/klagomålsmail/A 10628-2021 FSC-klagomål mail.docx", "A 10628-2021")</f>
        <v/>
      </c>
      <c r="X144">
        <f>HYPERLINK("https://klasma.github.io/Logging_2284/tillsyn/A 10628-2021 tillsynsbegäran.docx", "A 10628-2021")</f>
        <v/>
      </c>
      <c r="Y144">
        <f>HYPERLINK("https://klasma.github.io/Logging_2284/tillsynsmail/A 10628-2021 tillsynsbegäran mail.docx", "A 10628-2021")</f>
        <v/>
      </c>
      <c r="Z144">
        <f>HYPERLINK("https://klasma.github.io/Logging_2284/fåglar/A 10628-2021 prioriterade fågelarter.docx", "A 10628-2021")</f>
        <v/>
      </c>
    </row>
    <row r="145" ht="15" customHeight="1">
      <c r="A145" t="inlineStr">
        <is>
          <t>A 23217-2021</t>
        </is>
      </c>
      <c r="B145" s="1" t="n">
        <v>44333</v>
      </c>
      <c r="C145" s="1" t="n">
        <v>45843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23217-2021 artfynd.xlsx", "A 23217-2021")</f>
        <v/>
      </c>
      <c r="T145">
        <f>HYPERLINK("https://klasma.github.io/Logging_2284/kartor/A 23217-2021 karta.png", "A 23217-2021")</f>
        <v/>
      </c>
      <c r="V145">
        <f>HYPERLINK("https://klasma.github.io/Logging_2284/klagomål/A 23217-2021 FSC-klagomål.docx", "A 23217-2021")</f>
        <v/>
      </c>
      <c r="W145">
        <f>HYPERLINK("https://klasma.github.io/Logging_2284/klagomålsmail/A 23217-2021 FSC-klagomål mail.docx", "A 23217-2021")</f>
        <v/>
      </c>
      <c r="X145">
        <f>HYPERLINK("https://klasma.github.io/Logging_2284/tillsyn/A 23217-2021 tillsynsbegäran.docx", "A 23217-2021")</f>
        <v/>
      </c>
      <c r="Y145">
        <f>HYPERLINK("https://klasma.github.io/Logging_2284/tillsynsmail/A 23217-2021 tillsynsbegäran mail.docx", "A 23217-2021")</f>
        <v/>
      </c>
    </row>
    <row r="146" ht="15" customHeight="1">
      <c r="A146" t="inlineStr">
        <is>
          <t>A 25455-2021</t>
        </is>
      </c>
      <c r="B146" s="1" t="n">
        <v>44342</v>
      </c>
      <c r="C146" s="1" t="n">
        <v>45843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25455-2021 artfynd.xlsx", "A 25455-2021")</f>
        <v/>
      </c>
      <c r="T146">
        <f>HYPERLINK("https://klasma.github.io/Logging_2284/kartor/A 25455-2021 karta.png", "A 25455-2021")</f>
        <v/>
      </c>
      <c r="V146">
        <f>HYPERLINK("https://klasma.github.io/Logging_2284/klagomål/A 25455-2021 FSC-klagomål.docx", "A 25455-2021")</f>
        <v/>
      </c>
      <c r="W146">
        <f>HYPERLINK("https://klasma.github.io/Logging_2284/klagomålsmail/A 25455-2021 FSC-klagomål mail.docx", "A 25455-2021")</f>
        <v/>
      </c>
      <c r="X146">
        <f>HYPERLINK("https://klasma.github.io/Logging_2284/tillsyn/A 25455-2021 tillsynsbegäran.docx", "A 25455-2021")</f>
        <v/>
      </c>
      <c r="Y146">
        <f>HYPERLINK("https://klasma.github.io/Logging_2284/tillsynsmail/A 25455-2021 tillsynsbegäran mail.docx", "A 25455-2021")</f>
        <v/>
      </c>
    </row>
    <row r="147" ht="15" customHeight="1">
      <c r="A147" t="inlineStr">
        <is>
          <t>A 45551-2021</t>
        </is>
      </c>
      <c r="B147" s="1" t="n">
        <v>44440</v>
      </c>
      <c r="C147" s="1" t="n">
        <v>45843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HYPERLINK("https://klasma.github.io/Logging_2284/artfynd/A 45551-2021 artfynd.xlsx", "A 45551-2021")</f>
        <v/>
      </c>
      <c r="T147">
        <f>HYPERLINK("https://klasma.github.io/Logging_2284/kartor/A 45551-2021 karta.png", "A 45551-2021")</f>
        <v/>
      </c>
      <c r="V147">
        <f>HYPERLINK("https://klasma.github.io/Logging_2284/klagomål/A 45551-2021 FSC-klagomål.docx", "A 45551-2021")</f>
        <v/>
      </c>
      <c r="W147">
        <f>HYPERLINK("https://klasma.github.io/Logging_2284/klagomålsmail/A 45551-2021 FSC-klagomål mail.docx", "A 45551-2021")</f>
        <v/>
      </c>
      <c r="X147">
        <f>HYPERLINK("https://klasma.github.io/Logging_2284/tillsyn/A 45551-2021 tillsynsbegäran.docx", "A 45551-2021")</f>
        <v/>
      </c>
      <c r="Y147">
        <f>HYPERLINK("https://klasma.github.io/Logging_2284/tillsynsmail/A 45551-2021 tillsynsbegäran mail.docx", "A 45551-2021")</f>
        <v/>
      </c>
    </row>
    <row r="148" ht="15" customHeight="1">
      <c r="A148" t="inlineStr">
        <is>
          <t>A 58162-2021</t>
        </is>
      </c>
      <c r="B148" s="1" t="n">
        <v>44487</v>
      </c>
      <c r="C148" s="1" t="n">
        <v>45843</v>
      </c>
      <c r="D148" t="inlineStr">
        <is>
          <t>VÄSTERNORRLANDS LÄN</t>
        </is>
      </c>
      <c r="E148" t="inlineStr">
        <is>
          <t>ÖRNSKÖLDSVIK</t>
        </is>
      </c>
      <c r="G148" t="n">
        <v>4.9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Knottblomster</t>
        </is>
      </c>
      <c r="S148">
        <f>HYPERLINK("https://klasma.github.io/Logging_2284/artfynd/A 58162-2021 artfynd.xlsx", "A 58162-2021")</f>
        <v/>
      </c>
      <c r="T148">
        <f>HYPERLINK("https://klasma.github.io/Logging_2284/kartor/A 58162-2021 karta.png", "A 58162-2021")</f>
        <v/>
      </c>
      <c r="V148">
        <f>HYPERLINK("https://klasma.github.io/Logging_2284/klagomål/A 58162-2021 FSC-klagomål.docx", "A 58162-2021")</f>
        <v/>
      </c>
      <c r="W148">
        <f>HYPERLINK("https://klasma.github.io/Logging_2284/klagomålsmail/A 58162-2021 FSC-klagomål mail.docx", "A 58162-2021")</f>
        <v/>
      </c>
      <c r="X148">
        <f>HYPERLINK("https://klasma.github.io/Logging_2284/tillsyn/A 58162-2021 tillsynsbegäran.docx", "A 58162-2021")</f>
        <v/>
      </c>
      <c r="Y148">
        <f>HYPERLINK("https://klasma.github.io/Logging_2284/tillsynsmail/A 58162-2021 tillsynsbegäran mail.docx", "A 58162-2021")</f>
        <v/>
      </c>
    </row>
    <row r="149" ht="15" customHeight="1">
      <c r="A149" t="inlineStr">
        <is>
          <t>A 58147-2021</t>
        </is>
      </c>
      <c r="B149" s="1" t="n">
        <v>44487</v>
      </c>
      <c r="C149" s="1" t="n">
        <v>45843</v>
      </c>
      <c r="D149" t="inlineStr">
        <is>
          <t>VÄSTERNORRLANDS LÄN</t>
        </is>
      </c>
      <c r="E149" t="inlineStr">
        <is>
          <t>ÖRNSKÖLDSVIK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HYPERLINK("https://klasma.github.io/Logging_2284/artfynd/A 58147-2021 artfynd.xlsx", "A 58147-2021")</f>
        <v/>
      </c>
      <c r="T149">
        <f>HYPERLINK("https://klasma.github.io/Logging_2284/kartor/A 58147-2021 karta.png", "A 58147-2021")</f>
        <v/>
      </c>
      <c r="V149">
        <f>HYPERLINK("https://klasma.github.io/Logging_2284/klagomål/A 58147-2021 FSC-klagomål.docx", "A 58147-2021")</f>
        <v/>
      </c>
      <c r="W149">
        <f>HYPERLINK("https://klasma.github.io/Logging_2284/klagomålsmail/A 58147-2021 FSC-klagomål mail.docx", "A 58147-2021")</f>
        <v/>
      </c>
      <c r="X149">
        <f>HYPERLINK("https://klasma.github.io/Logging_2284/tillsyn/A 58147-2021 tillsynsbegäran.docx", "A 58147-2021")</f>
        <v/>
      </c>
      <c r="Y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60137-2021</t>
        </is>
      </c>
      <c r="B150" s="1" t="n">
        <v>44494</v>
      </c>
      <c r="C150" s="1" t="n">
        <v>45843</v>
      </c>
      <c r="D150" t="inlineStr">
        <is>
          <t>VÄSTERNORRLANDS LÄN</t>
        </is>
      </c>
      <c r="E150" t="inlineStr">
        <is>
          <t>ÖRNSKÖLDSVIK</t>
        </is>
      </c>
      <c r="G150" t="n">
        <v>7.1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HYPERLINK("https://klasma.github.io/Logging_2284/artfynd/A 60137-2021 artfynd.xlsx", "A 60137-2021")</f>
        <v/>
      </c>
      <c r="T150">
        <f>HYPERLINK("https://klasma.github.io/Logging_2284/kartor/A 60137-2021 karta.png", "A 60137-2021")</f>
        <v/>
      </c>
      <c r="V150">
        <f>HYPERLINK("https://klasma.github.io/Logging_2284/klagomål/A 60137-2021 FSC-klagomål.docx", "A 60137-2021")</f>
        <v/>
      </c>
      <c r="W150">
        <f>HYPERLINK("https://klasma.github.io/Logging_2284/klagomålsmail/A 60137-2021 FSC-klagomål mail.docx", "A 60137-2021")</f>
        <v/>
      </c>
      <c r="X150">
        <f>HYPERLINK("https://klasma.github.io/Logging_2284/tillsyn/A 60137-2021 tillsynsbegäran.docx", "A 60137-2021")</f>
        <v/>
      </c>
      <c r="Y150">
        <f>HYPERLINK("https://klasma.github.io/Logging_2284/tillsynsmail/A 60137-2021 tillsynsbegäran mail.docx", "A 60137-2021")</f>
        <v/>
      </c>
    </row>
    <row r="151" ht="15" customHeight="1">
      <c r="A151" t="inlineStr">
        <is>
          <t>A 66531-2021</t>
        </is>
      </c>
      <c r="B151" s="1" t="n">
        <v>44518</v>
      </c>
      <c r="C151" s="1" t="n">
        <v>45843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HYPERLINK("https://klasma.github.io/Logging_2284/artfynd/A 66531-2021 artfynd.xlsx", "A 66531-2021")</f>
        <v/>
      </c>
      <c r="T151">
        <f>HYPERLINK("https://klasma.github.io/Logging_2284/kartor/A 66531-2021 karta.png", "A 66531-2021")</f>
        <v/>
      </c>
      <c r="V151">
        <f>HYPERLINK("https://klasma.github.io/Logging_2284/klagomål/A 66531-2021 FSC-klagomål.docx", "A 66531-2021")</f>
        <v/>
      </c>
      <c r="W151">
        <f>HYPERLINK("https://klasma.github.io/Logging_2284/klagomålsmail/A 66531-2021 FSC-klagomål mail.docx", "A 66531-2021")</f>
        <v/>
      </c>
      <c r="X151">
        <f>HYPERLINK("https://klasma.github.io/Logging_2284/tillsyn/A 66531-2021 tillsynsbegäran.docx", "A 66531-2021")</f>
        <v/>
      </c>
      <c r="Y151">
        <f>HYPERLINK("https://klasma.github.io/Logging_2284/tillsynsmail/A 66531-2021 tillsynsbegäran mail.docx", "A 66531-2021")</f>
        <v/>
      </c>
    </row>
    <row r="152" ht="15" customHeight="1">
      <c r="A152" t="inlineStr">
        <is>
          <t>A 67492-2021</t>
        </is>
      </c>
      <c r="B152" s="1" t="n">
        <v>44524</v>
      </c>
      <c r="C152" s="1" t="n">
        <v>45843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67492-2021 artfynd.xlsx", "A 67492-2021")</f>
        <v/>
      </c>
      <c r="T152">
        <f>HYPERLINK("https://klasma.github.io/Logging_2284/kartor/A 67492-2021 karta.png", "A 67492-2021")</f>
        <v/>
      </c>
      <c r="V152">
        <f>HYPERLINK("https://klasma.github.io/Logging_2284/klagomål/A 67492-2021 FSC-klagomål.docx", "A 67492-2021")</f>
        <v/>
      </c>
      <c r="W152">
        <f>HYPERLINK("https://klasma.github.io/Logging_2284/klagomålsmail/A 67492-2021 FSC-klagomål mail.docx", "A 67492-2021")</f>
        <v/>
      </c>
      <c r="X152">
        <f>HYPERLINK("https://klasma.github.io/Logging_2284/tillsyn/A 67492-2021 tillsynsbegäran.docx", "A 67492-2021")</f>
        <v/>
      </c>
      <c r="Y152">
        <f>HYPERLINK("https://klasma.github.io/Logging_2284/tillsynsmail/A 67492-2021 tillsynsbegäran mail.docx", "A 67492-2021")</f>
        <v/>
      </c>
    </row>
    <row r="153" ht="15" customHeight="1">
      <c r="A153" t="inlineStr">
        <is>
          <t>A 23088-2022</t>
        </is>
      </c>
      <c r="B153" s="1" t="n">
        <v>44719</v>
      </c>
      <c r="C153" s="1" t="n">
        <v>45843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23088-2022 artfynd.xlsx", "A 23088-2022")</f>
        <v/>
      </c>
      <c r="T153">
        <f>HYPERLINK("https://klasma.github.io/Logging_2284/kartor/A 23088-2022 karta.png", "A 23088-2022")</f>
        <v/>
      </c>
      <c r="V153">
        <f>HYPERLINK("https://klasma.github.io/Logging_2284/klagomål/A 23088-2022 FSC-klagomål.docx", "A 23088-2022")</f>
        <v/>
      </c>
      <c r="W153">
        <f>HYPERLINK("https://klasma.github.io/Logging_2284/klagomålsmail/A 23088-2022 FSC-klagomål mail.docx", "A 23088-2022")</f>
        <v/>
      </c>
      <c r="X153">
        <f>HYPERLINK("https://klasma.github.io/Logging_2284/tillsyn/A 23088-2022 tillsynsbegäran.docx", "A 23088-2022")</f>
        <v/>
      </c>
      <c r="Y153">
        <f>HYPERLINK("https://klasma.github.io/Logging_2284/tillsynsmail/A 23088-2022 tillsynsbegäran mail.docx", "A 23088-2022")</f>
        <v/>
      </c>
    </row>
    <row r="154" ht="15" customHeight="1">
      <c r="A154" t="inlineStr">
        <is>
          <t>A 32122-2022</t>
        </is>
      </c>
      <c r="B154" s="1" t="n">
        <v>44778</v>
      </c>
      <c r="C154" s="1" t="n">
        <v>45843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Kattfotslav</t>
        </is>
      </c>
      <c r="S154">
        <f>HYPERLINK("https://klasma.github.io/Logging_2284/artfynd/A 32122-2022 artfynd.xlsx", "A 32122-2022")</f>
        <v/>
      </c>
      <c r="T154">
        <f>HYPERLINK("https://klasma.github.io/Logging_2284/kartor/A 32122-2022 karta.png", "A 32122-2022")</f>
        <v/>
      </c>
      <c r="V154">
        <f>HYPERLINK("https://klasma.github.io/Logging_2284/klagomål/A 32122-2022 FSC-klagomål.docx", "A 32122-2022")</f>
        <v/>
      </c>
      <c r="W154">
        <f>HYPERLINK("https://klasma.github.io/Logging_2284/klagomålsmail/A 32122-2022 FSC-klagomål mail.docx", "A 32122-2022")</f>
        <v/>
      </c>
      <c r="X154">
        <f>HYPERLINK("https://klasma.github.io/Logging_2284/tillsyn/A 32122-2022 tillsynsbegäran.docx", "A 32122-2022")</f>
        <v/>
      </c>
      <c r="Y154">
        <f>HYPERLINK("https://klasma.github.io/Logging_2284/tillsynsmail/A 32122-2022 tillsynsbegäran mail.docx", "A 32122-2022")</f>
        <v/>
      </c>
    </row>
    <row r="155" ht="15" customHeight="1">
      <c r="A155" t="inlineStr">
        <is>
          <t>A 40636-2022</t>
        </is>
      </c>
      <c r="B155" s="1" t="n">
        <v>44824</v>
      </c>
      <c r="C155" s="1" t="n">
        <v>45843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40636-2022 artfynd.xlsx", "A 40636-2022")</f>
        <v/>
      </c>
      <c r="T155">
        <f>HYPERLINK("https://klasma.github.io/Logging_2284/kartor/A 40636-2022 karta.png", "A 40636-2022")</f>
        <v/>
      </c>
      <c r="V155">
        <f>HYPERLINK("https://klasma.github.io/Logging_2284/klagomål/A 40636-2022 FSC-klagomål.docx", "A 40636-2022")</f>
        <v/>
      </c>
      <c r="W155">
        <f>HYPERLINK("https://klasma.github.io/Logging_2284/klagomålsmail/A 40636-2022 FSC-klagomål mail.docx", "A 40636-2022")</f>
        <v/>
      </c>
      <c r="X155">
        <f>HYPERLINK("https://klasma.github.io/Logging_2284/tillsyn/A 40636-2022 tillsynsbegäran.docx", "A 40636-2022")</f>
        <v/>
      </c>
      <c r="Y155">
        <f>HYPERLINK("https://klasma.github.io/Logging_2284/tillsynsmail/A 40636-2022 tillsynsbegäran mail.docx", "A 40636-2022")</f>
        <v/>
      </c>
    </row>
    <row r="156" ht="15" customHeight="1">
      <c r="A156" t="inlineStr">
        <is>
          <t>A 41184-2022</t>
        </is>
      </c>
      <c r="B156" s="1" t="n">
        <v>44825</v>
      </c>
      <c r="C156" s="1" t="n">
        <v>45843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41184-2022 artfynd.xlsx", "A 41184-2022")</f>
        <v/>
      </c>
      <c r="T156">
        <f>HYPERLINK("https://klasma.github.io/Logging_2284/kartor/A 41184-2022 karta.png", "A 41184-2022")</f>
        <v/>
      </c>
      <c r="V156">
        <f>HYPERLINK("https://klasma.github.io/Logging_2284/klagomål/A 41184-2022 FSC-klagomål.docx", "A 41184-2022")</f>
        <v/>
      </c>
      <c r="W156">
        <f>HYPERLINK("https://klasma.github.io/Logging_2284/klagomålsmail/A 41184-2022 FSC-klagomål mail.docx", "A 41184-2022")</f>
        <v/>
      </c>
      <c r="X156">
        <f>HYPERLINK("https://klasma.github.io/Logging_2284/tillsyn/A 41184-2022 tillsynsbegäran.docx", "A 41184-2022")</f>
        <v/>
      </c>
      <c r="Y156">
        <f>HYPERLINK("https://klasma.github.io/Logging_2284/tillsynsmail/A 41184-2022 tillsynsbegäran mail.docx", "A 41184-2022")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45843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45843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45843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45843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45843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45843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45843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45843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45843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45843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45843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45843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45843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45843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45843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45843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45843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45843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45843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45843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45843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45843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45843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45843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45843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45843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45843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45843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45843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45843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45843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45843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45843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45843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45843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45843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45843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45843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45843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45843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45843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45843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45843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45843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45843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45843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45843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45843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45843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45843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45843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45843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45843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45843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45843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45843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45843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45843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45843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45843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45843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45843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45843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45843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45843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45843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45843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45843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45843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45843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45843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45843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45843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45843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45843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45843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45843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45843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45843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45843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45843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45843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45843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45843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45843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45843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45843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45843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45843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45843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45843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45843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45843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45843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45843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45843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45843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45843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45843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45843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45843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45843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45843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45843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45843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45843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45843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45843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45843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45843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45843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45843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45843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45843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45843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45843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45843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45843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45843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45843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45843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45843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45843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45843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45843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45843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45843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45843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45843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45843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45843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45843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45843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45843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45843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45843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45843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45843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45843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45843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45843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45843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45843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45843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45843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45843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45843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45843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45843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45843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45843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45843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45843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45843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45843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45843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45843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45843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45843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45843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45843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45843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45843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45843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45843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45843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45843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45843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45843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45843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45843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45843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45843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45843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45843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45843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45843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45843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45843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45843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45843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45843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45843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45843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45843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45843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45843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45843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45843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45843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45843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45843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45843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45843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45843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45843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45843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45843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45843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45843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45843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45843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45843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45843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45843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45843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45843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45843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45843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45843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45843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45843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45843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45843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45843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45843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45843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45843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45843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45843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45843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45843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45843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45843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45843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45843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45843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45843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45843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45843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45843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45843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45843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45843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45843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45843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45843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45843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45843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45843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45843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45843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45843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45843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45843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45843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45843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45843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45843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45843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45843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45843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45843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45843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45843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45843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45843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45843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45843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45843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45843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45843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45843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45843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45843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45843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45843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45843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45843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45843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45843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45843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45843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45843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45843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45843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45843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45843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45843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45843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45843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45843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45843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45843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45843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45843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45843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45843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45843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45843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45843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45843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45843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45843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45843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45843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45843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45843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45843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45843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45843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45843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45843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45843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45843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45843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45843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45843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45843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45843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45843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45843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45843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45843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45843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45843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45843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45843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45843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45843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45843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45843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45843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45843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45843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45843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45843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45843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45843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45843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45843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45843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45843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45843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45843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45843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45843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45843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45843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45843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45843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45843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45843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45843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45843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45843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45843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45843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45843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45843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45843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45843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45843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45843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45843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45843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45843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45843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45843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45843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45843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45843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45843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45843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45843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45843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45843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45843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45843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45843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45843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45843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45843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45843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45843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45843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45843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45843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45843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45843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45843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45843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45843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45843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45843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45843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45843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45843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45843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45843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45843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45843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45843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45843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45843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45843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45843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45843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45843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45843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45843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45843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45843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45843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45843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45843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45843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45843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45843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45843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45843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45843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45843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45843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45843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45843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45843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45843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45843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45843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45843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45843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45843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45843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45843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45843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45843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45843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45843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45843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45843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45843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45843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45843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45843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45843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45843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45843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45843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45843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45843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45843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45843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45843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45843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45843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45843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45843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45843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45843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45843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45843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45843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45843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45843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45843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45843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45843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45843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45843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45843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45843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45843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45843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45843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45843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45843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45843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45843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45843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45843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45843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45843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45843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45843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45843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45843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45843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45843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45843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45843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45843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45843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45843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45843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45843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45843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45843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45843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45843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45843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45843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45843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45843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45843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45843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45843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45843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45843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45843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45843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45843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45843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45843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45843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45843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45843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45843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45843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45843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45843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45843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45843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45843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45843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45843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45843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45843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45843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45843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45843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45843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45843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45843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45843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45843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45843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45843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45843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45843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45843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45843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45843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45843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45843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45843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45843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45843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45843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45843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45843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45843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45843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45843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45843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45843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45843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45843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45843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45843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45843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45843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45843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45843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45843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45843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45843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45843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45843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45843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45843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45843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45843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45843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45843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45843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45843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45843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45843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45843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45843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45843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45843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45843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45843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45843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45843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45843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45843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45843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45843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45843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45843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45843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45843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45843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45843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45843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45843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45843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45843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45843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45843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45843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45843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45843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45843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45843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45843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45843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45843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45843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45843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45843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45843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45843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45843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45843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45843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45843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45843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45843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45843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45843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45843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45843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45843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45843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45843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45843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45843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45843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45843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45843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45843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45843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45843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45843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45843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45843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45843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45843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45843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45843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45843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45843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45843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45843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45843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45843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45843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45843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45843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45843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45843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45843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45843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45843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45843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45843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45843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45843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45843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45843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45843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45843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45843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45843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45843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45843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45843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45843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45843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45843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45843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45843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45843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45843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45843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45843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45843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45843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45843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45843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45843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45843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45843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45843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45843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45843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45843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45843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45843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45843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45843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45843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45843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45843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45843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45843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45843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45843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45843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45843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45843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45843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45843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45843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45843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45843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45843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45843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45843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45843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45843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45843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45843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45843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45843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45843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45843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45843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45843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45843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45843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45843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45843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45843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45843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45843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45843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45843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45843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45843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45843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45843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45843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45843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45843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45843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45843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45843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45843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45843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45843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45843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45843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45843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45843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45843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45843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45843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45843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45843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45843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45843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45843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45843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45843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45843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45843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45843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45843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45843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45843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45843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45843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45843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45843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45843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45843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45843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45843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45843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45843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45843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45843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45843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45843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45843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45843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45843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45843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45843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45843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45843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45843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45843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45843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45843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45843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45843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45843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45843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45843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45843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45843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45843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45843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45843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45843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45843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45843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45843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45843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45843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45843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45843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45843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45843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45843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45843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45843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45843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45843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45843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45843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45843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45843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45843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45843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45843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45843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45843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45843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45843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45843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45843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45843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45843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45843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45843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45843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45843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45843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45843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45843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45843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45843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45843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45843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45843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45843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45843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45843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45843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45843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45843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45843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45843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45843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45843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45843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45843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45843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45843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45843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45843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45843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45843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45843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45843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45843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45843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45843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45843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45843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45843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45843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45843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45843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45843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45843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45843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45843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45843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45843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45843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45843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45843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45843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45843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45843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45843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45843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45843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45843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45843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45843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45843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45843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45843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45843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45843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45843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45843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45843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45843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45843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45843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45843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45843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45843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45843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45843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45843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45843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45843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45843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45843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45843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45843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45843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45843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45843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45843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45843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45843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45843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45843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45843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45843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45843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45843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45843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45843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45843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45843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45843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45843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45843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45843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45843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45843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45843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45843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45843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45843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45843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45843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45843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45843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45843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45843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45843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45843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45843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45843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45843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45843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45843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45843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45843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45843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45843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45843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45843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45843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45843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45843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45843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45843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45843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45843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45843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45843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45843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45843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45843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45843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45843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45843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45843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45843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45843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45843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45843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45843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45843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45843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45843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45843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45843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45843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45843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45843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45843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45843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45843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45843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45843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45843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45843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45843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45843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45843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45843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45843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45843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45843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45843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45843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45843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45843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45843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45843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45843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45843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45843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45843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45843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45843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45843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45843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45843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45843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45843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45843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45843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45843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45843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45843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45843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45843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45843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45843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45843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45843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45843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45843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45843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45843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45843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45843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45843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45843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45843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45843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45843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45843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45843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45843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45843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45843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45843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45843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45843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45843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45843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45843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45843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45843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45843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45843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45843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45843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45843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45843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45843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45843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45843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45843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45843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45843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45843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45843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45843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45843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45843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45843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45843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45843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45843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45843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45843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45843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45843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45843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45843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45843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45843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45843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45843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45843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45843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45843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45843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45843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45843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45843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45843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45843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45843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45843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45843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45843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45843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45843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45843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45843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45843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45843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45843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45843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45843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45843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45843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45843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45843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45843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45843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45843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45843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45843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45843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45843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45843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45843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45843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45843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45843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45843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45843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45843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45843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45843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45843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45843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45843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45843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45843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45843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45843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45843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45843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45843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45843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45843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45843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45843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45843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45843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45843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45843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45843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45843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45843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45843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45843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45843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45843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45843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45843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45843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45843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45843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45843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45843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45843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45843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45843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45843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45843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45843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45843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45843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45843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45843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45843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45843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45843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45843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45843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45843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45843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45843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45843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45843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45843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45843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45843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45843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45843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45843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45843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45843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45843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45843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45843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45843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45843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45843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45843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45843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45843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45843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45843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45843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45843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45843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45843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45843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45843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45843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45843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45843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45843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45843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45843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45843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45843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45843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45843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45843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45843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45843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45843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45843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45843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45843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45843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45843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45843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45843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45843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45843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45843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45843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45843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45843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45843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45843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45843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45843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45843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45843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45843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45843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45843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45843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45843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45843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45843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45843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45843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45843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45843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45843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45843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45843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45843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45843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45843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45843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45843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45843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45843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45843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45843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45843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45843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45843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45843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45843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45843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45843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45843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45843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45843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45843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45843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45843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45843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45843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45843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45843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45843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45843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45843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45843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45843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45843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45843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45843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45843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45843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45843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45843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45843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45843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45843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45843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45843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45843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45843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45843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45843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45843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45843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45843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45843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45843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45843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45843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45843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45843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45843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45843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45843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45843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45843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45843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45843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45843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45843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45843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45843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45843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45843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45843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45843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45843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45843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45843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45843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45843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45843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45843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45843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45843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45843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45843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45843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45843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45843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45843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45843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45843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45843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45843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45843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45843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45843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45843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45843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45843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45843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45843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45843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45843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45843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45843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45843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45843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45843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45843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45843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45843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45843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45843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45843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45843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45843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45843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45843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45843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45843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45843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45843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45843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45843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45843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45843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45843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45843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45843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45843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45843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45843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45843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45843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45843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45843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45843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45843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45843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45843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45843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45843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45843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45843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45843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45843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45843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45843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45843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45843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45843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45843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45843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45843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45843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45843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45843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45843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45843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45843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45843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45843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45843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45843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45843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45843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45843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45843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45843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45843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45843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45843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45843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45843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45843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45843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45843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45843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45843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45843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45843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45843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45843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45843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45843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45843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45843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45843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45843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45843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45843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45843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45843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45843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45843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45843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45843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45843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45843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45843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45843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45843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45843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45843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45843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45843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45843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45843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45843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45843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45843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45843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45843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45843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45843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45843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45843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45843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45843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45843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45843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45843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45843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45843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45843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45843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45843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45843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45843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45843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45843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45843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45843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45843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45843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45843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45843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45843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45843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45843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45843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45843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45843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45843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45843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45843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45843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45843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45843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45843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45843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45843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45843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45843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45843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45843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45843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45843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45843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45843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45843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45843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45843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45843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45843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45843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45843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45843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45843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45843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45843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45843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45843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45843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45843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45843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45843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45843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45843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45843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45843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45843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45843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45843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45843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45843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45843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45843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45843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45843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45843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45843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45843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45843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45843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45843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45843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45843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45843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45843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45843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45843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45843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45843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45843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45843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45843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45843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45843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45843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45843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45843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45843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45843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45843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45843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45843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45843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45843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45843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45843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45843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45843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45843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45843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45843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45843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45843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45843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45843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45843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45843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45843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45843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45843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45843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45843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45843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45843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45843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45843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45843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45843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45843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45843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45843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45843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45843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45843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45843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45843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45843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45843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45843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45843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45843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45843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45843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45843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45843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45843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45843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45843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45843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45843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45843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45843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45843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45843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45843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45843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45843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45843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45843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45843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45843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45843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45843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45843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45843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45843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45843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45843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45843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45843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45843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45843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45843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45843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45843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45843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45843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45843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45843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45843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45843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45843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45843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45843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45843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45843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45843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45843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45843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45843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45843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45843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45843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45843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45843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45843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45843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45843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45843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45843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45843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45843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45843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45843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45843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45843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45843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45843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45843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45843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45843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45843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45843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45843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45843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45843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45843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45843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45843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45843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45843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45843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45843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45843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45843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45843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45843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45843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45843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45843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45843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45843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45843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45843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45843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45843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45843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45843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45843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45843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45843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45843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45843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45843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45843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45843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45843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45843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45843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45843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45843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45843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45843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45843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45843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45843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45843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45843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45843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45843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45843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45843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45843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45843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45843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45843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45843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45843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45843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45843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45843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45843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45843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45843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45843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45843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45843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45843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45843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45843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45843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45843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45843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45843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45843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45843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45843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45843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45843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45843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45843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45843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45843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45843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45843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45843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45843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45843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45843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45843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45843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45843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45843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45843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45843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45843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45843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45843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45843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45843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45843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45843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45843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45843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45843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45843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45843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45843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45843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45843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45843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45843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45843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45843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45843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45843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45843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45843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45843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45843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45843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45843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45843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45843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45843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45843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45843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45843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45843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45843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45843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45843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45843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45843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45843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45843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45843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45843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45843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45843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45843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45843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45843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45843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45843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45843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45843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45843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45843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45843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45843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45843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45843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45843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45843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45843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45843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45843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45843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45843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45843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45843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45843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45843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45843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45843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45843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45843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45843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45843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45843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45843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45843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45843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45843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45843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45843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45843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45843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45843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45843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45843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45843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45843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45843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45843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45843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45843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45843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45843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45843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45843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45843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45843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45843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45843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45843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45843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45843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45843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45843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45843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45843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45843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45843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45843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45843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45843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45843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45843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45843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45843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45843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45843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45843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45843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45843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45843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45843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45843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45843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45843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45843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45843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45843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45843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45843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45843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45843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45843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45843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45843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45843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45843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45843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45843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45843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45843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45843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45843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45843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45843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45843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45843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45843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45843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45843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45843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45843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45843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45843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45843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45843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45843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45843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45843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45843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45843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45843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45843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45843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45843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45843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45843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45843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45843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45843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45843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45843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45843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45843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45843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45843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45843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45843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45843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45843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45843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45843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45843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45843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45843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45843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45843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45843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45843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45843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45843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45843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45843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45843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45843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45843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45843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45843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45843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45843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45843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45843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45843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45843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45843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45843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45843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45843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45843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45843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45843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45843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45843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45843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45843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45843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45843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45843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45843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45843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45843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45843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45843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45843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45843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45843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45843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45843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45843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45843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45843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45843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45843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45843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45843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45843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45843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45843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45843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45843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45843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45843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45843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45843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45843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45843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45843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45843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45843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45843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45843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45843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45843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45843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45843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45843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45843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45843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45843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45843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45843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45843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45843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45843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45843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45843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45843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45843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45843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45843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45843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45843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45843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45843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45843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45843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45843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45843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45843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45843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45843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45843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45843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45843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45843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45843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45843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45843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45843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45843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45843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45843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45843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45843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45843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45843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45843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45843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45843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45843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45843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45843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45843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45843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45843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45843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45843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45843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45843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45843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45843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45843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45843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45843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45843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45843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45843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45843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45843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45843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45843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45843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45843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45843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45843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45843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45843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45843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45843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45843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45843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45843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45843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45843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45843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45843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45843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45843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45843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45843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45843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45843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45843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45843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45843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45843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45843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45843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45843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45843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45843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45843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45843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45843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45843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45843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45843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45843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45843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45843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45843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45843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45843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45843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45843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45843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45843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45843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45843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45843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45843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45843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45843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45843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45843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45843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45843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45843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45843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45843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45843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45843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45843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45843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45843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45843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45843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45843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45843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45843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45843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45843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45843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45843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45843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45843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45843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45843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45843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45843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45843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45843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45843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45843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45843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45843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45843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45843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45843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45843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45843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45843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45843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45843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45843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45843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45843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45843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45843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45843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45843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45843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45843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45843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45843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45843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45843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45843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45843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45843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45843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45843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45843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45843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45843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45843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45843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45843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45843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45843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45843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45843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45843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45843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45843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45843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45843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45843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45843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45843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45843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45843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45843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45843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45843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45843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45843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45843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45843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45843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45843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45843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45843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45843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45843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45843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45843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45843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45843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45843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45843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45843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45843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45843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45843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45843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45843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45843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45843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45843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45843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45843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45843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45843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45843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45843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45843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45843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45843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45843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45843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45843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45843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45843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45843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45843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45843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45843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45843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45843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45843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45843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45843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45843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45843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45843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45843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45843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45843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45843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45843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45843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45843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45843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45843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45843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45843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45843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45843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45843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45843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45843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45843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45843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45843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45843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45843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45843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45843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45843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45843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45843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45843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45843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45843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45843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45843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45843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45843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45843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45843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45843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45843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45843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45843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45843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45843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45843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45843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45843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45843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45843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45843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45843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45843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45843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45843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45843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45843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45843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45843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45843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45843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45843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45843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45843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45843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45843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45843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45843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45843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45843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45843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45843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45843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45843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45843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45843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45843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45843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45843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45843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45843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45843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45843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45843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45843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45843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45843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45843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45843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45843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45843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45843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45843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45843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45843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45843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45843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45843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45843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45843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45843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45843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45843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45843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45843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45843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45843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45843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45843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45843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45843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45843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45843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45843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45843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45843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45843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45843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45843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45843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45843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45843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45843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45843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45843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45843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45843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45843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45843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45843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45843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45843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45843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45843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45843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45843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45843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45843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45843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45843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45843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45843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45843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45843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45843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45843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45843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45843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45843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45843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45843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45843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45843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45843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45843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45843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45843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45843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45843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45843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45843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45843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45843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45843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45843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45843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45843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45843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45843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45843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45843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45843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45843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45843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45843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45843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45843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45843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45843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45843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45843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45843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45843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45843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45843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45843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45843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45843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45843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45843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45843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45843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45843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45843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45843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45843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45843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45843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45843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45843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45843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45843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45843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45843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45843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45843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45843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45843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45843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45843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45843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45843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45843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45843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45843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45843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45843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45843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45843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45843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45843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45843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45843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45843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45843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45843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45843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45843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45843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45843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45843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45843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45843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45843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45843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45843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45843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45843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45843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45843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45843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45843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45843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45843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45843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45843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45843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45843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45843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45843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45843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45843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45843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45843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45843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45843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45843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45843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45843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45843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45843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45843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45843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45843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45843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45843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45843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45843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45843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45843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45843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45843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45843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45843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45843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45843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45843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45843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45843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45843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45843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45843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45843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45843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45843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45843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45843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45843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45843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45843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45843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45843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45843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45843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45843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45843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45843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45843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45843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45843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45843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45843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45843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45843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45843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45843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45843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45843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45843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45843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45843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45843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45843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45843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45843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45843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45843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45843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45843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45843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45843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45843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45843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45843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45843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45843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45843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45843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45843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45843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45843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45843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45843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45843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45843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45843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45843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45843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45843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45843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45843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45843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45843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45843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45843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45843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45843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45843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45843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45843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45843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45843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45843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45843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45843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45843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45843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45843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45843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45843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45843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45843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45843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45843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45843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45843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45843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45843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45843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45843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45843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45843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45843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45843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45843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45843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45843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45843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45843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45843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45843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45843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45843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45843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45843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45843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45843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45843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45843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45843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45843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45843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45843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45843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45843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45843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45843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45843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45843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45843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45843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45843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45843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45843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45843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45843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45843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45843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45843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45843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45843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45843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45843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45843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45843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45843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45843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45843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45843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45843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45843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45843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45843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45843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45843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45843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45843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45843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45843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45843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45843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45843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45843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45843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45843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45843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45843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45843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45843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45843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45843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45843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45843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45843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45843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45843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45843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45843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45843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45843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45843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45843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45843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45843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45843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45843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45843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45843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45843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45843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45843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45843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45843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45843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45843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45843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45843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45843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45843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45843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45843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45843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45843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45843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45843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45843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45843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45843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45843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45843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45843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45843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45843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45843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45843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45843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45843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45843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45843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45843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45843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45843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45843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45843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45843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45843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45843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45843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45843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45843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45843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45843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45843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45843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45843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45843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45843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45843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45843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45843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45843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45843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45843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45843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45843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45843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45843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45843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45843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45843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45843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45843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45843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45843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45843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45843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45843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45843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45843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45843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45843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45843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45843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45843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45843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45843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45843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45843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45843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45843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45843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45843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45843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45843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45843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45843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45843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45843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45843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45843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45843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45843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45843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45843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45843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45843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45843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45843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45843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45843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45843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45843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45843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45843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45843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45843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45843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45843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45843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45843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45843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45843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45843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45843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45843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45843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45843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45843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45843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45843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45843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45843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45843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45843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45843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45843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45843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45843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45843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45843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45843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45843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45843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45843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45843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45843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45843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45843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45843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45843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45843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45843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45843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45843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45843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45843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45843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45843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45843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45843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45843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45843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45843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45843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45843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45843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45843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45843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45843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45843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45843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45843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45843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45843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45843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45843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45843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45843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45843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45843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45843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45843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45843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45843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45843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45843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45843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45843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45843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45843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45843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45843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45843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45843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45843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45843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45843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45843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45843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45843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45843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45843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45843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45843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45843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45843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45843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45843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45843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45843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45843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45843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45843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45843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45843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45843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45843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45843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45843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45843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45843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45843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45843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45843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45843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45843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45843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45843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45843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45843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45843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45843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45843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45843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45843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45843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45843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45843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45843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45843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45843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45843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45843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45843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45843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45843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45843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45843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45843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45843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45843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45843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45843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45843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45843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45843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45843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45843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45843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45843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45843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45843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45843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45843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45843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45843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45843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45843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45843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45843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45843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45843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45843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45843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45843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45843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45843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45843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45843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45843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45843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45843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45843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45843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45843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45843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45843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45843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45843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45843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45843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45843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45843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45843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45843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45843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45843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45843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45843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45843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45843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45843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45843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45843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45843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45843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45843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45843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45843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45843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45843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45843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45843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45843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45843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45843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45843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45843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45843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45843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45843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45843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45843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45843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45843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45843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45843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45843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45843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45843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45843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45843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45843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45843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45843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45843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45843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45843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45843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45843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45843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45843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45843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45843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45843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45843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45843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45843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45843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45843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45843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45843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45843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45843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45843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45843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45843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45843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45843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45843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45843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45843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45843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45843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45843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45843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45843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45843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45843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45843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45843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45843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45843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45843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45843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45843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45843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45843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45843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45843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45843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45843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45843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45843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45843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45843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45843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45843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45843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45843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45843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45843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45843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45843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45843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45843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45843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45843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45843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45843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45843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45843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45843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45843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45843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45843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45843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45843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45843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45843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45843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45843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45843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45843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45843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45843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45843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45843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45843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45843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45843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45843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45843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45843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45843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45843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45843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45843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45843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45843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45843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45843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45843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45843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45843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45843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45843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45843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45843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45843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45843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45843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45843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45843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45843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45843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45843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45843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45843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45843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45843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45843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45843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45843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45843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45843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45843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45843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45843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45843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45843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45843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45843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45843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45843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45843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45843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45843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45843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45843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45843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45843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45843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45843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45843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45843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45843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45843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45843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45843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45843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45843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45843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45843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45843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45843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45843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45843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45843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45843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45843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45843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45843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45843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45843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45843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45843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45843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45843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45843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45843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45843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45843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45843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45843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45843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45843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45843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45843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45843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45843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45843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45843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45843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45843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45843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45843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45843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45843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45843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45843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45843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45843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45843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45843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45843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45843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45843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45843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45843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45843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45843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45843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45843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45843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45843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45843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45843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45843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45843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45843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45843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45843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45843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45843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45843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45843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45843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45843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45843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45843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45843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45843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45843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45843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45843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45843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45843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45843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45843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45843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45843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45843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45843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45843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45843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45843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45843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45843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45843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45843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45843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45843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45843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45843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45843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45843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45843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45843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45843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45843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45843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45843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45843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45843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45843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45843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45843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45843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45843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45843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45843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45843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45843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45843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45843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45843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45843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45843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45843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45843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45843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45843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45843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45843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45843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45843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45843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45843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45843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45843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45843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45843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45843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45843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45843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45843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45843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45843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45843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45843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45843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45843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45843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45843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45843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45843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45843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45843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45843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45843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45843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45843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45843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45843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45843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45843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45843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45843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45843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45843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45843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45843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45843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45843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45843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45843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45843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45843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45843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45843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45843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45843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45843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45843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45843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45843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45843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45843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45843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45843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45843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45843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45843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45843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45843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45843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45843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45843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45843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45843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45843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45843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45843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45843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45843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45843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45843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45843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45843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45843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45843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45843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45843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45843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45843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45843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45843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45843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45843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45843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45843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45843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45843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45843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45843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45843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45843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45843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45843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45843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45843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45843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45843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45843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45843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45843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45843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45843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45843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45843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45843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45843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45843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45843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45843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45843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45843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45843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45843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45843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45843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45843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45843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45843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45843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45843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45843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45843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45843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45843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45843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45843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45843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45843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45843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45843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45843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45843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45843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45843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45843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45843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45843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45843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45843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45843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45843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45843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45843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45843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45843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45843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45843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45843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45843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45843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45843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45843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45843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45843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45843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45843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45843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45843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45843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45843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45843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45843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45843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45843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45843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45843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45843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45843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45843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45843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45843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45843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45843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45843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45843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45843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45843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45843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45843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45843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45843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45843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45843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45843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45843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45843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45843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45843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45843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45843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45843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45843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45843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45843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45843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45843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45843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45843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45843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45843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45843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45843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45843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45843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45843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45843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45843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45843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45843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45843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45843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45843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45843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45843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45843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45843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45843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45843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45843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45843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45843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45843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45843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45843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45843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45843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45843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45843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45843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45843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45843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45843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45843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45843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45843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45843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45843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45843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45843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45843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45843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45843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45843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45843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45843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45843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45843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45843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45843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45843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45843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45843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45843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45843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45843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45843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45843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45843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45843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45843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45843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45843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45843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45843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45843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45843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45843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45843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45843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45843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45843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45843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45843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45843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45843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45843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45843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45843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45843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45843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45843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45843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45843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45843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45843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45843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45843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45843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45843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45843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45843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45843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45843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45843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45843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45843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45843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45843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45843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45843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45843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45843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45843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45843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45843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45843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45843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45843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45843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45843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45843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45843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45843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45843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45843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45843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45843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45843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45843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45843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45843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45843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45843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45843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45843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45843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45843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45843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45843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45843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45843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45843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45843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45843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45843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45843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45843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45843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45843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45843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45843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45843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45843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45843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45843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45843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45843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45843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45843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45843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45843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45843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45843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45843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45843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45843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45843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45843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45843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45843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45843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45843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45843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45843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45843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45843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45843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45843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45843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45843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45843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45843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45843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45843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45843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45843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45843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45843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45843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45843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45843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45843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45843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45843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45843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45843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45843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45843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45843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45843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45843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45843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45843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45843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45843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45843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45843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45843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45843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45843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45843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45843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45843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45843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45843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45843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45843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45843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45843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45843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45843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45843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45843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45843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45843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45843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45843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45843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45843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45843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45843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45843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45843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45843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45843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45843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45843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45843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45843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45843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45843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45843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45843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45843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45843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45843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45843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45843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45843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45843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45843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45843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45843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45843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45843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45843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45843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45843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45843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45843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45843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45843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45843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45843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45843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45843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45843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45843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45843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45843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45843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45843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45843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45843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45843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45843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45843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45843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45843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45843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45843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45843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45843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45843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45843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45843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45843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45843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45843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45843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45843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45843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45843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45843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45843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45843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45843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45843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45843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45843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45843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45843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45843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45843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45843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45843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45843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45843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45843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45843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45843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45843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45843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45843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45843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45843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45843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45843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45843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45843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45843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45843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45843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45843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45843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45843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45843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45843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45843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45843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45843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45843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45843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45843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45843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45843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45843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45843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45843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45843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45843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45843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45843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45843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45843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45843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45843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45843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45843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45843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45843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45843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45843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45843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45843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45843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45843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45843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45843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45843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45843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45843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45843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45843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45843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45843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45843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45843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45843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45843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45843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45843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45843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45843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45843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45843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45843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45843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45843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45843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45843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45843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45843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45843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45843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45843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45843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45843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45843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45843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45843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45843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45843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45843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45843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45843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45843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45843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45843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45843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45843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45843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45843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45843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45843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45843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45843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45843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45843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45843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45843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45843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45843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45843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45843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45843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45843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45843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45843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45843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45843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45843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45843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45843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45843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45843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45843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45843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45843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45843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45843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45843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45843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45843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45843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45843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45843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45843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45843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45843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45843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45843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45843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45843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45843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45843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45843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45843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45843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45843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45843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45843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45843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45843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45843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45843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45843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45843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45843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45843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45843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45843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45843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45843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45843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45843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45843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45843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45843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45843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45843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45843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45843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45843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45843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45843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45843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45843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45843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45843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45843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45843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45843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45843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45843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45843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45843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45843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45843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45843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45843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45843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45843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45843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45843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45843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45843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45843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45843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45843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45843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45843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45843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45843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45843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45843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45843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45843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45843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45843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45843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45843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45843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45843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45843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45843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45843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45843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45843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45843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45843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45843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45843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45843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45843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45843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45843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45843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45843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45843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45843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45843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45843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45843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45843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45843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45843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45843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45843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45843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45843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45843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45843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45843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45843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45843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45843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45843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45843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45843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45843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45843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45843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45843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45843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45843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45843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45843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45843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45843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45843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45843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45843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45843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45843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45843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45843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45843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45843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45843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45843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45843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45843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45843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45843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45843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45843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45843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45843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45843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45843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45843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45843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45843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45843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45843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45843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45843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45843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45843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45843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45843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45843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45843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45843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45843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45843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45843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45843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45843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45843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45843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45843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45843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45843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45843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45843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45843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45843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45843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45843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45843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45843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45843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45843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45843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45843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45843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45843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45843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45843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45843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45843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45843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45843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45843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45843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45843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45843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45843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45843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45843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45843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45843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45843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45843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45843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45843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45843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45843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45843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45843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45843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45843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45843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45843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45843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45843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45843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45843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45843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45843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45843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45843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45843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45843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45843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45843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45843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45843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45843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45843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45843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45843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45843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45843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45843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45843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45843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45843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45843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45843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45843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45843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45843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45843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45843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45843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45843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45843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45843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45843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45843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45843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45843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45843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45843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45843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45843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45843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45843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45843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45843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45843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45843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45843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45843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45843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45843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45843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45843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45843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45843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45843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45843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45843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45843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45843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45843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45843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45843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45843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45843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45843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45843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45843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45843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45843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45843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45843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45843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45843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45843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45843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45843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45843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45843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45843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45843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45843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45843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45843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45843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45843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45843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45843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45843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45843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45843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45843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45843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45843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45843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45843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45843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45843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45843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45843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45843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45843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45843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45843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45843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45843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45843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45843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45843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45843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45843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45843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45843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45843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45843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45843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45843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45843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45843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45843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45843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45843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45843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45843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45843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45843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45843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45843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45843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45843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45843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45843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45843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45843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45843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45843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45843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45843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45843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45843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45843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45843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45843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45843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45843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45843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45843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45843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45843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45843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45843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45843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45843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45843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45843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45843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45843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45843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45843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45843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45843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45843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45843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45843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45843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45843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45843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45843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45843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45843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45843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45843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45843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45843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45843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45843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45843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45843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45843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45843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45843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45843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45843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45843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45843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45843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45843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45843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45843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45843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45843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45843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45843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45843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45843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45843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45843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45843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45843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45843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45843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45843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45843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45843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45843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45843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45843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45843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45843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45843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45843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45843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45843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45843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45843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45843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45843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45843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45843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45843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45843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45843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45843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45843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45843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45843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45843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45843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45843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45843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45843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45843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45843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45843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45843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45843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45843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45843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45843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45843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45843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45843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45843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45843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45843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45843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45843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45843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45843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45843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45843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45843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45843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45843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45843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45843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45843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45843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45843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45843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45843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45843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45843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45843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45843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45843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45843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45843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45843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45843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45843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45843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45843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45843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45843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45843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45843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45843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45843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45843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45843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45843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45843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45843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45843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45843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45843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45843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45843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45843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45843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45843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45843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45843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45843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45843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45843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45843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45843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45843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45843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45843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45843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45843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45843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45843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45843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45843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45843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45843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45843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45843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45843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45843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45843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45843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45843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45843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45843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45843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45843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45843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45843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45843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45843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45843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45843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45843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45843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45843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45843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45843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45843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45843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45843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45843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45843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45843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45843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45843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45843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45843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45843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45843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45843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45843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45843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45843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45843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45843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45843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45843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45843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45843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45843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45843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45843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45843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45843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45843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45843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45843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45843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45843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45843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45843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45843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45843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45843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45843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45843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45843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45843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45843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45843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45843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45843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45843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45843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45843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45843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45843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45843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45843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45843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45843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45843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45843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45843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45843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45843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45843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45843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45843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45843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45843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45843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45843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45843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45843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45843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45843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45843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45843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45843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45843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45843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45843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45843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45843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45843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45843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45843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45843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45843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45843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45843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45843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45843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45843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45843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45843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45843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45843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45843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45843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45843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45843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45843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45843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45843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45843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45843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45843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45843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45843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45843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45843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45843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45843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45843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45843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45843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45843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45843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45843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45843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45843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45843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45843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45843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45843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45843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45843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45843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45843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45843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45843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45843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45843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45843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45843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45843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45843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45843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45843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45843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45843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45843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45843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45843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45843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45843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45843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45843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45843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45843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45843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45843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45843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45843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45843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45843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45843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45843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45843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45843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45843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45843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45843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45843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45843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45843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45843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45843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45843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45843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45843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45843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45843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45843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45843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45843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45843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45843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45843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45843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45843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45843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45843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45843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45843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45843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45843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45843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45843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45843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45843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45843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45843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45843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45843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45843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45843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45843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45843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45843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45843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45843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45843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45843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45843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45843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45843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45843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45843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45843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45843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45843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45843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45843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45843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45843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45843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45843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45843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45843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45843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45843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45843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45843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45843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45843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45843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45843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45843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45843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45843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45843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45843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45843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45843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45843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45843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45843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45843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45843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45843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45843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45843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45843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45843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45843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45843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45843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45843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45843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45843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45843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45843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45843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45843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45843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45843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45843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45843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45843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45843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45843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45843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45843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45843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45843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45843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45843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45843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45843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45843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45843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45843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45843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45843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45843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45843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45843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45843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45843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45843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45843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45843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45843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45843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45843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45843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45843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45843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45843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45843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45843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45843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45843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45843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45843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45843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45843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45843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45843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45843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45843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45843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45843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45843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45843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45843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45843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45843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45843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45843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45843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45843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45843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45843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45843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45843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45843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45843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45843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45843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45843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45843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45843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45843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45843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45843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45843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45843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45843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45843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45843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45843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45843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45843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45843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45843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45843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45843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45843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45843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45843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45843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45843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45843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45843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45843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45843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45843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45843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45843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45843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45843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45843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45843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45843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45843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45843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45843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45843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45843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45843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45843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45843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45843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45843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45843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45843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45843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45843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45843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45843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45843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45843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45843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45843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45843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45843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45843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45843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45843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45843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45843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45843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45843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45843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45843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45843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45843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45843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45843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45843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45843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45843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45843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45843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45843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45843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45843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45843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45843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45843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45843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45843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45843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45843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45843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45843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45843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45843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45843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45843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45843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45843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45843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45843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45843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45843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45843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45843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45843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45843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45843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45843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45843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45843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45843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45843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45843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45843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45843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45843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45843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45843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45843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45843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45843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45843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45843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45843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45843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45843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45843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45843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45843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45843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45843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45843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45843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45843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45843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45843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45843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45843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45843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45843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45843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45843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45843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45843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45843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45843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45843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45843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45843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45843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45843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45843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45843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45843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45843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45843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45843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45843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45843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45843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45843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45843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45843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45843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45843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45843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45843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45843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45843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45843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45843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45843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45843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45843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45843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45843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45843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45843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45843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45843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45843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45843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45843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45843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45843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45843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45843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45843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45843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45843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45843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45843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45843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45843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45843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45843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45843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45843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45843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45843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45843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45843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45843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45843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45843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45843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45843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45843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45843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45843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45843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45843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45843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45843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45843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45843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45843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45843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45843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45843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45843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45843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45843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45843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45843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45843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45843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45843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45843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45843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45843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45843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45843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45843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45843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45843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45843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45843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45843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45843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45843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45843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45843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45843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45843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45843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45843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45843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45843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45843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45843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45843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45843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45843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45843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45843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45843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45843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45843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45843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45843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45843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45843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27893-2025</t>
        </is>
      </c>
      <c r="B5219" s="1" t="n">
        <v>45817</v>
      </c>
      <c r="C5219" s="1" t="n">
        <v>45843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9.300000000000001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45843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27985-2025</t>
        </is>
      </c>
      <c r="B5221" s="1" t="n">
        <v>45817</v>
      </c>
      <c r="C5221" s="1" t="n">
        <v>45843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28082-2025</t>
        </is>
      </c>
      <c r="B5222" s="1" t="n">
        <v>45817</v>
      </c>
      <c r="C5222" s="1" t="n">
        <v>45843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27850-2025</t>
        </is>
      </c>
      <c r="B5223" s="1" t="n">
        <v>45817</v>
      </c>
      <c r="C5223" s="1" t="n">
        <v>45843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15.5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28045-2025</t>
        </is>
      </c>
      <c r="B5224" s="1" t="n">
        <v>45817</v>
      </c>
      <c r="C5224" s="1" t="n">
        <v>45843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45843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45843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45843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28146-2025</t>
        </is>
      </c>
      <c r="B5228" s="1" t="n">
        <v>45818</v>
      </c>
      <c r="C5228" s="1" t="n">
        <v>45843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SCA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28234-2025</t>
        </is>
      </c>
      <c r="B5229" s="1" t="n">
        <v>45818</v>
      </c>
      <c r="C5229" s="1" t="n">
        <v>45843</v>
      </c>
      <c r="D5229" t="inlineStr">
        <is>
          <t>VÄSTERNORRLANDS LÄN</t>
        </is>
      </c>
      <c r="E5229" t="inlineStr">
        <is>
          <t>ÖRNSKÖLDSVIK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28226-2025</t>
        </is>
      </c>
      <c r="B5230" s="1" t="n">
        <v>45818</v>
      </c>
      <c r="C5230" s="1" t="n">
        <v>45843</v>
      </c>
      <c r="D5230" t="inlineStr">
        <is>
          <t>VÄSTERNORRLANDS LÄN</t>
        </is>
      </c>
      <c r="E5230" t="inlineStr">
        <is>
          <t>ÖRNSKÖLDSVIK</t>
        </is>
      </c>
      <c r="G5230" t="n">
        <v>30.6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28231-2025</t>
        </is>
      </c>
      <c r="B5231" s="1" t="n">
        <v>45818</v>
      </c>
      <c r="C5231" s="1" t="n">
        <v>45843</v>
      </c>
      <c r="D5231" t="inlineStr">
        <is>
          <t>VÄSTERNORRLANDS LÄN</t>
        </is>
      </c>
      <c r="E5231" t="inlineStr">
        <is>
          <t>ÖRNSKÖLDSVIK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28509-2025</t>
        </is>
      </c>
      <c r="B5232" s="1" t="n">
        <v>45818</v>
      </c>
      <c r="C5232" s="1" t="n">
        <v>45843</v>
      </c>
      <c r="D5232" t="inlineStr">
        <is>
          <t>VÄSTERNORRLANDS LÄN</t>
        </is>
      </c>
      <c r="E5232" t="inlineStr">
        <is>
          <t>ÖRNSKÖLDSVIK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28480-2025</t>
        </is>
      </c>
      <c r="B5233" s="1" t="n">
        <v>45819</v>
      </c>
      <c r="C5233" s="1" t="n">
        <v>45843</v>
      </c>
      <c r="D5233" t="inlineStr">
        <is>
          <t>VÄSTERNORRLANDS LÄN</t>
        </is>
      </c>
      <c r="E5233" t="inlineStr">
        <is>
          <t>ÖRNSKÖLDSVIK</t>
        </is>
      </c>
      <c r="G5233" t="n">
        <v>13.4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28513-2025</t>
        </is>
      </c>
      <c r="B5234" s="1" t="n">
        <v>45819</v>
      </c>
      <c r="C5234" s="1" t="n">
        <v>45843</v>
      </c>
      <c r="D5234" t="inlineStr">
        <is>
          <t>VÄSTERNORRLANDS LÄN</t>
        </is>
      </c>
      <c r="E5234" t="inlineStr">
        <is>
          <t>ÖRNSKÖLDSVIK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28517-2025</t>
        </is>
      </c>
      <c r="B5235" s="1" t="n">
        <v>45819</v>
      </c>
      <c r="C5235" s="1" t="n">
        <v>45843</v>
      </c>
      <c r="D5235" t="inlineStr">
        <is>
          <t>VÄSTERNORRLANDS LÄN</t>
        </is>
      </c>
      <c r="E5235" t="inlineStr">
        <is>
          <t>ÖRNSKÖLDSVIK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28527-2025</t>
        </is>
      </c>
      <c r="B5236" s="1" t="n">
        <v>45819</v>
      </c>
      <c r="C5236" s="1" t="n">
        <v>45843</v>
      </c>
      <c r="D5236" t="inlineStr">
        <is>
          <t>VÄSTERNORRLANDS LÄN</t>
        </is>
      </c>
      <c r="E5236" t="inlineStr">
        <is>
          <t>ÖRNSKÖLDSVIK</t>
        </is>
      </c>
      <c r="G5236" t="n">
        <v>13.4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28501-2025</t>
        </is>
      </c>
      <c r="B5237" s="1" t="n">
        <v>45819</v>
      </c>
      <c r="C5237" s="1" t="n">
        <v>45843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28799-2025</t>
        </is>
      </c>
      <c r="B5238" s="1" t="n">
        <v>45820</v>
      </c>
      <c r="C5238" s="1" t="n">
        <v>45843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45843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28901-2025</t>
        </is>
      </c>
      <c r="B5240" s="1" t="n">
        <v>45820</v>
      </c>
      <c r="C5240" s="1" t="n">
        <v>45843</v>
      </c>
      <c r="D5240" t="inlineStr">
        <is>
          <t>VÄSTERNORRLANDS LÄN</t>
        </is>
      </c>
      <c r="E5240" t="inlineStr">
        <is>
          <t>ÖRNSKÖLDSVIK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28883-2025</t>
        </is>
      </c>
      <c r="B5241" s="1" t="n">
        <v>45820</v>
      </c>
      <c r="C5241" s="1" t="n">
        <v>45843</v>
      </c>
      <c r="D5241" t="inlineStr">
        <is>
          <t>VÄSTERNORRLANDS LÄN</t>
        </is>
      </c>
      <c r="E5241" t="inlineStr">
        <is>
          <t>ÖRNSKÖLDSVIK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28716-2025</t>
        </is>
      </c>
      <c r="B5242" s="1" t="n">
        <v>45820</v>
      </c>
      <c r="C5242" s="1" t="n">
        <v>45843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28769-2025</t>
        </is>
      </c>
      <c r="B5243" s="1" t="n">
        <v>45820</v>
      </c>
      <c r="C5243" s="1" t="n">
        <v>45843</v>
      </c>
      <c r="D5243" t="inlineStr">
        <is>
          <t>VÄSTERNORRLANDS LÄN</t>
        </is>
      </c>
      <c r="E5243" t="inlineStr">
        <is>
          <t>ÖRNSKÖLDSVIK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28707-2025</t>
        </is>
      </c>
      <c r="B5244" s="1" t="n">
        <v>45820</v>
      </c>
      <c r="C5244" s="1" t="n">
        <v>45843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29006-2025</t>
        </is>
      </c>
      <c r="B5245" s="1" t="n">
        <v>45821</v>
      </c>
      <c r="C5245" s="1" t="n">
        <v>45843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28952-2025</t>
        </is>
      </c>
      <c r="B5246" s="1" t="n">
        <v>45821</v>
      </c>
      <c r="C5246" s="1" t="n">
        <v>45843</v>
      </c>
      <c r="D5246" t="inlineStr">
        <is>
          <t>VÄSTERNORRLANDS LÄN</t>
        </is>
      </c>
      <c r="E5246" t="inlineStr">
        <is>
          <t>ÖRNSKÖLDSVIK</t>
        </is>
      </c>
      <c r="G5246" t="n">
        <v>9.5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29058-2025</t>
        </is>
      </c>
      <c r="B5247" s="1" t="n">
        <v>45821</v>
      </c>
      <c r="C5247" s="1" t="n">
        <v>45843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29050-2025</t>
        </is>
      </c>
      <c r="B5248" s="1" t="n">
        <v>45821</v>
      </c>
      <c r="C5248" s="1" t="n">
        <v>45843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8.1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29044-2025</t>
        </is>
      </c>
      <c r="B5249" s="1" t="n">
        <v>45821</v>
      </c>
      <c r="C5249" s="1" t="n">
        <v>45843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29055-2025</t>
        </is>
      </c>
      <c r="B5250" s="1" t="n">
        <v>45821</v>
      </c>
      <c r="C5250" s="1" t="n">
        <v>45843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28983-2025</t>
        </is>
      </c>
      <c r="B5251" s="1" t="n">
        <v>45821</v>
      </c>
      <c r="C5251" s="1" t="n">
        <v>45843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29053-2025</t>
        </is>
      </c>
      <c r="B5252" s="1" t="n">
        <v>45821</v>
      </c>
      <c r="C5252" s="1" t="n">
        <v>45843</v>
      </c>
      <c r="D5252" t="inlineStr">
        <is>
          <t>VÄSTERNORRLANDS LÄN</t>
        </is>
      </c>
      <c r="E5252" t="inlineStr">
        <is>
          <t>ÖRNSKÖLDSVIK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29181-2025</t>
        </is>
      </c>
      <c r="B5253" s="1" t="n">
        <v>45821</v>
      </c>
      <c r="C5253" s="1" t="n">
        <v>45843</v>
      </c>
      <c r="D5253" t="inlineStr">
        <is>
          <t>VÄSTERNORRLANDS LÄN</t>
        </is>
      </c>
      <c r="E5253" t="inlineStr">
        <is>
          <t>ÖRNSKÖLDSVIK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29405-2025</t>
        </is>
      </c>
      <c r="B5254" s="1" t="n">
        <v>45824</v>
      </c>
      <c r="C5254" s="1" t="n">
        <v>45843</v>
      </c>
      <c r="D5254" t="inlineStr">
        <is>
          <t>VÄSTERNORRLANDS LÄN</t>
        </is>
      </c>
      <c r="E5254" t="inlineStr">
        <is>
          <t>ÖRNSKÖLDSVIK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29291-2025</t>
        </is>
      </c>
      <c r="B5255" s="1" t="n">
        <v>45824</v>
      </c>
      <c r="C5255" s="1" t="n">
        <v>45843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29268-2025</t>
        </is>
      </c>
      <c r="B5256" s="1" t="n">
        <v>45824</v>
      </c>
      <c r="C5256" s="1" t="n">
        <v>45843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29414-2025</t>
        </is>
      </c>
      <c r="B5257" s="1" t="n">
        <v>45824</v>
      </c>
      <c r="C5257" s="1" t="n">
        <v>45843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29407-2025</t>
        </is>
      </c>
      <c r="B5258" s="1" t="n">
        <v>45824</v>
      </c>
      <c r="C5258" s="1" t="n">
        <v>45843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5.8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29457-2025</t>
        </is>
      </c>
      <c r="B5259" s="1" t="n">
        <v>45824</v>
      </c>
      <c r="C5259" s="1" t="n">
        <v>45843</v>
      </c>
      <c r="D5259" t="inlineStr">
        <is>
          <t>VÄSTERNORRLANDS LÄN</t>
        </is>
      </c>
      <c r="E5259" t="inlineStr">
        <is>
          <t>ÖRNSKÖLDSVIK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29390-2025</t>
        </is>
      </c>
      <c r="B5260" s="1" t="n">
        <v>45824</v>
      </c>
      <c r="C5260" s="1" t="n">
        <v>45843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29223-2025</t>
        </is>
      </c>
      <c r="B5261" s="1" t="n">
        <v>45824</v>
      </c>
      <c r="C5261" s="1" t="n">
        <v>45843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45843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29677-2025</t>
        </is>
      </c>
      <c r="B5263" s="1" t="n">
        <v>45825</v>
      </c>
      <c r="C5263" s="1" t="n">
        <v>45843</v>
      </c>
      <c r="D5263" t="inlineStr">
        <is>
          <t>VÄSTERNORRLANDS LÄN</t>
        </is>
      </c>
      <c r="E5263" t="inlineStr">
        <is>
          <t>ÖRNSKÖLDSVIK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29564-2025</t>
        </is>
      </c>
      <c r="B5264" s="1" t="n">
        <v>45825</v>
      </c>
      <c r="C5264" s="1" t="n">
        <v>45843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SCA</t>
        </is>
      </c>
      <c r="G5264" t="n">
        <v>32.2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29559-2025</t>
        </is>
      </c>
      <c r="B5265" s="1" t="n">
        <v>45825</v>
      </c>
      <c r="C5265" s="1" t="n">
        <v>45843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Holmen skog AB</t>
        </is>
      </c>
      <c r="G5265" t="n">
        <v>16.6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29590-2025</t>
        </is>
      </c>
      <c r="B5266" s="1" t="n">
        <v>45825</v>
      </c>
      <c r="C5266" s="1" t="n">
        <v>45843</v>
      </c>
      <c r="D5266" t="inlineStr">
        <is>
          <t>VÄSTERNORRLANDS LÄN</t>
        </is>
      </c>
      <c r="E5266" t="inlineStr">
        <is>
          <t>ÖRNSKÖLDSVIK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45843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30256-2025</t>
        </is>
      </c>
      <c r="B5268" s="1" t="n">
        <v>45826</v>
      </c>
      <c r="C5268" s="1" t="n">
        <v>45843</v>
      </c>
      <c r="D5268" t="inlineStr">
        <is>
          <t>VÄSTERNORRLANDS LÄN</t>
        </is>
      </c>
      <c r="E5268" t="inlineStr">
        <is>
          <t>ÖRNSKÖLDSVIK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30100-2025</t>
        </is>
      </c>
      <c r="B5269" s="1" t="n">
        <v>45826</v>
      </c>
      <c r="C5269" s="1" t="n">
        <v>45843</v>
      </c>
      <c r="D5269" t="inlineStr">
        <is>
          <t>VÄSTERNORRLANDS LÄN</t>
        </is>
      </c>
      <c r="E5269" t="inlineStr">
        <is>
          <t>ÖRNSKÖLDSVIK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29986-2025</t>
        </is>
      </c>
      <c r="B5270" s="1" t="n">
        <v>45826</v>
      </c>
      <c r="C5270" s="1" t="n">
        <v>45843</v>
      </c>
      <c r="D5270" t="inlineStr">
        <is>
          <t>VÄSTERNORRLANDS LÄN</t>
        </is>
      </c>
      <c r="E5270" t="inlineStr">
        <is>
          <t>ÖRNSKÖLDSVIK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30235-2025</t>
        </is>
      </c>
      <c r="B5271" s="1" t="n">
        <v>45826</v>
      </c>
      <c r="C5271" s="1" t="n">
        <v>45843</v>
      </c>
      <c r="D5271" t="inlineStr">
        <is>
          <t>VÄSTERNORRLANDS LÄN</t>
        </is>
      </c>
      <c r="E5271" t="inlineStr">
        <is>
          <t>ÖRNSKÖLDSVIK</t>
        </is>
      </c>
      <c r="G5271" t="n">
        <v>13.7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29981-2025</t>
        </is>
      </c>
      <c r="B5272" s="1" t="n">
        <v>45826</v>
      </c>
      <c r="C5272" s="1" t="n">
        <v>45843</v>
      </c>
      <c r="D5272" t="inlineStr">
        <is>
          <t>VÄSTERNORRLANDS LÄN</t>
        </is>
      </c>
      <c r="E5272" t="inlineStr">
        <is>
          <t>ÖRNSKÖLDSVIK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29969-2025</t>
        </is>
      </c>
      <c r="B5273" s="1" t="n">
        <v>45826</v>
      </c>
      <c r="C5273" s="1" t="n">
        <v>45843</v>
      </c>
      <c r="D5273" t="inlineStr">
        <is>
          <t>VÄSTERNORRLANDS LÄN</t>
        </is>
      </c>
      <c r="E5273" t="inlineStr">
        <is>
          <t>ÖRNSKÖLDSVIK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30168-2025</t>
        </is>
      </c>
      <c r="B5274" s="1" t="n">
        <v>45827</v>
      </c>
      <c r="C5274" s="1" t="n">
        <v>45843</v>
      </c>
      <c r="D5274" t="inlineStr">
        <is>
          <t>VÄSTERNORRLANDS LÄN</t>
        </is>
      </c>
      <c r="E5274" t="inlineStr">
        <is>
          <t>ÖRNSKÖLDSVIK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30240-2025</t>
        </is>
      </c>
      <c r="B5275" s="1" t="n">
        <v>45827</v>
      </c>
      <c r="C5275" s="1" t="n">
        <v>45843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30192-2025</t>
        </is>
      </c>
      <c r="B5276" s="1" t="n">
        <v>45827</v>
      </c>
      <c r="C5276" s="1" t="n">
        <v>45843</v>
      </c>
      <c r="D5276" t="inlineStr">
        <is>
          <t>VÄSTERNORRLANDS LÄN</t>
        </is>
      </c>
      <c r="E5276" t="inlineStr">
        <is>
          <t>ÖRNSKÖLDSVIK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30376-2025</t>
        </is>
      </c>
      <c r="B5277" s="1" t="n">
        <v>45827</v>
      </c>
      <c r="C5277" s="1" t="n">
        <v>45843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30441-2025</t>
        </is>
      </c>
      <c r="B5278" s="1" t="n">
        <v>45827</v>
      </c>
      <c r="C5278" s="1" t="n">
        <v>45843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7.4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30422-2025</t>
        </is>
      </c>
      <c r="B5279" s="1" t="n">
        <v>45827</v>
      </c>
      <c r="C5279" s="1" t="n">
        <v>45843</v>
      </c>
      <c r="D5279" t="inlineStr">
        <is>
          <t>VÄSTERNORRLANDS LÄN</t>
        </is>
      </c>
      <c r="E5279" t="inlineStr">
        <is>
          <t>ÖRNSKÖLDSVIK</t>
        </is>
      </c>
      <c r="G5279" t="n">
        <v>16.8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45843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30695-2025</t>
        </is>
      </c>
      <c r="B5281" s="1" t="n">
        <v>45831</v>
      </c>
      <c r="C5281" s="1" t="n">
        <v>45843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30727-2025</t>
        </is>
      </c>
      <c r="B5282" s="1" t="n">
        <v>45831</v>
      </c>
      <c r="C5282" s="1" t="n">
        <v>45843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8.1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30612-2025</t>
        </is>
      </c>
      <c r="B5283" s="1" t="n">
        <v>45831</v>
      </c>
      <c r="C5283" s="1" t="n">
        <v>45843</v>
      </c>
      <c r="D5283" t="inlineStr">
        <is>
          <t>VÄSTERNORRLANDS LÄN</t>
        </is>
      </c>
      <c r="E5283" t="inlineStr">
        <is>
          <t>ÖRNSKÖLDSVIK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30713-2025</t>
        </is>
      </c>
      <c r="B5284" s="1" t="n">
        <v>45831</v>
      </c>
      <c r="C5284" s="1" t="n">
        <v>45843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SCA</t>
        </is>
      </c>
      <c r="G5284" t="n">
        <v>47.1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30725-2025</t>
        </is>
      </c>
      <c r="B5285" s="1" t="n">
        <v>45831</v>
      </c>
      <c r="C5285" s="1" t="n">
        <v>45843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7.6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30742-2025</t>
        </is>
      </c>
      <c r="B5286" s="1" t="n">
        <v>45831</v>
      </c>
      <c r="C5286" s="1" t="n">
        <v>45843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31007-2025</t>
        </is>
      </c>
      <c r="B5287" s="1" t="n">
        <v>45831</v>
      </c>
      <c r="C5287" s="1" t="n">
        <v>45843</v>
      </c>
      <c r="D5287" t="inlineStr">
        <is>
          <t>VÄSTERNORRLANDS LÄN</t>
        </is>
      </c>
      <c r="E5287" t="inlineStr">
        <is>
          <t>ÖRNSKÖLDSVIK</t>
        </is>
      </c>
      <c r="G5287" t="n">
        <v>6.2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30806-2025</t>
        </is>
      </c>
      <c r="B5288" s="1" t="n">
        <v>45831</v>
      </c>
      <c r="C5288" s="1" t="n">
        <v>45843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6.9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30680-2025</t>
        </is>
      </c>
      <c r="B5289" s="1" t="n">
        <v>45831</v>
      </c>
      <c r="C5289" s="1" t="n">
        <v>45843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30693-2025</t>
        </is>
      </c>
      <c r="B5290" s="1" t="n">
        <v>45831</v>
      </c>
      <c r="C5290" s="1" t="n">
        <v>45843</v>
      </c>
      <c r="D5290" t="inlineStr">
        <is>
          <t>VÄSTERNORRLANDS LÄN</t>
        </is>
      </c>
      <c r="E5290" t="inlineStr">
        <is>
          <t>ÖRNSKÖLDSVIK</t>
        </is>
      </c>
      <c r="G5290" t="n">
        <v>8.6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30678-2025</t>
        </is>
      </c>
      <c r="B5291" s="1" t="n">
        <v>45831</v>
      </c>
      <c r="C5291" s="1" t="n">
        <v>45843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30696-2025</t>
        </is>
      </c>
      <c r="B5292" s="1" t="n">
        <v>45831</v>
      </c>
      <c r="C5292" s="1" t="n">
        <v>45843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30830-2025</t>
        </is>
      </c>
      <c r="B5293" s="1" t="n">
        <v>45831</v>
      </c>
      <c r="C5293" s="1" t="n">
        <v>45843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30722-2025</t>
        </is>
      </c>
      <c r="B5294" s="1" t="n">
        <v>45831</v>
      </c>
      <c r="C5294" s="1" t="n">
        <v>45843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30671-2025</t>
        </is>
      </c>
      <c r="B5295" s="1" t="n">
        <v>45831</v>
      </c>
      <c r="C5295" s="1" t="n">
        <v>45843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31120-2025</t>
        </is>
      </c>
      <c r="B5296" s="1" t="n">
        <v>45832</v>
      </c>
      <c r="C5296" s="1" t="n">
        <v>45843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31121-2025</t>
        </is>
      </c>
      <c r="B5297" s="1" t="n">
        <v>45832</v>
      </c>
      <c r="C5297" s="1" t="n">
        <v>45843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31118-2025</t>
        </is>
      </c>
      <c r="B5298" s="1" t="n">
        <v>45832</v>
      </c>
      <c r="C5298" s="1" t="n">
        <v>45843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31088-2025</t>
        </is>
      </c>
      <c r="B5299" s="1" t="n">
        <v>45832</v>
      </c>
      <c r="C5299" s="1" t="n">
        <v>45843</v>
      </c>
      <c r="D5299" t="inlineStr">
        <is>
          <t>VÄSTERNORRLANDS LÄN</t>
        </is>
      </c>
      <c r="E5299" t="inlineStr">
        <is>
          <t>ÖRNSKÖLDSVIK</t>
        </is>
      </c>
      <c r="G5299" t="n">
        <v>5.9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31089-2025</t>
        </is>
      </c>
      <c r="B5300" s="1" t="n">
        <v>45832</v>
      </c>
      <c r="C5300" s="1" t="n">
        <v>45843</v>
      </c>
      <c r="D5300" t="inlineStr">
        <is>
          <t>VÄSTERNORRLANDS LÄN</t>
        </is>
      </c>
      <c r="E5300" t="inlineStr">
        <is>
          <t>ÖRNSKÖLDSVIK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31174-2025</t>
        </is>
      </c>
      <c r="B5301" s="1" t="n">
        <v>45832</v>
      </c>
      <c r="C5301" s="1" t="n">
        <v>45843</v>
      </c>
      <c r="D5301" t="inlineStr">
        <is>
          <t>VÄSTERNORRLANDS LÄN</t>
        </is>
      </c>
      <c r="E5301" t="inlineStr">
        <is>
          <t>ÖRNSKÖLDSVIK</t>
        </is>
      </c>
      <c r="G5301" t="n">
        <v>4.3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31156-2025</t>
        </is>
      </c>
      <c r="B5302" s="1" t="n">
        <v>45832</v>
      </c>
      <c r="C5302" s="1" t="n">
        <v>45843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8.5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31193-2025</t>
        </is>
      </c>
      <c r="B5303" s="1" t="n">
        <v>45832</v>
      </c>
      <c r="C5303" s="1" t="n">
        <v>45843</v>
      </c>
      <c r="D5303" t="inlineStr">
        <is>
          <t>VÄSTERNORRLANDS LÄN</t>
        </is>
      </c>
      <c r="E5303" t="inlineStr">
        <is>
          <t>ÖRNSKÖLDSVIK</t>
        </is>
      </c>
      <c r="G5303" t="n">
        <v>0.2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30895-2025</t>
        </is>
      </c>
      <c r="B5304" s="1" t="n">
        <v>45832</v>
      </c>
      <c r="C5304" s="1" t="n">
        <v>45843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31098-2025</t>
        </is>
      </c>
      <c r="B5305" s="1" t="n">
        <v>45832</v>
      </c>
      <c r="C5305" s="1" t="n">
        <v>45843</v>
      </c>
      <c r="D5305" t="inlineStr">
        <is>
          <t>VÄSTERNORRLANDS LÄN</t>
        </is>
      </c>
      <c r="E5305" t="inlineStr">
        <is>
          <t>ÖRNSKÖLDSVIK</t>
        </is>
      </c>
      <c r="G5305" t="n">
        <v>5.5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31207-2025</t>
        </is>
      </c>
      <c r="B5306" s="1" t="n">
        <v>45832</v>
      </c>
      <c r="C5306" s="1" t="n">
        <v>45843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5.2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31340-2025</t>
        </is>
      </c>
      <c r="B5307" s="1" t="n">
        <v>45833</v>
      </c>
      <c r="C5307" s="1" t="n">
        <v>45843</v>
      </c>
      <c r="D5307" t="inlineStr">
        <is>
          <t>VÄSTERNORRLANDS LÄN</t>
        </is>
      </c>
      <c r="E5307" t="inlineStr">
        <is>
          <t>ÖRNSKÖLDSVIK</t>
        </is>
      </c>
      <c r="F5307" t="inlineStr">
        <is>
          <t>SCA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31348-2025</t>
        </is>
      </c>
      <c r="B5308" s="1" t="n">
        <v>45833</v>
      </c>
      <c r="C5308" s="1" t="n">
        <v>45843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8.6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31272-2025</t>
        </is>
      </c>
      <c r="B5309" s="1" t="n">
        <v>45833</v>
      </c>
      <c r="C5309" s="1" t="n">
        <v>45843</v>
      </c>
      <c r="D5309" t="inlineStr">
        <is>
          <t>VÄSTERNORRLANDS LÄN</t>
        </is>
      </c>
      <c r="E5309" t="inlineStr">
        <is>
          <t>ÖRNSKÖLDSVIK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31542-2025</t>
        </is>
      </c>
      <c r="B5310" s="1" t="n">
        <v>45833</v>
      </c>
      <c r="C5310" s="1" t="n">
        <v>45843</v>
      </c>
      <c r="D5310" t="inlineStr">
        <is>
          <t>VÄSTERNORRLANDS LÄN</t>
        </is>
      </c>
      <c r="E5310" t="inlineStr">
        <is>
          <t>ÖRNSKÖLDSVIK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31350-2025</t>
        </is>
      </c>
      <c r="B5311" s="1" t="n">
        <v>45833</v>
      </c>
      <c r="C5311" s="1" t="n">
        <v>45843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31675-2025</t>
        </is>
      </c>
      <c r="B5312" s="1" t="n">
        <v>45834</v>
      </c>
      <c r="C5312" s="1" t="n">
        <v>45843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31893-2025</t>
        </is>
      </c>
      <c r="B5313" s="1" t="n">
        <v>45834</v>
      </c>
      <c r="C5313" s="1" t="n">
        <v>45843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8.199999999999999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31898-2025</t>
        </is>
      </c>
      <c r="B5314" s="1" t="n">
        <v>45834</v>
      </c>
      <c r="C5314" s="1" t="n">
        <v>45843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31550-2025</t>
        </is>
      </c>
      <c r="B5315" s="1" t="n">
        <v>45834</v>
      </c>
      <c r="C5315" s="1" t="n">
        <v>45843</v>
      </c>
      <c r="D5315" t="inlineStr">
        <is>
          <t>VÄSTERNORRLANDS LÄN</t>
        </is>
      </c>
      <c r="E5315" t="inlineStr">
        <is>
          <t>ÖRNSKÖLDSVIK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31789-2025</t>
        </is>
      </c>
      <c r="B5316" s="1" t="n">
        <v>45834</v>
      </c>
      <c r="C5316" s="1" t="n">
        <v>45843</v>
      </c>
      <c r="D5316" t="inlineStr">
        <is>
          <t>VÄSTERNORRLANDS LÄN</t>
        </is>
      </c>
      <c r="E5316" t="inlineStr">
        <is>
          <t>ÖRNSKÖLDSVIK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31681-2025</t>
        </is>
      </c>
      <c r="B5317" s="1" t="n">
        <v>45834</v>
      </c>
      <c r="C5317" s="1" t="n">
        <v>45843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31792-2025</t>
        </is>
      </c>
      <c r="B5318" s="1" t="n">
        <v>45834</v>
      </c>
      <c r="C5318" s="1" t="n">
        <v>45843</v>
      </c>
      <c r="D5318" t="inlineStr">
        <is>
          <t>VÄSTERNORRLANDS LÄN</t>
        </is>
      </c>
      <c r="E5318" t="inlineStr">
        <is>
          <t>ÖRNSKÖLDSVIK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32053-2025</t>
        </is>
      </c>
      <c r="B5319" s="1" t="n">
        <v>45835</v>
      </c>
      <c r="C5319" s="1" t="n">
        <v>45843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32107-2025</t>
        </is>
      </c>
      <c r="B5320" s="1" t="n">
        <v>45835</v>
      </c>
      <c r="C5320" s="1" t="n">
        <v>45843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32135-2025</t>
        </is>
      </c>
      <c r="B5321" s="1" t="n">
        <v>45835</v>
      </c>
      <c r="C5321" s="1" t="n">
        <v>45843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7.2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32273-2025</t>
        </is>
      </c>
      <c r="B5322" s="1" t="n">
        <v>45835</v>
      </c>
      <c r="C5322" s="1" t="n">
        <v>45843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31972-2025</t>
        </is>
      </c>
      <c r="B5323" s="1" t="n">
        <v>45835</v>
      </c>
      <c r="C5323" s="1" t="n">
        <v>45843</v>
      </c>
      <c r="D5323" t="inlineStr">
        <is>
          <t>VÄSTERNORRLANDS LÄN</t>
        </is>
      </c>
      <c r="E5323" t="inlineStr">
        <is>
          <t>ÖRNSKÖLDSVIK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32164-2025</t>
        </is>
      </c>
      <c r="B5324" s="1" t="n">
        <v>45835</v>
      </c>
      <c r="C5324" s="1" t="n">
        <v>45843</v>
      </c>
      <c r="D5324" t="inlineStr">
        <is>
          <t>VÄSTERNORRLANDS LÄN</t>
        </is>
      </c>
      <c r="E5324" t="inlineStr">
        <is>
          <t>ÖRNSKÖLDSVIK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32168-2025</t>
        </is>
      </c>
      <c r="B5325" s="1" t="n">
        <v>45835</v>
      </c>
      <c r="C5325" s="1" t="n">
        <v>45843</v>
      </c>
      <c r="D5325" t="inlineStr">
        <is>
          <t>VÄSTERNORRLANDS LÄN</t>
        </is>
      </c>
      <c r="E5325" t="inlineStr">
        <is>
          <t>ÖRNSKÖLDSVIK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32247-2025</t>
        </is>
      </c>
      <c r="B5326" s="1" t="n">
        <v>45835</v>
      </c>
      <c r="C5326" s="1" t="n">
        <v>45843</v>
      </c>
      <c r="D5326" t="inlineStr">
        <is>
          <t>VÄSTERNORRLANDS LÄN</t>
        </is>
      </c>
      <c r="E5326" t="inlineStr">
        <is>
          <t>ÖRNSKÖLDSVIK</t>
        </is>
      </c>
      <c r="G5326" t="n">
        <v>6.5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32220-2025</t>
        </is>
      </c>
      <c r="B5327" s="1" t="n">
        <v>45835</v>
      </c>
      <c r="C5327" s="1" t="n">
        <v>45843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31982-2025</t>
        </is>
      </c>
      <c r="B5328" s="1" t="n">
        <v>45835</v>
      </c>
      <c r="C5328" s="1" t="n">
        <v>45843</v>
      </c>
      <c r="D5328" t="inlineStr">
        <is>
          <t>VÄSTERNORRLANDS LÄN</t>
        </is>
      </c>
      <c r="E5328" t="inlineStr">
        <is>
          <t>ÖRNSKÖLDSVIK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32302-2025</t>
        </is>
      </c>
      <c r="B5329" s="1" t="n">
        <v>45835</v>
      </c>
      <c r="C5329" s="1" t="n">
        <v>45843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9.9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32192-2025</t>
        </is>
      </c>
      <c r="B5330" s="1" t="n">
        <v>45835</v>
      </c>
      <c r="C5330" s="1" t="n">
        <v>45843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32251-2025</t>
        </is>
      </c>
      <c r="B5331" s="1" t="n">
        <v>45835</v>
      </c>
      <c r="C5331" s="1" t="n">
        <v>45843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32115-2025</t>
        </is>
      </c>
      <c r="B5332" s="1" t="n">
        <v>45835</v>
      </c>
      <c r="C5332" s="1" t="n">
        <v>45843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32549-2025</t>
        </is>
      </c>
      <c r="B5333" s="1" t="n">
        <v>45838</v>
      </c>
      <c r="C5333" s="1" t="n">
        <v>45843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32557-2025</t>
        </is>
      </c>
      <c r="B5334" s="1" t="n">
        <v>45838</v>
      </c>
      <c r="C5334" s="1" t="n">
        <v>45843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32414-2025</t>
        </is>
      </c>
      <c r="B5335" s="1" t="n">
        <v>45838</v>
      </c>
      <c r="C5335" s="1" t="n">
        <v>45843</v>
      </c>
      <c r="D5335" t="inlineStr">
        <is>
          <t>VÄSTERNORRLANDS LÄN</t>
        </is>
      </c>
      <c r="E5335" t="inlineStr">
        <is>
          <t>ÖRNSKÖLDSVIK</t>
        </is>
      </c>
      <c r="G5335" t="n">
        <v>0.2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32876-2025</t>
        </is>
      </c>
      <c r="B5336" s="1" t="n">
        <v>45839</v>
      </c>
      <c r="C5336" s="1" t="n">
        <v>45843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29.6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32707-2025</t>
        </is>
      </c>
      <c r="B5337" s="1" t="n">
        <v>45839</v>
      </c>
      <c r="C5337" s="1" t="n">
        <v>45843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SCA</t>
        </is>
      </c>
      <c r="G5337" t="n">
        <v>12.5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33047-2025</t>
        </is>
      </c>
      <c r="B5338" s="1" t="n">
        <v>45840</v>
      </c>
      <c r="C5338" s="1" t="n">
        <v>45843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33177-2025</t>
        </is>
      </c>
      <c r="B5339" s="1" t="n">
        <v>45840</v>
      </c>
      <c r="C5339" s="1" t="n">
        <v>45843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33324-2025</t>
        </is>
      </c>
      <c r="B5340" s="1" t="n">
        <v>45841</v>
      </c>
      <c r="C5340" s="1" t="n">
        <v>45843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SCA</t>
        </is>
      </c>
      <c r="G5340" t="n">
        <v>12.4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33357-2025</t>
        </is>
      </c>
      <c r="B5341" s="1" t="n">
        <v>45841</v>
      </c>
      <c r="C5341" s="1" t="n">
        <v>45843</v>
      </c>
      <c r="D5341" t="inlineStr">
        <is>
          <t>VÄSTERNORRLANDS LÄN</t>
        </is>
      </c>
      <c r="E5341" t="inlineStr">
        <is>
          <t>ÖRNSKÖLDSVIK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33633-2025</t>
        </is>
      </c>
      <c r="B5342" s="1" t="n">
        <v>45841</v>
      </c>
      <c r="C5342" s="1" t="n">
        <v>45843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Holmen skog AB</t>
        </is>
      </c>
      <c r="G5342" t="n">
        <v>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33652-2025</t>
        </is>
      </c>
      <c r="B5343" s="1" t="n">
        <v>45841</v>
      </c>
      <c r="C5343" s="1" t="n">
        <v>45843</v>
      </c>
      <c r="D5343" t="inlineStr">
        <is>
          <t>VÄSTERNORRLANDS LÄN</t>
        </is>
      </c>
      <c r="E5343" t="inlineStr">
        <is>
          <t>ÖRNSKÖLDSVIK</t>
        </is>
      </c>
      <c r="F5343" t="inlineStr">
        <is>
          <t>Holmen skog AB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33662-2025</t>
        </is>
      </c>
      <c r="B5344" s="1" t="n">
        <v>45841</v>
      </c>
      <c r="C5344" s="1" t="n">
        <v>45843</v>
      </c>
      <c r="D5344" t="inlineStr">
        <is>
          <t>VÄSTERNORRLANDS LÄN</t>
        </is>
      </c>
      <c r="E5344" t="inlineStr">
        <is>
          <t>ÖRNSKÖLDSVIK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33401-2025</t>
        </is>
      </c>
      <c r="B5345" s="1" t="n">
        <v>45841</v>
      </c>
      <c r="C5345" s="1" t="n">
        <v>45843</v>
      </c>
      <c r="D5345" t="inlineStr">
        <is>
          <t>VÄSTERNORRLANDS LÄN</t>
        </is>
      </c>
      <c r="E5345" t="inlineStr">
        <is>
          <t>ÖRNSKÖLDSVIK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33587-2025</t>
        </is>
      </c>
      <c r="B5346" s="1" t="n">
        <v>45841</v>
      </c>
      <c r="C5346" s="1" t="n">
        <v>45843</v>
      </c>
      <c r="D5346" t="inlineStr">
        <is>
          <t>VÄSTERNORRLANDS LÄN</t>
        </is>
      </c>
      <c r="E5346" t="inlineStr">
        <is>
          <t>ÖRNSKÖLDSVIK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33359-2025</t>
        </is>
      </c>
      <c r="B5347" s="1" t="n">
        <v>45841</v>
      </c>
      <c r="C5347" s="1" t="n">
        <v>45843</v>
      </c>
      <c r="D5347" t="inlineStr">
        <is>
          <t>VÄSTERNORRLANDS LÄN</t>
        </is>
      </c>
      <c r="E5347" t="inlineStr">
        <is>
          <t>ÖRNSKÖLDSVIK</t>
        </is>
      </c>
      <c r="F5347" t="inlineStr">
        <is>
          <t>Holmen skog AB</t>
        </is>
      </c>
      <c r="G5347" t="n">
        <v>11.2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33628-2025</t>
        </is>
      </c>
      <c r="B5348" s="1" t="n">
        <v>45841</v>
      </c>
      <c r="C5348" s="1" t="n">
        <v>45843</v>
      </c>
      <c r="D5348" t="inlineStr">
        <is>
          <t>VÄSTERNORRLANDS LÄN</t>
        </is>
      </c>
      <c r="E5348" t="inlineStr">
        <is>
          <t>ÖRNSKÖLDSVIK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33558-2025</t>
        </is>
      </c>
      <c r="B5349" s="1" t="n">
        <v>45841</v>
      </c>
      <c r="C5349" s="1" t="n">
        <v>45843</v>
      </c>
      <c r="D5349" t="inlineStr">
        <is>
          <t>VÄSTERNORRLANDS LÄN</t>
        </is>
      </c>
      <c r="E5349" t="inlineStr">
        <is>
          <t>ÖRNSKÖLDSVIK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33620-2025</t>
        </is>
      </c>
      <c r="B5350" s="1" t="n">
        <v>45841</v>
      </c>
      <c r="C5350" s="1" t="n">
        <v>45843</v>
      </c>
      <c r="D5350" t="inlineStr">
        <is>
          <t>VÄSTERNORRLANDS LÄN</t>
        </is>
      </c>
      <c r="E5350" t="inlineStr">
        <is>
          <t>ÖRNSKÖLDSVIK</t>
        </is>
      </c>
      <c r="G5350" t="n">
        <v>3.8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33563-2025</t>
        </is>
      </c>
      <c r="B5351" s="1" t="n">
        <v>45841</v>
      </c>
      <c r="C5351" s="1" t="n">
        <v>45843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33557-2025</t>
        </is>
      </c>
      <c r="B5352" s="1" t="n">
        <v>45841</v>
      </c>
      <c r="C5352" s="1" t="n">
        <v>45843</v>
      </c>
      <c r="D5352" t="inlineStr">
        <is>
          <t>VÄSTERNORRLANDS LÄN</t>
        </is>
      </c>
      <c r="E5352" t="inlineStr">
        <is>
          <t>ÖRNSKÖLDSVIK</t>
        </is>
      </c>
      <c r="F5352" t="inlineStr">
        <is>
          <t>Holmen skog AB</t>
        </is>
      </c>
      <c r="G5352" t="n">
        <v>4.7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33588-2025</t>
        </is>
      </c>
      <c r="B5353" s="1" t="n">
        <v>45841</v>
      </c>
      <c r="C5353" s="1" t="n">
        <v>45843</v>
      </c>
      <c r="D5353" t="inlineStr">
        <is>
          <t>VÄSTERNORRLANDS LÄN</t>
        </is>
      </c>
      <c r="E5353" t="inlineStr">
        <is>
          <t>ÖRNSKÖLDSVIK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33596-2025</t>
        </is>
      </c>
      <c r="B5354" s="1" t="n">
        <v>45841</v>
      </c>
      <c r="C5354" s="1" t="n">
        <v>45843</v>
      </c>
      <c r="D5354" t="inlineStr">
        <is>
          <t>VÄSTERNORRLANDS LÄN</t>
        </is>
      </c>
      <c r="E5354" t="inlineStr">
        <is>
          <t>ÖRNSKÖLDSVIK</t>
        </is>
      </c>
      <c r="F5354" t="inlineStr">
        <is>
          <t>Holmen skog AB</t>
        </is>
      </c>
      <c r="G5354" t="n">
        <v>0.3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33656-2025</t>
        </is>
      </c>
      <c r="B5355" s="1" t="n">
        <v>45841</v>
      </c>
      <c r="C5355" s="1" t="n">
        <v>45843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8.1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33471-2025</t>
        </is>
      </c>
      <c r="B5356" s="1" t="n">
        <v>45841</v>
      </c>
      <c r="C5356" s="1" t="n">
        <v>45843</v>
      </c>
      <c r="D5356" t="inlineStr">
        <is>
          <t>VÄSTERNORRLANDS LÄN</t>
        </is>
      </c>
      <c r="E5356" t="inlineStr">
        <is>
          <t>ÖRNSKÖLDSVIK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33480-2025</t>
        </is>
      </c>
      <c r="B5357" s="1" t="n">
        <v>45841</v>
      </c>
      <c r="C5357" s="1" t="n">
        <v>45843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33524-2025</t>
        </is>
      </c>
      <c r="B5358" s="1" t="n">
        <v>45841</v>
      </c>
      <c r="C5358" s="1" t="n">
        <v>45843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11.5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33568-2025</t>
        </is>
      </c>
      <c r="B5359" s="1" t="n">
        <v>45841</v>
      </c>
      <c r="C5359" s="1" t="n">
        <v>45843</v>
      </c>
      <c r="D5359" t="inlineStr">
        <is>
          <t>VÄSTERNORRLANDS LÄN</t>
        </is>
      </c>
      <c r="E5359" t="inlineStr">
        <is>
          <t>ÖRNSKÖLDSVIK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33634-2025</t>
        </is>
      </c>
      <c r="B5360" s="1" t="n">
        <v>45841</v>
      </c>
      <c r="C5360" s="1" t="n">
        <v>45843</v>
      </c>
      <c r="D5360" t="inlineStr">
        <is>
          <t>VÄSTERNORRLANDS LÄN</t>
        </is>
      </c>
      <c r="E5360" t="inlineStr">
        <is>
          <t>ÖRNSKÖLDSVIK</t>
        </is>
      </c>
      <c r="F5360" t="inlineStr">
        <is>
          <t>Holmen skog AB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33911-2025</t>
        </is>
      </c>
      <c r="B5361" s="1" t="n">
        <v>45842</v>
      </c>
      <c r="C5361" s="1" t="n">
        <v>45843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33735-2025</t>
        </is>
      </c>
      <c r="B5362" s="1" t="n">
        <v>45842</v>
      </c>
      <c r="C5362" s="1" t="n">
        <v>45843</v>
      </c>
      <c r="D5362" t="inlineStr">
        <is>
          <t>VÄSTERNORRLANDS LÄN</t>
        </is>
      </c>
      <c r="E5362" t="inlineStr">
        <is>
          <t>ÖRNSKÖLDSVIK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33739-2025</t>
        </is>
      </c>
      <c r="B5363" s="1" t="n">
        <v>45842</v>
      </c>
      <c r="C5363" s="1" t="n">
        <v>45843</v>
      </c>
      <c r="D5363" t="inlineStr">
        <is>
          <t>VÄSTERNORRLANDS LÄN</t>
        </is>
      </c>
      <c r="E5363" t="inlineStr">
        <is>
          <t>ÖRNSKÖLDSVIK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33886-2025</t>
        </is>
      </c>
      <c r="B5364" s="1" t="n">
        <v>45842</v>
      </c>
      <c r="C5364" s="1" t="n">
        <v>45843</v>
      </c>
      <c r="D5364" t="inlineStr">
        <is>
          <t>VÄSTERNORRLANDS LÄN</t>
        </is>
      </c>
      <c r="E5364" t="inlineStr">
        <is>
          <t>ÖRNSKÖLDSVIK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33751-2025</t>
        </is>
      </c>
      <c r="B5365" s="1" t="n">
        <v>45842</v>
      </c>
      <c r="C5365" s="1" t="n">
        <v>45843</v>
      </c>
      <c r="D5365" t="inlineStr">
        <is>
          <t>VÄSTERNORRLANDS LÄN</t>
        </is>
      </c>
      <c r="E5365" t="inlineStr">
        <is>
          <t>ÖRNSKÖLDSVIK</t>
        </is>
      </c>
      <c r="F5365" t="inlineStr">
        <is>
          <t>Holmen skog AB</t>
        </is>
      </c>
      <c r="G5365" t="n">
        <v>13.6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33847-2025</t>
        </is>
      </c>
      <c r="B5366" s="1" t="n">
        <v>45842</v>
      </c>
      <c r="C5366" s="1" t="n">
        <v>45843</v>
      </c>
      <c r="D5366" t="inlineStr">
        <is>
          <t>VÄSTERNORRLANDS LÄN</t>
        </is>
      </c>
      <c r="E5366" t="inlineStr">
        <is>
          <t>ÖRNSKÖLDSVIK</t>
        </is>
      </c>
      <c r="F5366" t="inlineStr">
        <is>
          <t>Holmen skog AB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33727-2025</t>
        </is>
      </c>
      <c r="B5367" s="1" t="n">
        <v>45842</v>
      </c>
      <c r="C5367" s="1" t="n">
        <v>45843</v>
      </c>
      <c r="D5367" t="inlineStr">
        <is>
          <t>VÄSTERNORRLANDS LÄN</t>
        </is>
      </c>
      <c r="E5367" t="inlineStr">
        <is>
          <t>ÖRNSKÖLDSVIK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33734-2025</t>
        </is>
      </c>
      <c r="B5368" s="1" t="n">
        <v>45842</v>
      </c>
      <c r="C5368" s="1" t="n">
        <v>45843</v>
      </c>
      <c r="D5368" t="inlineStr">
        <is>
          <t>VÄSTERNORRLANDS LÄN</t>
        </is>
      </c>
      <c r="E5368" t="inlineStr">
        <is>
          <t>ÖRNSKÖLDSVIK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>
      <c r="A5369" t="inlineStr">
        <is>
          <t>A 33726-2025</t>
        </is>
      </c>
      <c r="B5369" s="1" t="n">
        <v>45842</v>
      </c>
      <c r="C5369" s="1" t="n">
        <v>45843</v>
      </c>
      <c r="D5369" t="inlineStr">
        <is>
          <t>VÄSTERNORRLANDS LÄN</t>
        </is>
      </c>
      <c r="E5369" t="inlineStr">
        <is>
          <t>ÖRNSKÖLDSVIK</t>
        </is>
      </c>
      <c r="G5369" t="n">
        <v>0.2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2025-07-05T20:01:47Z</dcterms:created>
  <dcterms:modified xmlns:dcterms="http://purl.org/dc/terms/" xmlns:xsi="http://www.w3.org/2001/XMLSchema-instance" xsi:type="dcterms:W3CDTF">2025-07-05T20:01:51Z</dcterms:modified>
</cp:coreProperties>
</file>