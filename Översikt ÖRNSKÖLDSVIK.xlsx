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46286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46286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46286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46286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46286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46286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46286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46286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46286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46286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46286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46286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46286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46286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46286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46286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46286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46286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46286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46286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61109-2022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44908</v>
      </c>
      <c r="E37" s="1" t="n">
        <v>46286</v>
      </c>
      <c r="F37" t="inlineStr">
        <is>
          <t>VÄSTERNORRLANDS LÄN</t>
        </is>
      </c>
      <c r="G37" t="inlineStr">
        <is>
          <t>ÖRNSKÖLDSVIK</t>
        </is>
      </c>
      <c r="I37" t="n">
        <v>3.6</v>
      </c>
      <c r="J37" t="n">
        <v>5</v>
      </c>
      <c r="K37" t="n">
        <v>0</v>
      </c>
      <c r="L37" t="n">
        <v>2</v>
      </c>
      <c r="M37" t="n">
        <v>2</v>
      </c>
      <c r="N37" t="n">
        <v>1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11</v>
      </c>
      <c r="U37" t="n">
        <v>9</v>
      </c>
      <c r="V37" s="2" t="inlineStr">
        <is>
          <t>Storspov
Brunfläckig pärlemorfjäril
Knärot
Gulsparv
Sädesärla
Grönsiska</t>
        </is>
      </c>
      <c r="W37">
        <f>HYPERLINK("https://klasma.github.io/Logging_2284/artfynd/A 61109-2022 artfynd.xlsx", "A 61109-2022")</f>
        <v/>
      </c>
      <c r="X37">
        <f>HYPERLINK("https://klasma.github.io/Logging_2284/kartor/A 61109-2022 karta.png", "A 61109-2022")</f>
        <v/>
      </c>
      <c r="Y37">
        <f>HYPERLINK("https://klasma.github.io/Logging_2284/kartor_geotiff/A 61109-2022 georefererad karta.tif", "A 61109-2022")</f>
        <v/>
      </c>
      <c r="Z37">
        <f>HYPERLINK("https://klasma.github.io/Logging_2284/knärot/A 61109-2022 karta knärot.png", "A 61109-2022")</f>
        <v/>
      </c>
      <c r="AA37">
        <f>HYPERLINK("https://klasma.github.io/Logging_2284/klagomål/A 61109-2022 FSC-klagomål.docx", "A 61109-2022")</f>
        <v/>
      </c>
      <c r="AB37">
        <f>HYPERLINK("https://klasma.github.io/Logging_2284/klagomålsmail/A 61109-2022 FSC-klagomål mail.docx", "A 61109-2022")</f>
        <v/>
      </c>
      <c r="AC37">
        <f>HYPERLINK("https://klasma.github.io/Logging_2284/tillsyn/A 61109-2022 tillsynsbegäran.docx", "A 61109-2022")</f>
        <v/>
      </c>
      <c r="AD37">
        <f>HYPERLINK("https://klasma.github.io/Logging_2284/tillsynsmail/A 61109-2022 tillsynsbegäran mail.docx", "A 61109-2022")</f>
        <v/>
      </c>
      <c r="AE37">
        <f>HYPERLINK("https://klasma.github.io/Logging_2284/fåglar/A 61109-2022 prioriterade fågelarter.docx", "A 61109-2022")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46286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t="n">
        <v>0</v>
      </c>
      <c r="V39" s="2" t="inlineStr">
        <is>
          <t>Garnlav
Lunglav
Rosenticka
Rynkskinn
Talltita
Ullticka</t>
        </is>
      </c>
      <c r="W39">
        <f>HYPERLINK("https://klasma.github.io/Logging_2284/artfynd/A 46423-2024 artfynd.xlsx", "A 46423-2024")</f>
        <v/>
      </c>
      <c r="X39">
        <f>HYPERLINK("https://klasma.github.io/Logging_2284/kartor/A 46423-2024 karta.png", "A 46423-2024")</f>
        <v/>
      </c>
      <c r="Y39">
        <f>HYPERLINK("https://klasma.github.io/Logging_2284/kartor_geotiff/A 46423-2024 georefererad karta.tif", "A 46423-2024")</f>
        <v/>
      </c>
      <c r="AA39">
        <f>HYPERLINK("https://klasma.github.io/Logging_2284/klagomål/A 46423-2024 FSC-klagomål.docx", "A 46423-2024")</f>
        <v/>
      </c>
      <c r="AB39">
        <f>HYPERLINK("https://klasma.github.io/Logging_2284/klagomålsmail/A 46423-2024 FSC-klagomål mail.docx", "A 46423-2024")</f>
        <v/>
      </c>
      <c r="AC39">
        <f>HYPERLINK("https://klasma.github.io/Logging_2284/tillsyn/A 46423-2024 tillsynsbegäran.docx", "A 46423-2024")</f>
        <v/>
      </c>
      <c r="AD39">
        <f>HYPERLINK("https://klasma.github.io/Logging_2284/tillsynsmail/A 46423-2024 tillsynsbegäran mail.docx", "A 46423-2024")</f>
        <v/>
      </c>
      <c r="AE39">
        <f>HYPERLINK("https://klasma.github.io/Logging_2284/fåglar/A 46423-2024 prioriterade fågelarter.docx", "A 46423-2024")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46286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46286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46286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46286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26810-2025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46286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4.7</v>
      </c>
      <c r="J44" t="n">
        <v>2</v>
      </c>
      <c r="K44" t="n">
        <v>3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6</v>
      </c>
      <c r="T44" t="n">
        <v>7</v>
      </c>
      <c r="U44" t="n">
        <v>2</v>
      </c>
      <c r="V44" s="2" t="inlineStr">
        <is>
          <t>Garnlav
Lunglav
Bårdlav
Plattlummer
Stuplav
Spillkråka</t>
        </is>
      </c>
      <c r="W44">
        <f>HYPERLINK("https://klasma.github.io/Logging_2284/artfynd/A 26810-2025 artfynd.xlsx", "A 26810-2025")</f>
        <v/>
      </c>
      <c r="X44">
        <f>HYPERLINK("https://klasma.github.io/Logging_2284/kartor/A 26810-2025 karta.png", "A 26810-2025")</f>
        <v/>
      </c>
      <c r="Y44">
        <f>HYPERLINK("https://klasma.github.io/Logging_2284/kartor_geotiff/A 26810-2025 georefererad karta.tif", "A 26810-2025")</f>
        <v/>
      </c>
      <c r="AA44">
        <f>HYPERLINK("https://klasma.github.io/Logging_2284/klagomål/A 26810-2025 FSC-klagomål.docx", "A 26810-2025")</f>
        <v/>
      </c>
      <c r="AB44">
        <f>HYPERLINK("https://klasma.github.io/Logging_2284/klagomålsmail/A 26810-2025 FSC-klagomål mail.docx", "A 26810-2025")</f>
        <v/>
      </c>
      <c r="AC44">
        <f>HYPERLINK("https://klasma.github.io/Logging_2284/tillsyn/A 26810-2025 tillsynsbegäran.docx", "A 26810-2025")</f>
        <v/>
      </c>
      <c r="AD44">
        <f>HYPERLINK("https://klasma.github.io/Logging_2284/tillsynsmail/A 26810-2025 tillsynsbegäran mail.docx", "A 26810-2025")</f>
        <v/>
      </c>
      <c r="AE44">
        <f>HYPERLINK("https://klasma.github.io/Logging_2284/fåglar/A 26810-2025 prioriterade fågelarter.docx", "A 26810-2025")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46286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46286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46286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46286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46286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46286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46286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46286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46286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17925-2023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46286</v>
      </c>
      <c r="F54" t="inlineStr">
        <is>
          <t>VÄSTERNORRLANDS LÄN</t>
        </is>
      </c>
      <c r="G54" t="inlineStr">
        <is>
          <t>ÖRNSKÖLDSVIK</t>
        </is>
      </c>
      <c r="I54" t="n">
        <v>14.5</v>
      </c>
      <c r="J54" t="n">
        <v>1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9</v>
      </c>
      <c r="U54" t="n">
        <v>9</v>
      </c>
      <c r="V54" s="2" t="inlineStr">
        <is>
          <t>Knärot
Lunglav
Rosenticka
Rynkskinn
Ullticka</t>
        </is>
      </c>
      <c r="W54">
        <f>HYPERLINK("https://klasma.github.io/Logging_2284/artfynd/A 17925-2023 artfynd.xlsx", "A 17925-2023")</f>
        <v/>
      </c>
      <c r="X54">
        <f>HYPERLINK("https://klasma.github.io/Logging_2284/kartor/A 17925-2023 karta.png", "A 17925-2023")</f>
        <v/>
      </c>
      <c r="Y54">
        <f>HYPERLINK("https://klasma.github.io/Logging_2284/kartor_geotiff/A 17925-2023 georefererad karta.tif", "A 17925-2023")</f>
        <v/>
      </c>
      <c r="Z54">
        <f>HYPERLINK("https://klasma.github.io/Logging_2284/knärot/A 17925-2023 karta knärot.png", "A 17925-2023")</f>
        <v/>
      </c>
      <c r="AA54">
        <f>HYPERLINK("https://klasma.github.io/Logging_2284/klagomål/A 17925-2023 FSC-klagomål.docx", "A 17925-2023")</f>
        <v/>
      </c>
      <c r="AB54">
        <f>HYPERLINK("https://klasma.github.io/Logging_2284/klagomålsmail/A 17925-2023 FSC-klagomål mail.docx", "A 17925-2023")</f>
        <v/>
      </c>
      <c r="AC54">
        <f>HYPERLINK("https://klasma.github.io/Logging_2284/tillsyn/A 17925-2023 tillsynsbegäran.docx", "A 17925-2023")</f>
        <v/>
      </c>
      <c r="AD54">
        <f>HYPERLINK("https://klasma.github.io/Logging_2284/tillsynsmail/A 17925-2023 tillsynsbegäran mail.docx", "A 17925-2023")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46286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A 56775-2024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46286</v>
      </c>
      <c r="F56" t="inlineStr">
        <is>
          <t>VÄSTERNORRLANDS LÄN</t>
        </is>
      </c>
      <c r="G56" t="inlineStr">
        <is>
          <t>ÖRNSKÖLDSVIK</t>
        </is>
      </c>
      <c r="I56" t="n">
        <v>1.8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5</v>
      </c>
      <c r="U56" t="n">
        <v>4</v>
      </c>
      <c r="V56" s="2" t="inlineStr">
        <is>
          <t>Hornslamslända
Björktrast
Spillkråka
Grönsiska
Kungsfågel</t>
        </is>
      </c>
      <c r="W56">
        <f>HYPERLINK("https://klasma.github.io/Logging_2284/artfynd/A 56775-2024 artfynd.xlsx", "A 56775-2024")</f>
        <v/>
      </c>
      <c r="X56">
        <f>HYPERLINK("https://klasma.github.io/Logging_2284/kartor/A 56775-2024 karta.png", "A 56775-2024")</f>
        <v/>
      </c>
      <c r="Y56">
        <f>HYPERLINK("https://klasma.github.io/Logging_2284/kartor_geotiff/A 56775-2024 georefererad karta.tif", "A 56775-2024")</f>
        <v/>
      </c>
      <c r="AA56">
        <f>HYPERLINK("https://klasma.github.io/Logging_2284/klagomål/A 56775-2024 FSC-klagomål.docx", "A 56775-2024")</f>
        <v/>
      </c>
      <c r="AB56">
        <f>HYPERLINK("https://klasma.github.io/Logging_2284/klagomålsmail/A 56775-2024 FSC-klagomål mail.docx", "A 56775-2024")</f>
        <v/>
      </c>
      <c r="AC56">
        <f>HYPERLINK("https://klasma.github.io/Logging_2284/tillsyn/A 56775-2024 tillsynsbegäran.docx", "A 56775-2024")</f>
        <v/>
      </c>
      <c r="AD56">
        <f>HYPERLINK("https://klasma.github.io/Logging_2284/tillsynsmail/A 56775-2024 tillsynsbegäran mail.docx", "A 56775-2024")</f>
        <v/>
      </c>
      <c r="AE56">
        <f>HYPERLINK("https://klasma.github.io/Logging_2284/fåglar/A 56775-2024 prioriterade fågelarter.docx", "A 56775-2024")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46286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46286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46286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961-2026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46113</v>
      </c>
      <c r="E60" s="1" t="n">
        <v>46286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5.6</v>
      </c>
      <c r="J60" t="n">
        <v>1</v>
      </c>
      <c r="K60" t="n">
        <v>0</v>
      </c>
      <c r="L60" t="n">
        <v>2</v>
      </c>
      <c r="M60" t="n">
        <v>3</v>
      </c>
      <c r="N60" t="n">
        <v>0</v>
      </c>
      <c r="O60" t="n">
        <v>0</v>
      </c>
      <c r="P60" t="n">
        <v>0</v>
      </c>
      <c r="Q60" t="n">
        <v>5</v>
      </c>
      <c r="R60" t="n">
        <v>3</v>
      </c>
      <c r="S60" t="n">
        <v>5</v>
      </c>
      <c r="T60" t="n">
        <v>8</v>
      </c>
      <c r="U60" t="n">
        <v>0</v>
      </c>
      <c r="V60" s="2" t="inlineStr">
        <is>
          <t>Garnlav
Knärot
Lappticka
Doftskinn
Kolflarnlav</t>
        </is>
      </c>
      <c r="W60">
        <f>HYPERLINK("https://klasma.github.io/Logging_2284/artfynd/S 961-2026 artfynd.xlsx", "S 961-2026")</f>
        <v/>
      </c>
      <c r="X60">
        <f>HYPERLINK("https://klasma.github.io/Logging_2284/kartor/S 961-2026 karta.png", "S 961-2026")</f>
        <v/>
      </c>
      <c r="Y60">
        <f>HYPERLINK("https://klasma.github.io/Logging_2284/kartor_geotiff/S 961-2026 georefererad karta.tif", "S 961-2026")</f>
        <v/>
      </c>
      <c r="Z60">
        <f>HYPERLINK("https://klasma.github.io/Logging_2284/knärot/S 961-2026 karta knärot.png", "S 961-2026")</f>
        <v/>
      </c>
      <c r="AA60">
        <f>HYPERLINK("https://klasma.github.io/Logging_2284/klagomål/S 961-2026 FSC-klagomål.docx", "S 961-2026")</f>
        <v/>
      </c>
      <c r="AB60">
        <f>HYPERLINK("https://klasma.github.io/Logging_2284/klagomålsmail/S 961-2026 FSC-klagomål mail.docx", "S 961-2026")</f>
        <v/>
      </c>
      <c r="AC60">
        <f>HYPERLINK("https://klasma.github.io/Logging_2284/tillsyn/S 961-2026 tillsynsbegäran.docx", "S 961-2026")</f>
        <v/>
      </c>
      <c r="AD60">
        <f>HYPERLINK("https://klasma.github.io/Logging_2284/tillsynsmail/S 961-2026 tillsynsbegäran mail.docx", "S 961-2026")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46286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46286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46286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46286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46286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56492-2022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46286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8.300000000000001</v>
      </c>
      <c r="J66" t="n">
        <v>1</v>
      </c>
      <c r="K66" t="n">
        <v>2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Knärot
Lunglav
Bårdlav
Skinnlav</t>
        </is>
      </c>
      <c r="W66">
        <f>HYPERLINK("https://klasma.github.io/Logging_2284/artfynd/A 56492-2022 artfynd.xlsx", "A 56492-2022")</f>
        <v/>
      </c>
      <c r="X66">
        <f>HYPERLINK("https://klasma.github.io/Logging_2284/kartor/A 56492-2022 karta.png", "A 56492-2022")</f>
        <v/>
      </c>
      <c r="Y66">
        <f>HYPERLINK("https://klasma.github.io/Logging_2284/kartor_geotiff/A 56492-2022 georefererad karta.tif", "A 56492-2022")</f>
        <v/>
      </c>
      <c r="Z66">
        <f>HYPERLINK("https://klasma.github.io/Logging_2284/knärot/A 56492-2022 karta knärot.png", "A 56492-2022")</f>
        <v/>
      </c>
      <c r="AA66">
        <f>HYPERLINK("https://klasma.github.io/Logging_2284/klagomål/A 56492-2022 FSC-klagomål.docx", "A 56492-2022")</f>
        <v/>
      </c>
      <c r="AB66">
        <f>HYPERLINK("https://klasma.github.io/Logging_2284/klagomålsmail/A 56492-2022 FSC-klagomål mail.docx", "A 56492-2022")</f>
        <v/>
      </c>
      <c r="AC66">
        <f>HYPERLINK("https://klasma.github.io/Logging_2284/tillsyn/A 56492-2022 tillsynsbegäran.docx", "A 56492-2022")</f>
        <v/>
      </c>
      <c r="AD66">
        <f>HYPERLINK("https://klasma.github.io/Logging_2284/tillsynsmail/A 56492-2022 tillsynsbegäran mail.docx", "A 56492-2022")</f>
        <v/>
      </c>
    </row>
    <row r="67" ht="15" customHeight="1">
      <c r="A67" t="inlineStr">
        <is>
          <t>A 26251-2026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46286</v>
      </c>
      <c r="F67" t="inlineStr">
        <is>
          <t>VÄSTERNORRLANDS LÄN</t>
        </is>
      </c>
      <c r="G67" t="inlineStr">
        <is>
          <t>ÖRNSKÖLDSVIK</t>
        </is>
      </c>
      <c r="I67" t="n">
        <v>1</v>
      </c>
      <c r="J67" t="n">
        <v>4</v>
      </c>
      <c r="K67" t="n">
        <v>0</v>
      </c>
      <c r="L67" t="n">
        <v>2</v>
      </c>
      <c r="M67" t="n">
        <v>0</v>
      </c>
      <c r="N67" t="n">
        <v>1</v>
      </c>
      <c r="O67" t="n">
        <v>0</v>
      </c>
      <c r="P67" t="n">
        <v>0</v>
      </c>
      <c r="Q67" t="n">
        <v>3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Storspov
Björktrast
Rödvingetrast
Svartvit flugsnappare</t>
        </is>
      </c>
      <c r="W67">
        <f>HYPERLINK("https://klasma.github.io/Logging_2284/artfynd/A 26251-2026 artfynd.xlsx", "A 26251-2026")</f>
        <v/>
      </c>
      <c r="X67">
        <f>HYPERLINK("https://klasma.github.io/Logging_2284/kartor/A 26251-2026 karta.png", "A 26251-2026")</f>
        <v/>
      </c>
      <c r="Y67">
        <f>HYPERLINK("https://klasma.github.io/Logging_2284/kartor_geotiff/A 26251-2026 georefererad karta.tif", "A 26251-2026")</f>
        <v/>
      </c>
      <c r="AA67">
        <f>HYPERLINK("https://klasma.github.io/Logging_2284/klagomål/A 26251-2026 FSC-klagomål.docx", "A 26251-2026")</f>
        <v/>
      </c>
      <c r="AB67">
        <f>HYPERLINK("https://klasma.github.io/Logging_2284/klagomålsmail/A 26251-2026 FSC-klagomål mail.docx", "A 26251-2026")</f>
        <v/>
      </c>
      <c r="AC67">
        <f>HYPERLINK("https://klasma.github.io/Logging_2284/tillsyn/A 26251-2026 tillsynsbegäran.docx", "A 26251-2026")</f>
        <v/>
      </c>
      <c r="AD67">
        <f>HYPERLINK("https://klasma.github.io/Logging_2284/tillsynsmail/A 26251-2026 tillsynsbegäran mail.docx", "A 26251-2026")</f>
        <v/>
      </c>
      <c r="AE67">
        <f>HYPERLINK("https://klasma.github.io/Logging_2284/fåglar/A 26251-2026 prioriterade fågelarter.docx", "A 26251-2026")</f>
        <v/>
      </c>
    </row>
    <row r="68" ht="15" customHeight="1">
      <c r="A68" t="inlineStr">
        <is>
          <t>S 1153-2025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45755</v>
      </c>
      <c r="E68" s="1" t="n">
        <v>46286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3.9</v>
      </c>
      <c r="J68" t="n">
        <v>0</v>
      </c>
      <c r="K68" t="n">
        <v>0</v>
      </c>
      <c r="L68" t="n">
        <v>4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t="n">
        <v>0</v>
      </c>
      <c r="S68" t="n">
        <v>4</v>
      </c>
      <c r="T68" t="n">
        <v>8</v>
      </c>
      <c r="U68" t="n">
        <v>0</v>
      </c>
      <c r="V68" s="2" t="inlineStr">
        <is>
          <t>Lunglav
Rosenticka
Rynkskinn
Ullticka</t>
        </is>
      </c>
      <c r="W68">
        <f>HYPERLINK("https://klasma.github.io/Logging_2284/artfynd/S 1153-2025 artfynd.xlsx", "S 1153-2025")</f>
        <v/>
      </c>
      <c r="X68">
        <f>HYPERLINK("https://klasma.github.io/Logging_2284/kartor/S 1153-2025 karta.png", "S 1153-2025")</f>
        <v/>
      </c>
      <c r="Y68">
        <f>HYPERLINK("https://klasma.github.io/Logging_2284/kartor_geotiff/S 1153-2025 georefererad karta.tif", "S 1153-2025")</f>
        <v/>
      </c>
      <c r="AA68">
        <f>HYPERLINK("https://klasma.github.io/Logging_2284/klagomål/S 1153-2025 FSC-klagomål.docx", "S 1153-2025")</f>
        <v/>
      </c>
      <c r="AB68">
        <f>HYPERLINK("https://klasma.github.io/Logging_2284/klagomålsmail/S 1153-2025 FSC-klagomål mail.docx", "S 1153-2025")</f>
        <v/>
      </c>
      <c r="AC68">
        <f>HYPERLINK("https://klasma.github.io/Logging_2284/tillsyn/S 1153-2025 tillsynsbegäran.docx", "S 1153-2025")</f>
        <v/>
      </c>
      <c r="AD68">
        <f>HYPERLINK("https://klasma.github.io/Logging_2284/tillsynsmail/S 1153-2025 tillsynsbegäran mail.docx", "S 1153-2025")</f>
        <v/>
      </c>
    </row>
    <row r="69" ht="15" customHeight="1">
      <c r="A69" t="inlineStr">
        <is>
          <t>S 1383-2025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45776</v>
      </c>
      <c r="E69" s="1" t="n">
        <v>46286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396.2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4</v>
      </c>
      <c r="U69" t="n">
        <v>4</v>
      </c>
      <c r="V69" s="2" t="inlineStr">
        <is>
          <t>Gammelgransskål
Bollvitmossa
Norrlandslav
Vanlig padda</t>
        </is>
      </c>
      <c r="W69">
        <f>HYPERLINK("https://klasma.github.io/Logging_2284/artfynd/S 1383-2025 artfynd.xlsx", "S 1383-2025")</f>
        <v/>
      </c>
      <c r="X69">
        <f>HYPERLINK("https://klasma.github.io/Logging_2284/kartor/S 1383-2025 karta.png", "S 1383-2025")</f>
        <v/>
      </c>
      <c r="Y69">
        <f>HYPERLINK("https://klasma.github.io/Logging_2284/kartor_geotiff/S 1383-2025 georefererad karta.tif", "S 1383-2025")</f>
        <v/>
      </c>
      <c r="AA69">
        <f>HYPERLINK("https://klasma.github.io/Logging_2284/klagomål/S 1383-2025 FSC-klagomål.docx", "S 1383-2025")</f>
        <v/>
      </c>
      <c r="AB69">
        <f>HYPERLINK("https://klasma.github.io/Logging_2284/klagomålsmail/S 1383-2025 FSC-klagomål mail.docx", "S 1383-2025")</f>
        <v/>
      </c>
      <c r="AC69">
        <f>HYPERLINK("https://klasma.github.io/Logging_2284/tillsyn/S 1383-2025 tillsynsbegäran.docx", "S 1383-2025")</f>
        <v/>
      </c>
      <c r="AD69">
        <f>HYPERLINK("https://klasma.github.io/Logging_2284/tillsynsmail/S 1383-2025 tillsynsbegäran mail.docx", "S 1383-2025")</f>
        <v/>
      </c>
    </row>
    <row r="70" ht="15" customHeight="1">
      <c r="A70" t="inlineStr">
        <is>
          <t>S 981-2026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46114</v>
      </c>
      <c r="E70" s="1" t="n">
        <v>46286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4</v>
      </c>
      <c r="V70" s="2" t="inlineStr">
        <is>
          <t>Garnlav
Lunglav
Rosenticka
Ullticka</t>
        </is>
      </c>
      <c r="W70">
        <f>HYPERLINK("https://klasma.github.io/Logging_2284/artfynd/S 981-2026 artfynd.xlsx", "S 981-2026")</f>
        <v/>
      </c>
      <c r="X70">
        <f>HYPERLINK("https://klasma.github.io/Logging_2284/kartor/S 981-2026 karta.png", "S 981-2026")</f>
        <v/>
      </c>
      <c r="Y70">
        <f>HYPERLINK("https://klasma.github.io/Logging_2284/kartor_geotiff/S 981-2026 georefererad karta.tif", "S 981-2026")</f>
        <v/>
      </c>
      <c r="AA70">
        <f>HYPERLINK("https://klasma.github.io/Logging_2284/klagomål/S 981-2026 FSC-klagomål.docx", "S 981-2026")</f>
        <v/>
      </c>
      <c r="AB70">
        <f>HYPERLINK("https://klasma.github.io/Logging_2284/klagomålsmail/S 981-2026 FSC-klagomål mail.docx", "S 981-2026")</f>
        <v/>
      </c>
      <c r="AC70">
        <f>HYPERLINK("https://klasma.github.io/Logging_2284/tillsyn/S 981-2026 tillsynsbegäran.docx", "S 981-2026")</f>
        <v/>
      </c>
      <c r="AD70">
        <f>HYPERLINK("https://klasma.github.io/Logging_2284/tillsynsmail/S 981-2026 tillsynsbegäran mail.docx", "S 981-2026")</f>
        <v/>
      </c>
    </row>
    <row r="71" ht="15" customHeight="1">
      <c r="A71" t="inlineStr">
        <is>
          <t>S 1719-2026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46184</v>
      </c>
      <c r="E71" s="1" t="n">
        <v>46286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6.7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0</v>
      </c>
      <c r="V71" s="2" t="inlineStr">
        <is>
          <t>Garnlav
Lunglav
Ullticka
Vitgrynig nållav</t>
        </is>
      </c>
      <c r="W71">
        <f>HYPERLINK("https://klasma.github.io/Logging_2284/artfynd/S 1719-2026 artfynd.xlsx", "S 1719-2026")</f>
        <v/>
      </c>
      <c r="X71">
        <f>HYPERLINK("https://klasma.github.io/Logging_2284/kartor/S 1719-2026 karta.png", "S 1719-2026")</f>
        <v/>
      </c>
      <c r="Y71">
        <f>HYPERLINK("https://klasma.github.io/Logging_2284/kartor_geotiff/S 1719-2026 georefererad karta.tif", "S 1719-2026")</f>
        <v/>
      </c>
      <c r="AA71">
        <f>HYPERLINK("https://klasma.github.io/Logging_2284/klagomål/S 1719-2026 FSC-klagomål.docx", "S 1719-2026")</f>
        <v/>
      </c>
      <c r="AB71">
        <f>HYPERLINK("https://klasma.github.io/Logging_2284/klagomålsmail/S 1719-2026 FSC-klagomål mail.docx", "S 1719-2026")</f>
        <v/>
      </c>
      <c r="AC71">
        <f>HYPERLINK("https://klasma.github.io/Logging_2284/tillsyn/S 1719-2026 tillsynsbegäran.docx", "S 1719-2026")</f>
        <v/>
      </c>
      <c r="AD71">
        <f>HYPERLINK("https://klasma.github.io/Logging_2284/tillsynsmail/S 1719-2026 tillsynsbegäran mail.docx", "S 1719-2026")</f>
        <v/>
      </c>
    </row>
    <row r="72" ht="15" customHeight="1">
      <c r="A72" t="inlineStr">
        <is>
          <t>A 41184-2022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46286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5.5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Motaggsvamp
Mörk kolflarnlav
Norrlandslav</t>
        </is>
      </c>
      <c r="W72">
        <f>HYPERLINK("https://klasma.github.io/Logging_2284/artfynd/A 41184-2022 artfynd.xlsx", "A 41184-2022")</f>
        <v/>
      </c>
      <c r="X72">
        <f>HYPERLINK("https://klasma.github.io/Logging_2284/kartor/A 41184-2022 karta.png", "A 41184-2022")</f>
        <v/>
      </c>
      <c r="Y72">
        <f>HYPERLINK("https://klasma.github.io/Logging_2284/kartor_geotiff/A 41184-2022 georefererad karta.tif", "A 41184-2022")</f>
        <v/>
      </c>
      <c r="AA72">
        <f>HYPERLINK("https://klasma.github.io/Logging_2284/klagomål/A 41184-2022 FSC-klagomål.docx", "A 41184-2022")</f>
        <v/>
      </c>
      <c r="AB72">
        <f>HYPERLINK("https://klasma.github.io/Logging_2284/klagomålsmail/A 41184-2022 FSC-klagomål mail.docx", "A 41184-2022")</f>
        <v/>
      </c>
      <c r="AC72">
        <f>HYPERLINK("https://klasma.github.io/Logging_2284/tillsyn/A 41184-2022 tillsynsbegäran.docx", "A 41184-2022")</f>
        <v/>
      </c>
      <c r="AD72">
        <f>HYPERLINK("https://klasma.github.io/Logging_2284/tillsynsmail/A 41184-2022 tillsynsbegäran mail.docx", "A 41184-2022")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46286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45111</v>
      </c>
      <c r="E74" s="1" t="n">
        <v>46286</v>
      </c>
      <c r="F74" t="inlineStr">
        <is>
          <t>VÄSTERNORRLANDS LÄN</t>
        </is>
      </c>
      <c r="G74" t="inlineStr">
        <is>
          <t>ÖRNSKÖLDSVIK</t>
        </is>
      </c>
      <c r="I74" t="n">
        <v>3.4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Rosenticka
Källmossor
Strutbräken</t>
        </is>
      </c>
      <c r="W74">
        <f>HYPERLINK("https://klasma.github.io/Logging_2284/artfynd/A 30492-2023 artfynd.xlsx", "A 30492-2023")</f>
        <v/>
      </c>
      <c r="X74">
        <f>HYPERLINK("https://klasma.github.io/Logging_2284/kartor/A 30492-2023 karta.png", "A 30492-2023")</f>
        <v/>
      </c>
      <c r="Y74">
        <f>HYPERLINK("https://klasma.github.io/Logging_2284/kartor_geotiff/A 30492-2023 georefererad karta.tif", "A 30492-2023")</f>
        <v/>
      </c>
      <c r="AA74">
        <f>HYPERLINK("https://klasma.github.io/Logging_2284/klagomål/A 30492-2023 FSC-klagomål.docx", "A 30492-2023")</f>
        <v/>
      </c>
      <c r="AB74">
        <f>HYPERLINK("https://klasma.github.io/Logging_2284/klagomålsmail/A 30492-2023 FSC-klagomål mail.docx", "A 30492-2023")</f>
        <v/>
      </c>
      <c r="AC74">
        <f>HYPERLINK("https://klasma.github.io/Logging_2284/tillsyn/A 30492-2023 tillsynsbegäran.docx", "A 30492-2023")</f>
        <v/>
      </c>
      <c r="AD74">
        <f>HYPERLINK("https://klasma.github.io/Logging_2284/tillsynsmail/A 30492-2023 tillsynsbegäran mail.docx", "A 30492-2023")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46286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46286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46286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62864-2025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46286</v>
      </c>
      <c r="F78" t="inlineStr">
        <is>
          <t>VÄSTERNORRLANDS LÄN</t>
        </is>
      </c>
      <c r="G78" t="inlineStr">
        <is>
          <t>ÖRNSKÖLDSVIK</t>
        </is>
      </c>
      <c r="I78" t="n">
        <v>10.1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Bollvitmossa
Lappranunkel</t>
        </is>
      </c>
      <c r="W78">
        <f>HYPERLINK("https://klasma.github.io/Logging_2284/artfynd/A 62864-2025 artfynd.xlsx", "A 62864-2025")</f>
        <v/>
      </c>
      <c r="X78">
        <f>HYPERLINK("https://klasma.github.io/Logging_2284/kartor/A 62864-2025 karta.png", "A 62864-2025")</f>
        <v/>
      </c>
      <c r="Y78">
        <f>HYPERLINK("https://klasma.github.io/Logging_2284/kartor_geotiff/A 62864-2025 georefererad karta.tif", "A 62864-2025")</f>
        <v/>
      </c>
      <c r="AA78">
        <f>HYPERLINK("https://klasma.github.io/Logging_2284/klagomål/A 62864-2025 FSC-klagomål.docx", "A 62864-2025")</f>
        <v/>
      </c>
      <c r="AB78">
        <f>HYPERLINK("https://klasma.github.io/Logging_2284/klagomålsmail/A 62864-2025 FSC-klagomål mail.docx", "A 62864-2025")</f>
        <v/>
      </c>
      <c r="AC78">
        <f>HYPERLINK("https://klasma.github.io/Logging_2284/tillsyn/A 62864-2025 tillsynsbegäran.docx", "A 62864-2025")</f>
        <v/>
      </c>
      <c r="AD78">
        <f>HYPERLINK("https://klasma.github.io/Logging_2284/tillsynsmail/A 62864-2025 tillsynsbegäran mail.docx", "A 62864-2025")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46286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56530-2022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46286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2.2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Violettgrå tagellav
Skinnlav</t>
        </is>
      </c>
      <c r="W80">
        <f>HYPERLINK("https://klasma.github.io/Logging_2284/artfynd/A 56530-2022 artfynd.xlsx", "A 56530-2022")</f>
        <v/>
      </c>
      <c r="X80">
        <f>HYPERLINK("https://klasma.github.io/Logging_2284/kartor/A 56530-2022 karta.png", "A 56530-2022")</f>
        <v/>
      </c>
      <c r="Y80">
        <f>HYPERLINK("https://klasma.github.io/Logging_2284/kartor_geotiff/A 56530-2022 georefererad karta.tif", "A 56530-2022")</f>
        <v/>
      </c>
      <c r="AA80">
        <f>HYPERLINK("https://klasma.github.io/Logging_2284/klagomål/A 56530-2022 FSC-klagomål.docx", "A 56530-2022")</f>
        <v/>
      </c>
      <c r="AB80">
        <f>HYPERLINK("https://klasma.github.io/Logging_2284/klagomålsmail/A 56530-2022 FSC-klagomål mail.docx", "A 56530-2022")</f>
        <v/>
      </c>
      <c r="AC80">
        <f>HYPERLINK("https://klasma.github.io/Logging_2284/tillsyn/A 56530-2022 tillsynsbegäran.docx", "A 56530-2022")</f>
        <v/>
      </c>
      <c r="AD80">
        <f>HYPERLINK("https://klasma.github.io/Logging_2284/tillsynsmail/A 56530-2022 tillsynsbegäran mail.docx", "A 56530-2022")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46286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12288-2024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45378</v>
      </c>
      <c r="E82" s="1" t="n">
        <v>46286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4.7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Vedskivlav
Luddlav</t>
        </is>
      </c>
      <c r="W82">
        <f>HYPERLINK("https://klasma.github.io/Logging_2284/artfynd/A 12288-2024 artfynd.xlsx", "A 12288-2024")</f>
        <v/>
      </c>
      <c r="X82">
        <f>HYPERLINK("https://klasma.github.io/Logging_2284/kartor/A 12288-2024 karta.png", "A 12288-2024")</f>
        <v/>
      </c>
      <c r="Y82">
        <f>HYPERLINK("https://klasma.github.io/Logging_2284/kartor_geotiff/A 12288-2024 georefererad karta.tif", "A 12288-2024")</f>
        <v/>
      </c>
      <c r="AA82">
        <f>HYPERLINK("https://klasma.github.io/Logging_2284/klagomål/A 12288-2024 FSC-klagomål.docx", "A 12288-2024")</f>
        <v/>
      </c>
      <c r="AB82">
        <f>HYPERLINK("https://klasma.github.io/Logging_2284/klagomålsmail/A 12288-2024 FSC-klagomål mail.docx", "A 12288-2024")</f>
        <v/>
      </c>
      <c r="AC82">
        <f>HYPERLINK("https://klasma.github.io/Logging_2284/tillsyn/A 12288-2024 tillsynsbegäran.docx", "A 12288-2024")</f>
        <v/>
      </c>
      <c r="AD82">
        <f>HYPERLINK("https://klasma.github.io/Logging_2284/tillsynsmail/A 12288-2024 tillsynsbegäran mail.docx", "A 12288-2024")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46286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t="n">
        <v>0</v>
      </c>
      <c r="V83" s="2" t="inlineStr">
        <is>
          <t>Garnlav
Dropptaggsvamp
Lunglav</t>
        </is>
      </c>
      <c r="W83">
        <f>HYPERLINK("https://klasma.github.io/Logging_2284/artfynd/A 16195-2026 artfynd.xlsx", "A 16195-2026")</f>
        <v/>
      </c>
      <c r="X83">
        <f>HYPERLINK("https://klasma.github.io/Logging_2284/kartor/A 16195-2026 karta.png", "A 16195-2026")</f>
        <v/>
      </c>
      <c r="Y83">
        <f>HYPERLINK("https://klasma.github.io/Logging_2284/kartor_geotiff/A 16195-2026 georefererad karta.tif", "A 16195-2026")</f>
        <v/>
      </c>
      <c r="AA83">
        <f>HYPERLINK("https://klasma.github.io/Logging_2284/klagomål/A 16195-2026 FSC-klagomål.docx", "A 16195-2026")</f>
        <v/>
      </c>
      <c r="AB83">
        <f>HYPERLINK("https://klasma.github.io/Logging_2284/klagomålsmail/A 16195-2026 FSC-klagomål mail.docx", "A 16195-2026")</f>
        <v/>
      </c>
      <c r="AC83">
        <f>HYPERLINK("https://klasma.github.io/Logging_2284/tillsyn/A 16195-2026 tillsynsbegäran.docx", "A 16195-2026")</f>
        <v/>
      </c>
      <c r="AD83">
        <f>HYPERLINK("https://klasma.github.io/Logging_2284/tillsynsmail/A 16195-2026 tillsynsbegäran mail.docx", "A 16195-2026")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46286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46286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46286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46286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Bronshjon
Svart trolldruva
Thomsons trägnagare</t>
        </is>
      </c>
      <c r="W87">
        <f>HYPERLINK("https://klasma.github.io/Logging_2284/artfynd/A 58121-2021 artfynd.xlsx", "A 58121-2021")</f>
        <v/>
      </c>
      <c r="X87">
        <f>HYPERLINK("https://klasma.github.io/Logging_2284/kartor/A 58121-2021 karta.png", "A 58121-2021")</f>
        <v/>
      </c>
      <c r="Y87">
        <f>HYPERLINK("https://klasma.github.io/Logging_2284/kartor_geotiff/A 58121-2021 georefererad karta.tif", "A 58121-2021")</f>
        <v/>
      </c>
      <c r="AA87">
        <f>HYPERLINK("https://klasma.github.io/Logging_2284/klagomål/A 58121-2021 FSC-klagomål.docx", "A 58121-2021")</f>
        <v/>
      </c>
      <c r="AB87">
        <f>HYPERLINK("https://klasma.github.io/Logging_2284/klagomålsmail/A 58121-2021 FSC-klagomål mail.docx", "A 58121-2021")</f>
        <v/>
      </c>
      <c r="AC87">
        <f>HYPERLINK("https://klasma.github.io/Logging_2284/tillsyn/A 58121-2021 tillsynsbegäran.docx", "A 58121-2021")</f>
        <v/>
      </c>
      <c r="AD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46286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46286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46286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46286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46286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46286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46286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46286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58802-2023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45247</v>
      </c>
      <c r="E97" s="1" t="n">
        <v>46286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Kommuner</t>
        </is>
      </c>
      <c r="I97" t="n">
        <v>3.4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Grönsiska
Svartvit flugsnappare</t>
        </is>
      </c>
      <c r="W97">
        <f>HYPERLINK("https://klasma.github.io/Logging_2284/artfynd/A 58802-2023 artfynd.xlsx", "A 58802-2023")</f>
        <v/>
      </c>
      <c r="X97">
        <f>HYPERLINK("https://klasma.github.io/Logging_2284/kartor/A 58802-2023 karta.png", "A 58802-2023")</f>
        <v/>
      </c>
      <c r="Y97">
        <f>HYPERLINK("https://klasma.github.io/Logging_2284/kartor_geotiff/A 58802-2023 georefererad karta.tif", "A 58802-2023")</f>
        <v/>
      </c>
      <c r="AA97">
        <f>HYPERLINK("https://klasma.github.io/Logging_2284/klagomål/A 58802-2023 FSC-klagomål.docx", "A 58802-2023")</f>
        <v/>
      </c>
      <c r="AB97">
        <f>HYPERLINK("https://klasma.github.io/Logging_2284/klagomålsmail/A 58802-2023 FSC-klagomål mail.docx", "A 58802-2023")</f>
        <v/>
      </c>
      <c r="AC97">
        <f>HYPERLINK("https://klasma.github.io/Logging_2284/tillsyn/A 58802-2023 tillsynsbegäran.docx", "A 58802-2023")</f>
        <v/>
      </c>
      <c r="AD97">
        <f>HYPERLINK("https://klasma.github.io/Logging_2284/tillsynsmail/A 58802-2023 tillsynsbegäran mail.docx", "A 58802-2023")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46286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4455-2023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46286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Lunglav
Skrovellav</t>
        </is>
      </c>
      <c r="W99">
        <f>HYPERLINK("https://klasma.github.io/Logging_2284/artfynd/A 4455-2023 artfynd.xlsx", "A 4455-2023")</f>
        <v/>
      </c>
      <c r="X99">
        <f>HYPERLINK("https://klasma.github.io/Logging_2284/kartor/A 4455-2023 karta.png", "A 4455-2023")</f>
        <v/>
      </c>
      <c r="Y99">
        <f>HYPERLINK("https://klasma.github.io/Logging_2284/kartor_geotiff/A 4455-2023 georefererad karta.tif", "A 4455-2023")</f>
        <v/>
      </c>
      <c r="AA99">
        <f>HYPERLINK("https://klasma.github.io/Logging_2284/klagomål/A 4455-2023 FSC-klagomål.docx", "A 4455-2023")</f>
        <v/>
      </c>
      <c r="AB99">
        <f>HYPERLINK("https://klasma.github.io/Logging_2284/klagomålsmail/A 4455-2023 FSC-klagomål mail.docx", "A 4455-2023")</f>
        <v/>
      </c>
      <c r="AC99">
        <f>HYPERLINK("https://klasma.github.io/Logging_2284/tillsyn/A 4455-2023 tillsynsbegäran.docx", "A 4455-2023")</f>
        <v/>
      </c>
      <c r="AD99">
        <f>HYPERLINK("https://klasma.github.io/Logging_2284/tillsynsmail/A 4455-2023 tillsynsbegäran mail.docx", "A 4455-2023")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46286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46286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46286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46286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46286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46286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46286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46286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46286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3026-2023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44945</v>
      </c>
      <c r="E109" s="1" t="n">
        <v>46286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7.6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Garnlav
Lavskrika</t>
        </is>
      </c>
      <c r="W109">
        <f>HYPERLINK("https://klasma.github.io/Logging_2284/artfynd/A 3026-2023 artfynd.xlsx", "A 3026-2023")</f>
        <v/>
      </c>
      <c r="X109">
        <f>HYPERLINK("https://klasma.github.io/Logging_2284/kartor/A 3026-2023 karta.png", "A 3026-2023")</f>
        <v/>
      </c>
      <c r="Y109">
        <f>HYPERLINK("https://klasma.github.io/Logging_2284/kartor_geotiff/A 3026-2023 georefererad karta.tif", "A 3026-2023")</f>
        <v/>
      </c>
      <c r="AA109">
        <f>HYPERLINK("https://klasma.github.io/Logging_2284/klagomål/A 3026-2023 FSC-klagomål.docx", "A 3026-2023")</f>
        <v/>
      </c>
      <c r="AB109">
        <f>HYPERLINK("https://klasma.github.io/Logging_2284/klagomålsmail/A 3026-2023 FSC-klagomål mail.docx", "A 3026-2023")</f>
        <v/>
      </c>
      <c r="AC109">
        <f>HYPERLINK("https://klasma.github.io/Logging_2284/tillsyn/A 3026-2023 tillsynsbegäran.docx", "A 3026-2023")</f>
        <v/>
      </c>
      <c r="AD109">
        <f>HYPERLINK("https://klasma.github.io/Logging_2284/tillsynsmail/A 3026-2023 tillsynsbegäran mail.docx", "A 3026-2023")</f>
        <v/>
      </c>
      <c r="AE109">
        <f>HYPERLINK("https://klasma.github.io/Logging_2284/fåglar/A 3026-2023 prioriterade fågelarter.docx", "A 3026-2023")</f>
        <v/>
      </c>
    </row>
    <row r="110" ht="15" customHeight="1">
      <c r="A110" t="inlineStr">
        <is>
          <t>A 11197-2026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46080</v>
      </c>
      <c r="E110" s="1" t="n">
        <v>46286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2.9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Korallblylav
Skinnlav</t>
        </is>
      </c>
      <c r="W110">
        <f>HYPERLINK("https://klasma.github.io/Logging_2284/artfynd/A 11197-2026 artfynd.xlsx", "A 11197-2026")</f>
        <v/>
      </c>
      <c r="X110">
        <f>HYPERLINK("https://klasma.github.io/Logging_2284/kartor/A 11197-2026 karta.png", "A 11197-2026")</f>
        <v/>
      </c>
      <c r="Y110">
        <f>HYPERLINK("https://klasma.github.io/Logging_2284/kartor_geotiff/A 11197-2026 georefererad karta.tif", "A 11197-2026")</f>
        <v/>
      </c>
      <c r="AA110">
        <f>HYPERLINK("https://klasma.github.io/Logging_2284/klagomål/A 11197-2026 FSC-klagomål.docx", "A 11197-2026")</f>
        <v/>
      </c>
      <c r="AB110">
        <f>HYPERLINK("https://klasma.github.io/Logging_2284/klagomålsmail/A 11197-2026 FSC-klagomål mail.docx", "A 11197-2026")</f>
        <v/>
      </c>
      <c r="AC110">
        <f>HYPERLINK("https://klasma.github.io/Logging_2284/tillsyn/A 11197-2026 tillsynsbegäran.docx", "A 11197-2026")</f>
        <v/>
      </c>
      <c r="AD110">
        <f>HYPERLINK("https://klasma.github.io/Logging_2284/tillsynsmail/A 11197-2026 tillsynsbegäran mail.docx", "A 11197-2026")</f>
        <v/>
      </c>
    </row>
    <row r="111" ht="15" customHeight="1">
      <c r="A111" t="inlineStr">
        <is>
          <t>A 22498-2024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45447</v>
      </c>
      <c r="E111" s="1" t="n">
        <v>46286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0.6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Ullticka</t>
        </is>
      </c>
      <c r="W111">
        <f>HYPERLINK("https://klasma.github.io/Logging_2284/artfynd/A 22498-2024 artfynd.xlsx", "A 22498-2024")</f>
        <v/>
      </c>
      <c r="X111">
        <f>HYPERLINK("https://klasma.github.io/Logging_2284/kartor/A 22498-2024 karta.png", "A 22498-2024")</f>
        <v/>
      </c>
      <c r="Y111">
        <f>HYPERLINK("https://klasma.github.io/Logging_2284/kartor_geotiff/A 22498-2024 georefererad karta.tif", "A 22498-2024")</f>
        <v/>
      </c>
      <c r="AA111">
        <f>HYPERLINK("https://klasma.github.io/Logging_2284/klagomål/A 22498-2024 FSC-klagomål.docx", "A 22498-2024")</f>
        <v/>
      </c>
      <c r="AB111">
        <f>HYPERLINK("https://klasma.github.io/Logging_2284/klagomålsmail/A 22498-2024 FSC-klagomål mail.docx", "A 22498-2024")</f>
        <v/>
      </c>
      <c r="AC111">
        <f>HYPERLINK("https://klasma.github.io/Logging_2284/tillsyn/A 22498-2024 tillsynsbegäran.docx", "A 22498-2024")</f>
        <v/>
      </c>
      <c r="AD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46286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14140-2026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46286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14140-2026 artfynd.xlsx", "A 14140-2026")</f>
        <v/>
      </c>
      <c r="X113">
        <f>HYPERLINK("https://klasma.github.io/Logging_2284/kartor/A 14140-2026 karta.png", "A 14140-2026")</f>
        <v/>
      </c>
      <c r="Y113">
        <f>HYPERLINK("https://klasma.github.io/Logging_2284/kartor_geotiff/A 14140-2026 georefererad karta.tif", "A 14140-2026")</f>
        <v/>
      </c>
      <c r="AA113">
        <f>HYPERLINK("https://klasma.github.io/Logging_2284/klagomål/A 14140-2026 FSC-klagomål.docx", "A 14140-2026")</f>
        <v/>
      </c>
      <c r="AB113">
        <f>HYPERLINK("https://klasma.github.io/Logging_2284/klagomålsmail/A 14140-2026 FSC-klagomål mail.docx", "A 14140-2026")</f>
        <v/>
      </c>
      <c r="AC113">
        <f>HYPERLINK("https://klasma.github.io/Logging_2284/tillsyn/A 14140-2026 tillsynsbegäran.docx", "A 14140-2026")</f>
        <v/>
      </c>
      <c r="AD113">
        <f>HYPERLINK("https://klasma.github.io/Logging_2284/tillsynsmail/A 14140-2026 tillsynsbegäran mail.docx", "A 14140-2026")</f>
        <v/>
      </c>
    </row>
    <row r="114" ht="15" customHeight="1">
      <c r="A114" t="inlineStr">
        <is>
          <t>A 33056-2026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46245</v>
      </c>
      <c r="E114" s="1" t="n">
        <v>46286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3.7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Rosenticka
Ullticka</t>
        </is>
      </c>
      <c r="W114">
        <f>HYPERLINK("https://klasma.github.io/Logging_2284/artfynd/A 33056-2026 artfynd.xlsx", "A 33056-2026")</f>
        <v/>
      </c>
      <c r="X114">
        <f>HYPERLINK("https://klasma.github.io/Logging_2284/kartor/A 33056-2026 karta.png", "A 33056-2026")</f>
        <v/>
      </c>
      <c r="Y114">
        <f>HYPERLINK("https://klasma.github.io/Logging_2284/kartor_geotiff/A 33056-2026 georefererad karta.tif", "A 33056-2026")</f>
        <v/>
      </c>
      <c r="AA114">
        <f>HYPERLINK("https://klasma.github.io/Logging_2284/klagomål/A 33056-2026 FSC-klagomål.docx", "A 33056-2026")</f>
        <v/>
      </c>
      <c r="AB114">
        <f>HYPERLINK("https://klasma.github.io/Logging_2284/klagomålsmail/A 33056-2026 FSC-klagomål mail.docx", "A 33056-2026")</f>
        <v/>
      </c>
      <c r="AC114">
        <f>HYPERLINK("https://klasma.github.io/Logging_2284/tillsyn/A 33056-2026 tillsynsbegäran.docx", "A 33056-2026")</f>
        <v/>
      </c>
      <c r="AD114">
        <f>HYPERLINK("https://klasma.github.io/Logging_2284/tillsynsmail/A 33056-2026 tillsynsbegäran mail.docx", "A 33056-2026")</f>
        <v/>
      </c>
    </row>
    <row r="115" ht="15" customHeight="1">
      <c r="A115" t="inlineStr">
        <is>
          <t>A 18367-2026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46125</v>
      </c>
      <c r="E115" s="1" t="n">
        <v>46286</v>
      </c>
      <c r="F115" t="inlineStr">
        <is>
          <t>VÄSTERNORRLANDS LÄN</t>
        </is>
      </c>
      <c r="G115" t="inlineStr">
        <is>
          <t>ÖRNSKÖLDSVIK</t>
        </is>
      </c>
      <c r="I115" t="n">
        <v>6.2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Skinnlav</t>
        </is>
      </c>
      <c r="W115">
        <f>HYPERLINK("https://klasma.github.io/Logging_2284/artfynd/A 18367-2026 artfynd.xlsx", "A 18367-2026")</f>
        <v/>
      </c>
      <c r="X115">
        <f>HYPERLINK("https://klasma.github.io/Logging_2284/kartor/A 18367-2026 karta.png", "A 18367-2026")</f>
        <v/>
      </c>
      <c r="Y115">
        <f>HYPERLINK("https://klasma.github.io/Logging_2284/kartor_geotiff/A 18367-2026 georefererad karta.tif", "A 18367-2026")</f>
        <v/>
      </c>
      <c r="AA115">
        <f>HYPERLINK("https://klasma.github.io/Logging_2284/klagomål/A 18367-2026 FSC-klagomål.docx", "A 18367-2026")</f>
        <v/>
      </c>
      <c r="AB115">
        <f>HYPERLINK("https://klasma.github.io/Logging_2284/klagomålsmail/A 18367-2026 FSC-klagomål mail.docx", "A 18367-2026")</f>
        <v/>
      </c>
      <c r="AC115">
        <f>HYPERLINK("https://klasma.github.io/Logging_2284/tillsyn/A 18367-2026 tillsynsbegäran.docx", "A 18367-2026")</f>
        <v/>
      </c>
      <c r="AD115">
        <f>HYPERLINK("https://klasma.github.io/Logging_2284/tillsynsmail/A 18367-2026 tillsynsbegäran mail.docx", "A 18367-2026")</f>
        <v/>
      </c>
    </row>
    <row r="116" ht="15" customHeight="1">
      <c r="A116" t="inlineStr">
        <is>
          <t>A 37479-2024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46286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0</v>
      </c>
      <c r="V116" s="2" t="inlineStr">
        <is>
          <t>Garnlav
Lunglav</t>
        </is>
      </c>
      <c r="W116">
        <f>HYPERLINK("https://klasma.github.io/Logging_2284/artfynd/A 37479-2024 artfynd.xlsx", "A 37479-2024")</f>
        <v/>
      </c>
      <c r="X116">
        <f>HYPERLINK("https://klasma.github.io/Logging_2284/kartor/A 37479-2024 karta.png", "A 37479-2024")</f>
        <v/>
      </c>
      <c r="Y116">
        <f>HYPERLINK("https://klasma.github.io/Logging_2284/kartor_geotiff/A 37479-2024 georefererad karta.tif", "A 37479-2024")</f>
        <v/>
      </c>
      <c r="AA116">
        <f>HYPERLINK("https://klasma.github.io/Logging_2284/klagomål/A 37479-2024 FSC-klagomål.docx", "A 37479-2024")</f>
        <v/>
      </c>
      <c r="AB116">
        <f>HYPERLINK("https://klasma.github.io/Logging_2284/klagomålsmail/A 37479-2024 FSC-klagomål mail.docx", "A 37479-2024")</f>
        <v/>
      </c>
      <c r="AC116">
        <f>HYPERLINK("https://klasma.github.io/Logging_2284/tillsyn/A 37479-2024 tillsynsbegäran.docx", "A 37479-2024")</f>
        <v/>
      </c>
      <c r="AD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46286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46286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46286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46286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46286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46286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A 38438-2025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46286</v>
      </c>
      <c r="F123" t="inlineStr">
        <is>
          <t>VÄSTERNORRLANDS LÄN</t>
        </is>
      </c>
      <c r="G123" t="inlineStr">
        <is>
          <t>ÖRNSKÖLDSVIK</t>
        </is>
      </c>
      <c r="I123" t="n">
        <v>6.2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Fiskgjuse
Havsörn</t>
        </is>
      </c>
      <c r="W123">
        <f>HYPERLINK("https://klasma.github.io/Logging_2284/artfynd/A 38438-2025 artfynd.xlsx", "A 38438-2025")</f>
        <v/>
      </c>
      <c r="X123">
        <f>HYPERLINK("https://klasma.github.io/Logging_2284/kartor/A 38438-2025 karta.png", "A 38438-2025")</f>
        <v/>
      </c>
      <c r="Y123">
        <f>HYPERLINK("https://klasma.github.io/Logging_2284/kartor_geotiff/A 38438-2025 georefererad karta.tif", "A 38438-2025")</f>
        <v/>
      </c>
      <c r="AA123">
        <f>HYPERLINK("https://klasma.github.io/Logging_2284/klagomål/A 38438-2025 FSC-klagomål.docx", "A 38438-2025")</f>
        <v/>
      </c>
      <c r="AB123">
        <f>HYPERLINK("https://klasma.github.io/Logging_2284/klagomålsmail/A 38438-2025 FSC-klagomål mail.docx", "A 38438-2025")</f>
        <v/>
      </c>
      <c r="AC123">
        <f>HYPERLINK("https://klasma.github.io/Logging_2284/tillsyn/A 38438-2025 tillsynsbegäran.docx", "A 38438-2025")</f>
        <v/>
      </c>
      <c r="AD123">
        <f>HYPERLINK("https://klasma.github.io/Logging_2284/tillsynsmail/A 38438-2025 tillsynsbegäran mail.docx", "A 38438-2025")</f>
        <v/>
      </c>
      <c r="AE123">
        <f>HYPERLINK("https://klasma.github.io/Logging_2284/fåglar/A 38438-2025 prioriterade fågelarter.docx", "A 38438-2025")</f>
        <v/>
      </c>
    </row>
    <row r="124" ht="15" customHeight="1">
      <c r="A124" t="inlineStr">
        <is>
          <t>S 2154-2022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44677</v>
      </c>
      <c r="E124" s="1" t="n">
        <v>46286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2.7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Garnlav
Violettgrå tagellav</t>
        </is>
      </c>
      <c r="W124">
        <f>HYPERLINK("https://klasma.github.io/Logging_2284/artfynd/S 2154-2022 artfynd.xlsx", "S 2154-2022")</f>
        <v/>
      </c>
      <c r="X124">
        <f>HYPERLINK("https://klasma.github.io/Logging_2284/kartor/S 2154-2022 karta.png", "S 2154-2022")</f>
        <v/>
      </c>
      <c r="Y124">
        <f>HYPERLINK("https://klasma.github.io/Logging_2284/kartor_geotiff/S 2154-2022 georefererad karta.tif", "S 2154-2022")</f>
        <v/>
      </c>
      <c r="AA124">
        <f>HYPERLINK("https://klasma.github.io/Logging_2284/klagomål/S 2154-2022 FSC-klagomål.docx", "S 2154-2022")</f>
        <v/>
      </c>
      <c r="AB124">
        <f>HYPERLINK("https://klasma.github.io/Logging_2284/klagomålsmail/S 2154-2022 FSC-klagomål mail.docx", "S 2154-2022")</f>
        <v/>
      </c>
      <c r="AC124">
        <f>HYPERLINK("https://klasma.github.io/Logging_2284/tillsyn/S 2154-2022 tillsynsbegäran.docx", "S 2154-2022")</f>
        <v/>
      </c>
      <c r="AD124">
        <f>HYPERLINK("https://klasma.github.io/Logging_2284/tillsynsmail/S 2154-2022 tillsynsbegäran mail.docx", "S 2154-2022")</f>
        <v/>
      </c>
    </row>
    <row r="125" ht="15" customHeight="1">
      <c r="A125" t="inlineStr">
        <is>
          <t>S 956-2026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46113</v>
      </c>
      <c r="E125" s="1" t="n">
        <v>46286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3</v>
      </c>
      <c r="U125" t="n">
        <v>3</v>
      </c>
      <c r="V125" s="2" t="inlineStr">
        <is>
          <t>Kolflarnlav
Talltaggsvamp</t>
        </is>
      </c>
      <c r="W125">
        <f>HYPERLINK("https://klasma.github.io/Logging_2284/artfynd/S 956-2026 artfynd.xlsx", "S 956-2026")</f>
        <v/>
      </c>
      <c r="X125">
        <f>HYPERLINK("https://klasma.github.io/Logging_2284/kartor/S 956-2026 karta.png", "S 956-2026")</f>
        <v/>
      </c>
      <c r="Y125">
        <f>HYPERLINK("https://klasma.github.io/Logging_2284/kartor_geotiff/S 956-2026 georefererad karta.tif", "S 956-2026")</f>
        <v/>
      </c>
      <c r="AA125">
        <f>HYPERLINK("https://klasma.github.io/Logging_2284/klagomål/S 956-2026 FSC-klagomål.docx", "S 956-2026")</f>
        <v/>
      </c>
      <c r="AB125">
        <f>HYPERLINK("https://klasma.github.io/Logging_2284/klagomålsmail/S 956-2026 FSC-klagomål mail.docx", "S 956-2026")</f>
        <v/>
      </c>
      <c r="AC125">
        <f>HYPERLINK("https://klasma.github.io/Logging_2284/tillsyn/S 956-2026 tillsynsbegäran.docx", "S 956-2026")</f>
        <v/>
      </c>
      <c r="AD125">
        <f>HYPERLINK("https://klasma.github.io/Logging_2284/tillsynsmail/S 956-2026 tillsynsbegäran mail.docx", "S 956-2026")</f>
        <v/>
      </c>
    </row>
    <row r="126" ht="15" customHeight="1">
      <c r="A126" t="inlineStr">
        <is>
          <t>S 1041-2026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46125</v>
      </c>
      <c r="E126" s="1" t="n">
        <v>46286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1.1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Ullticka
Källmossor</t>
        </is>
      </c>
      <c r="W126">
        <f>HYPERLINK("https://klasma.github.io/Logging_2284/artfynd/S 1041-2026 artfynd.xlsx", "S 1041-2026")</f>
        <v/>
      </c>
      <c r="X126">
        <f>HYPERLINK("https://klasma.github.io/Logging_2284/kartor/S 1041-2026 karta.png", "S 1041-2026")</f>
        <v/>
      </c>
      <c r="Y126">
        <f>HYPERLINK("https://klasma.github.io/Logging_2284/kartor_geotiff/S 1041-2026 georefererad karta.tif", "S 1041-2026")</f>
        <v/>
      </c>
      <c r="AA126">
        <f>HYPERLINK("https://klasma.github.io/Logging_2284/klagomål/S 1041-2026 FSC-klagomål.docx", "S 1041-2026")</f>
        <v/>
      </c>
      <c r="AB126">
        <f>HYPERLINK("https://klasma.github.io/Logging_2284/klagomålsmail/S 1041-2026 FSC-klagomål mail.docx", "S 1041-2026")</f>
        <v/>
      </c>
      <c r="AC126">
        <f>HYPERLINK("https://klasma.github.io/Logging_2284/tillsyn/S 1041-2026 tillsynsbegäran.docx", "S 1041-2026")</f>
        <v/>
      </c>
      <c r="AD126">
        <f>HYPERLINK("https://klasma.github.io/Logging_2284/tillsynsmail/S 1041-2026 tillsynsbegäran mail.docx", "S 1041-2026")</f>
        <v/>
      </c>
    </row>
    <row r="127" ht="15" customHeight="1">
      <c r="A127" t="inlineStr">
        <is>
          <t>A 53626-2021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44469</v>
      </c>
      <c r="E127" s="1" t="n">
        <v>46286</v>
      </c>
      <c r="F127" t="inlineStr">
        <is>
          <t>VÄSTERNORRLANDS LÄN</t>
        </is>
      </c>
      <c r="G127" t="inlineStr">
        <is>
          <t>ÖRNSKÖLDSVIK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HYPERLINK("https://klasma.github.io/Logging_2284/artfynd/A 53626-2021 artfynd.xlsx", "A 53626-2021")</f>
        <v/>
      </c>
      <c r="X127">
        <f>HYPERLINK("https://klasma.github.io/Logging_2284/kartor/A 53626-2021 karta.png", "A 53626-2021")</f>
        <v/>
      </c>
      <c r="Y127">
        <f>HYPERLINK("https://klasma.github.io/Logging_2284/kartor_geotiff/A 53626-2021 georefererad karta.tif", "A 53626-2021")</f>
        <v/>
      </c>
      <c r="AA127">
        <f>HYPERLINK("https://klasma.github.io/Logging_2284/klagomål/A 53626-2021 FSC-klagomål.docx", "A 53626-2021")</f>
        <v/>
      </c>
      <c r="AB127">
        <f>HYPERLINK("https://klasma.github.io/Logging_2284/klagomålsmail/A 53626-2021 FSC-klagomål mail.docx", "A 53626-2021")</f>
        <v/>
      </c>
      <c r="AC127">
        <f>HYPERLINK("https://klasma.github.io/Logging_2284/tillsyn/A 53626-2021 tillsynsbegäran.docx", "A 53626-2021")</f>
        <v/>
      </c>
      <c r="AD127">
        <f>HYPERLINK("https://klasma.github.io/Logging_2284/tillsynsmail/A 53626-2021 tillsynsbegäran mail.docx", "A 53626-2021")</f>
        <v/>
      </c>
    </row>
    <row r="128" ht="15" customHeight="1">
      <c r="A128" t="inlineStr">
        <is>
          <t>A 63394-2021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46286</v>
      </c>
      <c r="F128" t="inlineStr">
        <is>
          <t>VÄSTERNORRLANDS LÄN</t>
        </is>
      </c>
      <c r="G128" t="inlineStr">
        <is>
          <t>ÖRNSKÖLDSVIK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HYPERLINK("https://klasma.github.io/Logging_2284/artfynd/A 63394-2021 artfynd.xlsx", "A 63394-2021")</f>
        <v/>
      </c>
      <c r="X128">
        <f>HYPERLINK("https://klasma.github.io/Logging_2284/kartor/A 63394-2021 karta.png", "A 63394-2021")</f>
        <v/>
      </c>
      <c r="Y128">
        <f>HYPERLINK("https://klasma.github.io/Logging_2284/kartor_geotiff/A 63394-2021 georefererad karta.tif", "A 63394-2021")</f>
        <v/>
      </c>
      <c r="AA128">
        <f>HYPERLINK("https://klasma.github.io/Logging_2284/klagomål/A 63394-2021 FSC-klagomål.docx", "A 63394-2021")</f>
        <v/>
      </c>
      <c r="AB128">
        <f>HYPERLINK("https://klasma.github.io/Logging_2284/klagomålsmail/A 63394-2021 FSC-klagomål mail.docx", "A 63394-2021")</f>
        <v/>
      </c>
      <c r="AC128">
        <f>HYPERLINK("https://klasma.github.io/Logging_2284/tillsyn/A 63394-2021 tillsynsbegäran.docx", "A 63394-2021")</f>
        <v/>
      </c>
      <c r="AD128">
        <f>HYPERLINK("https://klasma.github.io/Logging_2284/tillsynsmail/A 63394-2021 tillsynsbegäran mail.docx", "A 63394-2021")</f>
        <v/>
      </c>
      <c r="AE128">
        <f>HYPERLINK("https://klasma.github.io/Logging_2284/fåglar/A 63394-2021 prioriterade fågelarter.docx", "A 63394-2021")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46286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54424-2021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46286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Källmossor</t>
        </is>
      </c>
      <c r="W130">
        <f>HYPERLINK("https://klasma.github.io/Logging_2284/artfynd/A 54424-2021 artfynd.xlsx", "A 54424-2021")</f>
        <v/>
      </c>
      <c r="X130">
        <f>HYPERLINK("https://klasma.github.io/Logging_2284/kartor/A 54424-2021 karta.png", "A 54424-2021")</f>
        <v/>
      </c>
      <c r="Y130">
        <f>HYPERLINK("https://klasma.github.io/Logging_2284/kartor_geotiff/A 54424-2021 georefererad karta.tif", "A 54424-2021")</f>
        <v/>
      </c>
      <c r="AA130">
        <f>HYPERLINK("https://klasma.github.io/Logging_2284/klagomål/A 54424-2021 FSC-klagomål.docx", "A 54424-2021")</f>
        <v/>
      </c>
      <c r="AB130">
        <f>HYPERLINK("https://klasma.github.io/Logging_2284/klagomålsmail/A 54424-2021 FSC-klagomål mail.docx", "A 54424-2021")</f>
        <v/>
      </c>
      <c r="AC130">
        <f>HYPERLINK("https://klasma.github.io/Logging_2284/tillsyn/A 54424-2021 tillsynsbegäran.docx", "A 54424-2021")</f>
        <v/>
      </c>
      <c r="AD130">
        <f>HYPERLINK("https://klasma.github.io/Logging_2284/tillsynsmail/A 54424-2021 tillsynsbegäran mail.docx", "A 54424-2021")</f>
        <v/>
      </c>
    </row>
    <row r="131" ht="15" customHeight="1">
      <c r="A131" t="inlineStr">
        <is>
          <t>A 66531-2021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44518</v>
      </c>
      <c r="E131" s="1" t="n">
        <v>46286</v>
      </c>
      <c r="F131" t="inlineStr">
        <is>
          <t>VÄSTERNORRLANDS LÄN</t>
        </is>
      </c>
      <c r="G131" t="inlineStr">
        <is>
          <t>ÖRNSKÖLDSVIK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HYPERLINK("https://klasma.github.io/Logging_2284/artfynd/A 66531-2021 artfynd.xlsx", "A 66531-2021")</f>
        <v/>
      </c>
      <c r="X131">
        <f>HYPERLINK("https://klasma.github.io/Logging_2284/kartor/A 66531-2021 karta.png", "A 66531-2021")</f>
        <v/>
      </c>
      <c r="Y131">
        <f>HYPERLINK("https://klasma.github.io/Logging_2284/kartor_geotiff/A 66531-2021 georefererad karta.tif", "A 66531-2021")</f>
        <v/>
      </c>
      <c r="AA131">
        <f>HYPERLINK("https://klasma.github.io/Logging_2284/klagomål/A 66531-2021 FSC-klagomål.docx", "A 66531-2021")</f>
        <v/>
      </c>
      <c r="AB131">
        <f>HYPERLINK("https://klasma.github.io/Logging_2284/klagomålsmail/A 66531-2021 FSC-klagomål mail.docx", "A 66531-2021")</f>
        <v/>
      </c>
      <c r="AC131">
        <f>HYPERLINK("https://klasma.github.io/Logging_2284/tillsyn/A 66531-2021 tillsynsbegäran.docx", "A 66531-2021")</f>
        <v/>
      </c>
      <c r="AD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46286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62256-2022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44922</v>
      </c>
      <c r="E133" s="1" t="n">
        <v>46286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2.4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Tretåig hackspett</t>
        </is>
      </c>
      <c r="W133">
        <f>HYPERLINK("https://klasma.github.io/Logging_2284/artfynd/A 62256-2022 artfynd.xlsx", "A 62256-2022")</f>
        <v/>
      </c>
      <c r="X133">
        <f>HYPERLINK("https://klasma.github.io/Logging_2284/kartor/A 62256-2022 karta.png", "A 62256-2022")</f>
        <v/>
      </c>
      <c r="Y133">
        <f>HYPERLINK("https://klasma.github.io/Logging_2284/kartor_geotiff/A 62256-2022 georefererad karta.tif", "A 62256-2022")</f>
        <v/>
      </c>
      <c r="AA133">
        <f>HYPERLINK("https://klasma.github.io/Logging_2284/klagomål/A 62256-2022 FSC-klagomål.docx", "A 62256-2022")</f>
        <v/>
      </c>
      <c r="AB133">
        <f>HYPERLINK("https://klasma.github.io/Logging_2284/klagomålsmail/A 62256-2022 FSC-klagomål mail.docx", "A 62256-2022")</f>
        <v/>
      </c>
      <c r="AC133">
        <f>HYPERLINK("https://klasma.github.io/Logging_2284/tillsyn/A 62256-2022 tillsynsbegäran.docx", "A 62256-2022")</f>
        <v/>
      </c>
      <c r="AD133">
        <f>HYPERLINK("https://klasma.github.io/Logging_2284/tillsynsmail/A 62256-2022 tillsynsbegäran mail.docx", "A 62256-2022")</f>
        <v/>
      </c>
      <c r="AE133">
        <f>HYPERLINK("https://klasma.github.io/Logging_2284/fåglar/A 62256-2022 prioriterade fågelarter.docx", "A 62256-2022")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46286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8677-2023 artfynd.xlsx", "A 8677-2023")</f>
        <v/>
      </c>
      <c r="X134">
        <f>HYPERLINK("https://klasma.github.io/Logging_2284/kartor/A 8677-2023 karta.png", "A 8677-2023")</f>
        <v/>
      </c>
      <c r="Y134">
        <f>HYPERLINK("https://klasma.github.io/Logging_2284/kartor_geotiff/A 8677-2023 georefererad karta.tif", "A 8677-2023")</f>
        <v/>
      </c>
      <c r="AA134">
        <f>HYPERLINK("https://klasma.github.io/Logging_2284/klagomål/A 8677-2023 FSC-klagomål.docx", "A 8677-2023")</f>
        <v/>
      </c>
      <c r="AB134">
        <f>HYPERLINK("https://klasma.github.io/Logging_2284/klagomålsmail/A 8677-2023 FSC-klagomål mail.docx", "A 8677-2023")</f>
        <v/>
      </c>
      <c r="AC134">
        <f>HYPERLINK("https://klasma.github.io/Logging_2284/tillsyn/A 8677-2023 tillsynsbegäran.docx", "A 8677-2023")</f>
        <v/>
      </c>
      <c r="AD134">
        <f>HYPERLINK("https://klasma.github.io/Logging_2284/tillsynsmail/A 8677-2023 tillsynsbegäran mail.docx", "A 8677-2023")</f>
        <v/>
      </c>
    </row>
    <row r="135" ht="15" customHeight="1">
      <c r="A135" t="inlineStr">
        <is>
          <t>A 7323-2023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44970</v>
      </c>
      <c r="E135" s="1" t="n">
        <v>46286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18.6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7323-2023 artfynd.xlsx", "A 7323-2023")</f>
        <v/>
      </c>
      <c r="X135">
        <f>HYPERLINK("https://klasma.github.io/Logging_2284/kartor/A 7323-2023 karta.png", "A 7323-2023")</f>
        <v/>
      </c>
      <c r="Y135">
        <f>HYPERLINK("https://klasma.github.io/Logging_2284/kartor_geotiff/A 7323-2023 georefererad karta.tif", "A 7323-2023")</f>
        <v/>
      </c>
      <c r="AA135">
        <f>HYPERLINK("https://klasma.github.io/Logging_2284/klagomål/A 7323-2023 FSC-klagomål.docx", "A 7323-2023")</f>
        <v/>
      </c>
      <c r="AB135">
        <f>HYPERLINK("https://klasma.github.io/Logging_2284/klagomålsmail/A 7323-2023 FSC-klagomål mail.docx", "A 7323-2023")</f>
        <v/>
      </c>
      <c r="AC135">
        <f>HYPERLINK("https://klasma.github.io/Logging_2284/tillsyn/A 7323-2023 tillsynsbegäran.docx", "A 7323-2023")</f>
        <v/>
      </c>
      <c r="AD135">
        <f>HYPERLINK("https://klasma.github.io/Logging_2284/tillsynsmail/A 7323-2023 tillsynsbegäran mail.docx", "A 7323-2023")</f>
        <v/>
      </c>
    </row>
    <row r="136" ht="15" customHeight="1">
      <c r="A136" t="inlineStr">
        <is>
          <t>A 24144-2024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45456</v>
      </c>
      <c r="E136" s="1" t="n">
        <v>46286</v>
      </c>
      <c r="F136" t="inlineStr">
        <is>
          <t>VÄSTERNORRLANDS LÄN</t>
        </is>
      </c>
      <c r="G136" t="inlineStr">
        <is>
          <t>ÖRNSKÖLDSVIK</t>
        </is>
      </c>
      <c r="I136" t="n">
        <v>0.5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Tretåig hackspett</t>
        </is>
      </c>
      <c r="W136">
        <f>HYPERLINK("https://klasma.github.io/Logging_2284/artfynd/A 24144-2024 artfynd.xlsx", "A 24144-2024")</f>
        <v/>
      </c>
      <c r="X136">
        <f>HYPERLINK("https://klasma.github.io/Logging_2284/kartor/A 24144-2024 karta.png", "A 24144-2024")</f>
        <v/>
      </c>
      <c r="Y136">
        <f>HYPERLINK("https://klasma.github.io/Logging_2284/kartor_geotiff/A 24144-2024 georefererad karta.tif", "A 24144-2024")</f>
        <v/>
      </c>
      <c r="AA136">
        <f>HYPERLINK("https://klasma.github.io/Logging_2284/klagomål/A 24144-2024 FSC-klagomål.docx", "A 24144-2024")</f>
        <v/>
      </c>
      <c r="AB136">
        <f>HYPERLINK("https://klasma.github.io/Logging_2284/klagomålsmail/A 24144-2024 FSC-klagomål mail.docx", "A 24144-2024")</f>
        <v/>
      </c>
      <c r="AC136">
        <f>HYPERLINK("https://klasma.github.io/Logging_2284/tillsyn/A 24144-2024 tillsynsbegäran.docx", "A 24144-2024")</f>
        <v/>
      </c>
      <c r="AD136">
        <f>HYPERLINK("https://klasma.github.io/Logging_2284/tillsynsmail/A 24144-2024 tillsynsbegäran mail.docx", "A 24144-2024")</f>
        <v/>
      </c>
      <c r="AE136">
        <f>HYPERLINK("https://klasma.github.io/Logging_2284/fåglar/A 24144-2024 prioriterade fågelarter.docx", "A 24144-2024")</f>
        <v/>
      </c>
    </row>
    <row r="137" ht="15" customHeight="1">
      <c r="A137" t="inlineStr">
        <is>
          <t>A 47190-2023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46286</v>
      </c>
      <c r="F137" t="inlineStr">
        <is>
          <t>VÄSTERNORRLANDS LÄN</t>
        </is>
      </c>
      <c r="G137" t="inlineStr">
        <is>
          <t>ÖRNSKÖLDSVIK</t>
        </is>
      </c>
      <c r="I137" t="n">
        <v>1.6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Kungsfågel</t>
        </is>
      </c>
      <c r="W137">
        <f>HYPERLINK("https://klasma.github.io/Logging_2284/artfynd/A 47190-2023 artfynd.xlsx", "A 47190-2023")</f>
        <v/>
      </c>
      <c r="X137">
        <f>HYPERLINK("https://klasma.github.io/Logging_2284/kartor/A 47190-2023 karta.png", "A 47190-2023")</f>
        <v/>
      </c>
      <c r="Y137">
        <f>HYPERLINK("https://klasma.github.io/Logging_2284/kartor_geotiff/A 47190-2023 georefererad karta.tif", "A 47190-2023")</f>
        <v/>
      </c>
      <c r="AA137">
        <f>HYPERLINK("https://klasma.github.io/Logging_2284/klagomål/A 47190-2023 FSC-klagomål.docx", "A 47190-2023")</f>
        <v/>
      </c>
      <c r="AB137">
        <f>HYPERLINK("https://klasma.github.io/Logging_2284/klagomålsmail/A 47190-2023 FSC-klagomål mail.docx", "A 47190-2023")</f>
        <v/>
      </c>
      <c r="AC137">
        <f>HYPERLINK("https://klasma.github.io/Logging_2284/tillsyn/A 47190-2023 tillsynsbegäran.docx", "A 47190-2023")</f>
        <v/>
      </c>
      <c r="AD137">
        <f>HYPERLINK("https://klasma.github.io/Logging_2284/tillsynsmail/A 47190-2023 tillsynsbegäran mail.docx", "A 47190-2023")</f>
        <v/>
      </c>
    </row>
    <row r="138" ht="15" customHeight="1">
      <c r="A138" t="inlineStr">
        <is>
          <t>A 16877-2024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45411</v>
      </c>
      <c r="E138" s="1" t="n">
        <v>46286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Garnlav</t>
        </is>
      </c>
      <c r="W138">
        <f>HYPERLINK("https://klasma.github.io/Logging_2284/artfynd/A 16877-2024 artfynd.xlsx", "A 16877-2024")</f>
        <v/>
      </c>
      <c r="X138">
        <f>HYPERLINK("https://klasma.github.io/Logging_2284/kartor/A 16877-2024 karta.png", "A 16877-2024")</f>
        <v/>
      </c>
      <c r="Y138">
        <f>HYPERLINK("https://klasma.github.io/Logging_2284/kartor_geotiff/A 16877-2024 georefererad karta.tif", "A 16877-2024")</f>
        <v/>
      </c>
      <c r="AA138">
        <f>HYPERLINK("https://klasma.github.io/Logging_2284/klagomål/A 16877-2024 FSC-klagomål.docx", "A 16877-2024")</f>
        <v/>
      </c>
      <c r="AB138">
        <f>HYPERLINK("https://klasma.github.io/Logging_2284/klagomålsmail/A 16877-2024 FSC-klagomål mail.docx", "A 16877-2024")</f>
        <v/>
      </c>
      <c r="AC138">
        <f>HYPERLINK("https://klasma.github.io/Logging_2284/tillsyn/A 16877-2024 tillsynsbegäran.docx", "A 16877-2024")</f>
        <v/>
      </c>
      <c r="AD138">
        <f>HYPERLINK("https://klasma.github.io/Logging_2284/tillsynsmail/A 16877-2024 tillsynsbegäran mail.docx", "A 16877-2024")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46286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38733-2025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46286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12.8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HYPERLINK("https://klasma.github.io/Logging_2284/artfynd/A 38733-2025 artfynd.xlsx", "A 38733-2025")</f>
        <v/>
      </c>
      <c r="X140">
        <f>HYPERLINK("https://klasma.github.io/Logging_2284/kartor/A 38733-2025 karta.png", "A 38733-2025")</f>
        <v/>
      </c>
      <c r="Y140">
        <f>HYPERLINK("https://klasma.github.io/Logging_2284/kartor_geotiff/A 38733-2025 georefererad karta.tif", "A 38733-2025")</f>
        <v/>
      </c>
      <c r="AA140">
        <f>HYPERLINK("https://klasma.github.io/Logging_2284/klagomål/A 38733-2025 FSC-klagomål.docx", "A 38733-2025")</f>
        <v/>
      </c>
      <c r="AB140">
        <f>HYPERLINK("https://klasma.github.io/Logging_2284/klagomålsmail/A 38733-2025 FSC-klagomål mail.docx", "A 38733-2025")</f>
        <v/>
      </c>
      <c r="AC140">
        <f>HYPERLINK("https://klasma.github.io/Logging_2284/tillsyn/A 38733-2025 tillsynsbegäran.docx", "A 38733-2025")</f>
        <v/>
      </c>
      <c r="AD140">
        <f>HYPERLINK("https://klasma.github.io/Logging_2284/tillsynsmail/A 38733-2025 tillsynsbegäran mail.docx", "A 38733-2025")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46286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46286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46286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12979-2023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46286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5.2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HYPERLINK("https://klasma.github.io/Logging_2284/artfynd/A 12979-2023 artfynd.xlsx", "A 12979-2023")</f>
        <v/>
      </c>
      <c r="X144">
        <f>HYPERLINK("https://klasma.github.io/Logging_2284/kartor/A 12979-2023 karta.png", "A 12979-2023")</f>
        <v/>
      </c>
      <c r="Y144">
        <f>HYPERLINK("https://klasma.github.io/Logging_2284/kartor_geotiff/A 12979-2023 georefererad karta.tif", "A 12979-2023")</f>
        <v/>
      </c>
      <c r="AA144">
        <f>HYPERLINK("https://klasma.github.io/Logging_2284/klagomål/A 12979-2023 FSC-klagomål.docx", "A 12979-2023")</f>
        <v/>
      </c>
      <c r="AB144">
        <f>HYPERLINK("https://klasma.github.io/Logging_2284/klagomålsmail/A 12979-2023 FSC-klagomål mail.docx", "A 12979-2023")</f>
        <v/>
      </c>
      <c r="AC144">
        <f>HYPERLINK("https://klasma.github.io/Logging_2284/tillsyn/A 12979-2023 tillsynsbegäran.docx", "A 12979-2023")</f>
        <v/>
      </c>
      <c r="AD144">
        <f>HYPERLINK("https://klasma.github.io/Logging_2284/tillsynsmail/A 12979-2023 tillsynsbegäran mail.docx", "A 12979-2023")</f>
        <v/>
      </c>
      <c r="AE144">
        <f>HYPERLINK("https://klasma.github.io/Logging_2284/fåglar/A 12979-2023 prioriterade fågelarter.docx", "A 12979-2023")</f>
        <v/>
      </c>
    </row>
    <row r="145" ht="15" customHeight="1">
      <c r="A145" t="inlineStr">
        <is>
          <t>A 42565-2023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45176</v>
      </c>
      <c r="E145" s="1" t="n">
        <v>46286</v>
      </c>
      <c r="F145" t="inlineStr">
        <is>
          <t>VÄSTERNORRLANDS LÄN</t>
        </is>
      </c>
      <c r="G145" t="inlineStr">
        <is>
          <t>ÖRNSKÖLDSVIK</t>
        </is>
      </c>
      <c r="I145" t="n">
        <v>1.9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Ullticka</t>
        </is>
      </c>
      <c r="W145">
        <f>HYPERLINK("https://klasma.github.io/Logging_2284/artfynd/A 42565-2023 artfynd.xlsx", "A 42565-2023")</f>
        <v/>
      </c>
      <c r="X145">
        <f>HYPERLINK("https://klasma.github.io/Logging_2284/kartor/A 42565-2023 karta.png", "A 42565-2023")</f>
        <v/>
      </c>
      <c r="Y145">
        <f>HYPERLINK("https://klasma.github.io/Logging_2284/kartor_geotiff/A 42565-2023 georefererad karta.tif", "A 42565-2023")</f>
        <v/>
      </c>
      <c r="AA145">
        <f>HYPERLINK("https://klasma.github.io/Logging_2284/klagomål/A 42565-2023 FSC-klagomål.docx", "A 42565-2023")</f>
        <v/>
      </c>
      <c r="AB145">
        <f>HYPERLINK("https://klasma.github.io/Logging_2284/klagomålsmail/A 42565-2023 FSC-klagomål mail.docx", "A 42565-2023")</f>
        <v/>
      </c>
      <c r="AC145">
        <f>HYPERLINK("https://klasma.github.io/Logging_2284/tillsyn/A 42565-2023 tillsynsbegäran.docx", "A 42565-2023")</f>
        <v/>
      </c>
      <c r="AD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7412-2026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46286</v>
      </c>
      <c r="F146" t="inlineStr">
        <is>
          <t>VÄSTERNORRLANDS LÄN</t>
        </is>
      </c>
      <c r="G146" t="inlineStr">
        <is>
          <t>ÖRNSKÖLDSVIK</t>
        </is>
      </c>
      <c r="I146" t="n">
        <v>3.9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HYPERLINK("https://klasma.github.io/Logging_2284/artfynd/A 7412-2026 artfynd.xlsx", "A 7412-2026")</f>
        <v/>
      </c>
      <c r="X146">
        <f>HYPERLINK("https://klasma.github.io/Logging_2284/kartor/A 7412-2026 karta.png", "A 7412-2026")</f>
        <v/>
      </c>
      <c r="Y146">
        <f>HYPERLINK("https://klasma.github.io/Logging_2284/kartor_geotiff/A 7412-2026 georefererad karta.tif", "A 7412-2026")</f>
        <v/>
      </c>
      <c r="AA146">
        <f>HYPERLINK("https://klasma.github.io/Logging_2284/klagomål/A 7412-2026 FSC-klagomål.docx", "A 7412-2026")</f>
        <v/>
      </c>
      <c r="AB146">
        <f>HYPERLINK("https://klasma.github.io/Logging_2284/klagomålsmail/A 7412-2026 FSC-klagomål mail.docx", "A 7412-2026")</f>
        <v/>
      </c>
      <c r="AC146">
        <f>HYPERLINK("https://klasma.github.io/Logging_2284/tillsyn/A 7412-2026 tillsynsbegäran.docx", "A 7412-2026")</f>
        <v/>
      </c>
      <c r="AD146">
        <f>HYPERLINK("https://klasma.github.io/Logging_2284/tillsynsmail/A 7412-2026 tillsynsbegäran mail.docx", "A 7412-2026")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46286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54913-2023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45236</v>
      </c>
      <c r="E148" s="1" t="n">
        <v>46286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Skinnlav</t>
        </is>
      </c>
      <c r="W148">
        <f>HYPERLINK("https://klasma.github.io/Logging_2284/artfynd/A 54913-2023 artfynd.xlsx", "A 54913-2023")</f>
        <v/>
      </c>
      <c r="X148">
        <f>HYPERLINK("https://klasma.github.io/Logging_2284/kartor/A 54913-2023 karta.png", "A 54913-2023")</f>
        <v/>
      </c>
      <c r="Y148">
        <f>HYPERLINK("https://klasma.github.io/Logging_2284/kartor_geotiff/A 54913-2023 georefererad karta.tif", "A 54913-2023")</f>
        <v/>
      </c>
      <c r="AA148">
        <f>HYPERLINK("https://klasma.github.io/Logging_2284/klagomål/A 54913-2023 FSC-klagomål.docx", "A 54913-2023")</f>
        <v/>
      </c>
      <c r="AB148">
        <f>HYPERLINK("https://klasma.github.io/Logging_2284/klagomålsmail/A 54913-2023 FSC-klagomål mail.docx", "A 54913-2023")</f>
        <v/>
      </c>
      <c r="AC148">
        <f>HYPERLINK("https://klasma.github.io/Logging_2284/tillsyn/A 54913-2023 tillsynsbegäran.docx", "A 54913-2023")</f>
        <v/>
      </c>
      <c r="AD148">
        <f>HYPERLINK("https://klasma.github.io/Logging_2284/tillsynsmail/A 54913-2023 tillsynsbegäran mail.docx", "A 54913-2023")</f>
        <v/>
      </c>
    </row>
    <row r="149" ht="15" customHeight="1">
      <c r="A149" t="inlineStr">
        <is>
          <t>A 58147-2021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46286</v>
      </c>
      <c r="F149" t="inlineStr">
        <is>
          <t>VÄSTERNORRLANDS LÄN</t>
        </is>
      </c>
      <c r="G149" t="inlineStr">
        <is>
          <t>ÖRNSKÖLDSVIK</t>
        </is>
      </c>
      <c r="I149" t="n">
        <v>6.4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HYPERLINK("https://klasma.github.io/Logging_2284/artfynd/A 58147-2021 artfynd.xlsx", "A 58147-2021")</f>
        <v/>
      </c>
      <c r="X149">
        <f>HYPERLINK("https://klasma.github.io/Logging_2284/kartor/A 58147-2021 karta.png", "A 58147-2021")</f>
        <v/>
      </c>
      <c r="Y149">
        <f>HYPERLINK("https://klasma.github.io/Logging_2284/kartor_geotiff/A 58147-2021 georefererad karta.tif", "A 58147-2021")</f>
        <v/>
      </c>
      <c r="AA149">
        <f>HYPERLINK("https://klasma.github.io/Logging_2284/klagomål/A 58147-2021 FSC-klagomål.docx", "A 58147-2021")</f>
        <v/>
      </c>
      <c r="AB149">
        <f>HYPERLINK("https://klasma.github.io/Logging_2284/klagomålsmail/A 58147-2021 FSC-klagomål mail.docx", "A 58147-2021")</f>
        <v/>
      </c>
      <c r="AC149">
        <f>HYPERLINK("https://klasma.github.io/Logging_2284/tillsyn/A 58147-2021 tillsynsbegäran.docx", "A 58147-2021")</f>
        <v/>
      </c>
      <c r="AD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46286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46286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46286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46286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46286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46286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46286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64642-2023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46286</v>
      </c>
      <c r="F157" t="inlineStr">
        <is>
          <t>VÄSTERNORRLANDS LÄN</t>
        </is>
      </c>
      <c r="G157" t="inlineStr">
        <is>
          <t>ÖRNSKÖLDSVIK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Sotlav</t>
        </is>
      </c>
      <c r="W157">
        <f>HYPERLINK("https://klasma.github.io/Logging_2284/artfynd/A 64642-2023 artfynd.xlsx", "A 64642-2023")</f>
        <v/>
      </c>
      <c r="X157">
        <f>HYPERLINK("https://klasma.github.io/Logging_2284/kartor/A 64642-2023 karta.png", "A 64642-2023")</f>
        <v/>
      </c>
      <c r="Y157">
        <f>HYPERLINK("https://klasma.github.io/Logging_2284/kartor_geotiff/A 64642-2023 georefererad karta.tif", "A 64642-2023")</f>
        <v/>
      </c>
      <c r="AA157">
        <f>HYPERLINK("https://klasma.github.io/Logging_2284/klagomål/A 64642-2023 FSC-klagomål.docx", "A 64642-2023")</f>
        <v/>
      </c>
      <c r="AB157">
        <f>HYPERLINK("https://klasma.github.io/Logging_2284/klagomålsmail/A 64642-2023 FSC-klagomål mail.docx", "A 64642-2023")</f>
        <v/>
      </c>
      <c r="AC157">
        <f>HYPERLINK("https://klasma.github.io/Logging_2284/tillsyn/A 64642-2023 tillsynsbegäran.docx", "A 64642-2023")</f>
        <v/>
      </c>
      <c r="AD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37659-2024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46286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Svart taggsvamp agg.</t>
        </is>
      </c>
      <c r="W158">
        <f>HYPERLINK("https://klasma.github.io/Logging_2284/artfynd/A 37659-2024 artfynd.xlsx", "A 37659-2024")</f>
        <v/>
      </c>
      <c r="X158">
        <f>HYPERLINK("https://klasma.github.io/Logging_2284/kartor/A 37659-2024 karta.png", "A 37659-2024")</f>
        <v/>
      </c>
      <c r="Y158">
        <f>HYPERLINK("https://klasma.github.io/Logging_2284/kartor_geotiff/A 37659-2024 georefererad karta.tif", "A 37659-2024")</f>
        <v/>
      </c>
      <c r="AA158">
        <f>HYPERLINK("https://klasma.github.io/Logging_2284/klagomål/A 37659-2024 FSC-klagomål.docx", "A 37659-2024")</f>
        <v/>
      </c>
      <c r="AB158">
        <f>HYPERLINK("https://klasma.github.io/Logging_2284/klagomålsmail/A 37659-2024 FSC-klagomål mail.docx", "A 37659-2024")</f>
        <v/>
      </c>
      <c r="AC158">
        <f>HYPERLINK("https://klasma.github.io/Logging_2284/tillsyn/A 37659-2024 tillsynsbegäran.docx", "A 37659-2024")</f>
        <v/>
      </c>
      <c r="AD158">
        <f>HYPERLINK("https://klasma.github.io/Logging_2284/tillsynsmail/A 37659-2024 tillsynsbegäran mail.docx", "A 37659-2024")</f>
        <v/>
      </c>
    </row>
    <row r="159" ht="15" customHeight="1">
      <c r="A159" t="inlineStr">
        <is>
          <t>A 21980-2026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46286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Garnlav</t>
        </is>
      </c>
      <c r="W159">
        <f>HYPERLINK("https://klasma.github.io/Logging_2284/artfynd/A 21980-2026 artfynd.xlsx", "A 21980-2026")</f>
        <v/>
      </c>
      <c r="X159">
        <f>HYPERLINK("https://klasma.github.io/Logging_2284/kartor/A 21980-2026 karta.png", "A 21980-2026")</f>
        <v/>
      </c>
      <c r="Y159">
        <f>HYPERLINK("https://klasma.github.io/Logging_2284/kartor_geotiff/A 21980-2026 georefererad karta.tif", "A 21980-2026")</f>
        <v/>
      </c>
      <c r="AA159">
        <f>HYPERLINK("https://klasma.github.io/Logging_2284/klagomål/A 21980-2026 FSC-klagomål.docx", "A 21980-2026")</f>
        <v/>
      </c>
      <c r="AB159">
        <f>HYPERLINK("https://klasma.github.io/Logging_2284/klagomålsmail/A 21980-2026 FSC-klagomål mail.docx", "A 21980-2026")</f>
        <v/>
      </c>
      <c r="AC159">
        <f>HYPERLINK("https://klasma.github.io/Logging_2284/tillsyn/A 21980-2026 tillsynsbegäran.docx", "A 21980-2026")</f>
        <v/>
      </c>
      <c r="AD159">
        <f>HYPERLINK("https://klasma.github.io/Logging_2284/tillsynsmail/A 21980-2026 tillsynsbegäran mail.docx", "A 21980-2026")</f>
        <v/>
      </c>
    </row>
    <row r="160" ht="15" customHeight="1">
      <c r="A160" t="inlineStr">
        <is>
          <t>A 23613-2026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46286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23613-2026 artfynd.xlsx", "A 23613-2026")</f>
        <v/>
      </c>
      <c r="X160">
        <f>HYPERLINK("https://klasma.github.io/Logging_2284/kartor/A 23613-2026 karta.png", "A 23613-2026")</f>
        <v/>
      </c>
      <c r="Y160">
        <f>HYPERLINK("https://klasma.github.io/Logging_2284/kartor_geotiff/A 23613-2026 georefererad karta.tif", "A 23613-2026")</f>
        <v/>
      </c>
      <c r="AA160">
        <f>HYPERLINK("https://klasma.github.io/Logging_2284/klagomål/A 23613-2026 FSC-klagomål.docx", "A 23613-2026")</f>
        <v/>
      </c>
      <c r="AB160">
        <f>HYPERLINK("https://klasma.github.io/Logging_2284/klagomålsmail/A 23613-2026 FSC-klagomål mail.docx", "A 23613-2026")</f>
        <v/>
      </c>
      <c r="AC160">
        <f>HYPERLINK("https://klasma.github.io/Logging_2284/tillsyn/A 23613-2026 tillsynsbegäran.docx", "A 23613-2026")</f>
        <v/>
      </c>
      <c r="AD160">
        <f>HYPERLINK("https://klasma.github.io/Logging_2284/tillsynsmail/A 23613-2026 tillsynsbegäran mail.docx", "A 23613-2026")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46286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46286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63349-2025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46286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Vågbandad barkbock</t>
        </is>
      </c>
      <c r="W163">
        <f>HYPERLINK("https://klasma.github.io/Logging_2284/artfynd/A 63349-2025 artfynd.xlsx", "A 63349-2025")</f>
        <v/>
      </c>
      <c r="X163">
        <f>HYPERLINK("https://klasma.github.io/Logging_2284/kartor/A 63349-2025 karta.png", "A 63349-2025")</f>
        <v/>
      </c>
      <c r="Y163">
        <f>HYPERLINK("https://klasma.github.io/Logging_2284/kartor_geotiff/A 63349-2025 georefererad karta.tif", "A 63349-2025")</f>
        <v/>
      </c>
      <c r="AA163">
        <f>HYPERLINK("https://klasma.github.io/Logging_2284/klagomål/A 63349-2025 FSC-klagomål.docx", "A 63349-2025")</f>
        <v/>
      </c>
      <c r="AB163">
        <f>HYPERLINK("https://klasma.github.io/Logging_2284/klagomålsmail/A 63349-2025 FSC-klagomål mail.docx", "A 63349-2025")</f>
        <v/>
      </c>
      <c r="AC163">
        <f>HYPERLINK("https://klasma.github.io/Logging_2284/tillsyn/A 63349-2025 tillsynsbegäran.docx", "A 63349-2025")</f>
        <v/>
      </c>
      <c r="AD163">
        <f>HYPERLINK("https://klasma.github.io/Logging_2284/tillsynsmail/A 63349-2025 tillsynsbegäran mail.docx", "A 63349-2025")</f>
        <v/>
      </c>
    </row>
    <row r="164" ht="15" customHeight="1">
      <c r="A164" t="inlineStr">
        <is>
          <t>A 31647-2023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45105</v>
      </c>
      <c r="E164" s="1" t="n">
        <v>46286</v>
      </c>
      <c r="F164" t="inlineStr">
        <is>
          <t>VÄSTERNORRLANDS LÄN</t>
        </is>
      </c>
      <c r="G164" t="inlineStr">
        <is>
          <t>ÖRNSKÖLDSVIK</t>
        </is>
      </c>
      <c r="I164" t="n">
        <v>2.7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Kungsörn</t>
        </is>
      </c>
      <c r="W164">
        <f>HYPERLINK("https://klasma.github.io/Logging_2284/artfynd/A 31647-2023 artfynd.xlsx", "A 31647-2023")</f>
        <v/>
      </c>
      <c r="X164">
        <f>HYPERLINK("https://klasma.github.io/Logging_2284/kartor/A 31647-2023 karta.png", "A 31647-2023")</f>
        <v/>
      </c>
      <c r="Y164">
        <f>HYPERLINK("https://klasma.github.io/Logging_2284/kartor_geotiff/A 31647-2023 georefererad karta.tif", "A 31647-2023")</f>
        <v/>
      </c>
      <c r="AA164">
        <f>HYPERLINK("https://klasma.github.io/Logging_2284/klagomål/A 31647-2023 FSC-klagomål.docx", "A 31647-2023")</f>
        <v/>
      </c>
      <c r="AB164">
        <f>HYPERLINK("https://klasma.github.io/Logging_2284/klagomålsmail/A 31647-2023 FSC-klagomål mail.docx", "A 31647-2023")</f>
        <v/>
      </c>
      <c r="AC164">
        <f>HYPERLINK("https://klasma.github.io/Logging_2284/tillsyn/A 31647-2023 tillsynsbegäran.docx", "A 31647-2023")</f>
        <v/>
      </c>
      <c r="AD164">
        <f>HYPERLINK("https://klasma.github.io/Logging_2284/tillsynsmail/A 31647-2023 tillsynsbegäran mail.docx", "A 31647-2023")</f>
        <v/>
      </c>
      <c r="AE164">
        <f>HYPERLINK("https://klasma.github.io/Logging_2284/fåglar/A 31647-2023 prioriterade fågelarter.docx", "A 31647-2023")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46286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46286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27406-2026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46286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HYPERLINK("https://klasma.github.io/Logging_2284/artfynd/A 27406-2026 artfynd.xlsx", "A 27406-2026")</f>
        <v/>
      </c>
      <c r="X167">
        <f>HYPERLINK("https://klasma.github.io/Logging_2284/kartor/A 27406-2026 karta.png", "A 27406-2026")</f>
        <v/>
      </c>
      <c r="Y167">
        <f>HYPERLINK("https://klasma.github.io/Logging_2284/kartor_geotiff/A 27406-2026 georefererad karta.tif", "A 27406-2026")</f>
        <v/>
      </c>
      <c r="AA167">
        <f>HYPERLINK("https://klasma.github.io/Logging_2284/klagomål/A 27406-2026 FSC-klagomål.docx", "A 27406-2026")</f>
        <v/>
      </c>
      <c r="AB167">
        <f>HYPERLINK("https://klasma.github.io/Logging_2284/klagomålsmail/A 27406-2026 FSC-klagomål mail.docx", "A 27406-2026")</f>
        <v/>
      </c>
      <c r="AC167">
        <f>HYPERLINK("https://klasma.github.io/Logging_2284/tillsyn/A 27406-2026 tillsynsbegäran.docx", "A 27406-2026")</f>
        <v/>
      </c>
      <c r="AD167">
        <f>HYPERLINK("https://klasma.github.io/Logging_2284/tillsynsmail/A 27406-2026 tillsynsbegäran mail.docx", "A 27406-2026")</f>
        <v/>
      </c>
    </row>
    <row r="168" ht="15" customHeight="1">
      <c r="A168" t="inlineStr">
        <is>
          <t>A 24808-2024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46286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1.7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Kungsörn</t>
        </is>
      </c>
      <c r="W168">
        <f>HYPERLINK("https://klasma.github.io/Logging_2284/artfynd/A 24808-2024 artfynd.xlsx", "A 24808-2024")</f>
        <v/>
      </c>
      <c r="X168">
        <f>HYPERLINK("https://klasma.github.io/Logging_2284/kartor/A 24808-2024 karta.png", "A 24808-2024")</f>
        <v/>
      </c>
      <c r="Y168">
        <f>HYPERLINK("https://klasma.github.io/Logging_2284/kartor_geotiff/A 24808-2024 georefererad karta.tif", "A 24808-2024")</f>
        <v/>
      </c>
      <c r="AA168">
        <f>HYPERLINK("https://klasma.github.io/Logging_2284/klagomål/A 24808-2024 FSC-klagomål.docx", "A 24808-2024")</f>
        <v/>
      </c>
      <c r="AB168">
        <f>HYPERLINK("https://klasma.github.io/Logging_2284/klagomålsmail/A 24808-2024 FSC-klagomål mail.docx", "A 24808-2024")</f>
        <v/>
      </c>
      <c r="AC168">
        <f>HYPERLINK("https://klasma.github.io/Logging_2284/tillsyn/A 24808-2024 tillsynsbegäran.docx", "A 24808-2024")</f>
        <v/>
      </c>
      <c r="AD168">
        <f>HYPERLINK("https://klasma.github.io/Logging_2284/tillsynsmail/A 24808-2024 tillsynsbegäran mail.docx", "A 24808-2024")</f>
        <v/>
      </c>
      <c r="AE168">
        <f>HYPERLINK("https://klasma.github.io/Logging_2284/fåglar/A 24808-2024 prioriterade fågelarter.docx", "A 24808-2024")</f>
        <v/>
      </c>
    </row>
    <row r="169" ht="15" customHeight="1">
      <c r="A169" t="inlineStr">
        <is>
          <t>A 16225-2026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46286</v>
      </c>
      <c r="F169" t="inlineStr">
        <is>
          <t>VÄSTERNORRLANDS LÄN</t>
        </is>
      </c>
      <c r="G169" t="inlineStr">
        <is>
          <t>ÖRNSKÖLDSVIK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16225-2026 artfynd.xlsx", "A 16225-2026")</f>
        <v/>
      </c>
      <c r="X169">
        <f>HYPERLINK("https://klasma.github.io/Logging_2284/kartor/A 16225-2026 karta.png", "A 16225-2026")</f>
        <v/>
      </c>
      <c r="Y169">
        <f>HYPERLINK("https://klasma.github.io/Logging_2284/kartor_geotiff/A 16225-2026 georefererad karta.tif", "A 16225-2026")</f>
        <v/>
      </c>
      <c r="AA169">
        <f>HYPERLINK("https://klasma.github.io/Logging_2284/klagomål/A 16225-2026 FSC-klagomål.docx", "A 16225-2026")</f>
        <v/>
      </c>
      <c r="AB169">
        <f>HYPERLINK("https://klasma.github.io/Logging_2284/klagomålsmail/A 16225-2026 FSC-klagomål mail.docx", "A 16225-2026")</f>
        <v/>
      </c>
      <c r="AC169">
        <f>HYPERLINK("https://klasma.github.io/Logging_2284/tillsyn/A 16225-2026 tillsynsbegäran.docx", "A 16225-2026")</f>
        <v/>
      </c>
      <c r="AD169">
        <f>HYPERLINK("https://klasma.github.io/Logging_2284/tillsynsmail/A 16225-2026 tillsynsbegäran mail.docx", "A 16225-2026")</f>
        <v/>
      </c>
    </row>
    <row r="170" ht="15" customHeight="1">
      <c r="A170" t="inlineStr">
        <is>
          <t>A 47067-2022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46286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47067-2022 artfynd.xlsx", "A 47067-2022")</f>
        <v/>
      </c>
      <c r="X170">
        <f>HYPERLINK("https://klasma.github.io/Logging_2284/kartor/A 47067-2022 karta.png", "A 47067-2022")</f>
        <v/>
      </c>
      <c r="Y170">
        <f>HYPERLINK("https://klasma.github.io/Logging_2284/kartor_geotiff/A 47067-2022 georefererad karta.tif", "A 47067-2022")</f>
        <v/>
      </c>
      <c r="AA170">
        <f>HYPERLINK("https://klasma.github.io/Logging_2284/klagomål/A 47067-2022 FSC-klagomål.docx", "A 47067-2022")</f>
        <v/>
      </c>
      <c r="AB170">
        <f>HYPERLINK("https://klasma.github.io/Logging_2284/klagomålsmail/A 47067-2022 FSC-klagomål mail.docx", "A 47067-2022")</f>
        <v/>
      </c>
      <c r="AC170">
        <f>HYPERLINK("https://klasma.github.io/Logging_2284/tillsyn/A 47067-2022 tillsynsbegäran.docx", "A 47067-2022")</f>
        <v/>
      </c>
      <c r="AD170">
        <f>HYPERLINK("https://klasma.github.io/Logging_2284/tillsynsmail/A 47067-2022 tillsynsbegäran mail.docx", "A 47067-2022")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46286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19636-2026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46286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19636-2026 artfynd.xlsx", "A 19636-2026")</f>
        <v/>
      </c>
      <c r="X172">
        <f>HYPERLINK("https://klasma.github.io/Logging_2284/kartor/A 19636-2026 karta.png", "A 19636-2026")</f>
        <v/>
      </c>
      <c r="Y172">
        <f>HYPERLINK("https://klasma.github.io/Logging_2284/kartor_geotiff/A 19636-2026 georefererad karta.tif", "A 19636-2026")</f>
        <v/>
      </c>
      <c r="AA172">
        <f>HYPERLINK("https://klasma.github.io/Logging_2284/klagomål/A 19636-2026 FSC-klagomål.docx", "A 19636-2026")</f>
        <v/>
      </c>
      <c r="AB172">
        <f>HYPERLINK("https://klasma.github.io/Logging_2284/klagomålsmail/A 19636-2026 FSC-klagomål mail.docx", "A 19636-2026")</f>
        <v/>
      </c>
      <c r="AC172">
        <f>HYPERLINK("https://klasma.github.io/Logging_2284/tillsyn/A 19636-2026 tillsynsbegäran.docx", "A 19636-2026")</f>
        <v/>
      </c>
      <c r="AD172">
        <f>HYPERLINK("https://klasma.github.io/Logging_2284/tillsynsmail/A 19636-2026 tillsynsbegäran mail.docx", "A 19636-2026")</f>
        <v/>
      </c>
    </row>
    <row r="173" ht="15" customHeight="1">
      <c r="A173" t="inlineStr">
        <is>
          <t>A 33212-2026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46286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7.2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HYPERLINK("https://klasma.github.io/Logging_2284/artfynd/A 33212-2026 artfynd.xlsx", "A 33212-2026")</f>
        <v/>
      </c>
      <c r="X173">
        <f>HYPERLINK("https://klasma.github.io/Logging_2284/kartor/A 33212-2026 karta.png", "A 33212-2026")</f>
        <v/>
      </c>
      <c r="Y173">
        <f>HYPERLINK("https://klasma.github.io/Logging_2284/kartor_geotiff/A 33212-2026 georefererad karta.tif", "A 33212-2026")</f>
        <v/>
      </c>
      <c r="AA173">
        <f>HYPERLINK("https://klasma.github.io/Logging_2284/klagomål/A 33212-2026 FSC-klagomål.docx", "A 33212-2026")</f>
        <v/>
      </c>
      <c r="AB173">
        <f>HYPERLINK("https://klasma.github.io/Logging_2284/klagomålsmail/A 33212-2026 FSC-klagomål mail.docx", "A 33212-2026")</f>
        <v/>
      </c>
      <c r="AC173">
        <f>HYPERLINK("https://klasma.github.io/Logging_2284/tillsyn/A 33212-2026 tillsynsbegäran.docx", "A 33212-2026")</f>
        <v/>
      </c>
      <c r="AD173">
        <f>HYPERLINK("https://klasma.github.io/Logging_2284/tillsynsmail/A 33212-2026 tillsynsbegäran mail.docx", "A 33212-2026")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46286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32524-2024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46286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HYPERLINK("https://klasma.github.io/Logging_2284/artfynd/A 32524-2024 artfynd.xlsx", "A 32524-2024")</f>
        <v/>
      </c>
      <c r="X175">
        <f>HYPERLINK("https://klasma.github.io/Logging_2284/kartor/A 32524-2024 karta.png", "A 32524-2024")</f>
        <v/>
      </c>
      <c r="Y175">
        <f>HYPERLINK("https://klasma.github.io/Logging_2284/kartor_geotiff/A 32524-2024 georefererad karta.tif", "A 32524-2024")</f>
        <v/>
      </c>
      <c r="AA175">
        <f>HYPERLINK("https://klasma.github.io/Logging_2284/klagomål/A 32524-2024 FSC-klagomål.docx", "A 32524-2024")</f>
        <v/>
      </c>
      <c r="AB175">
        <f>HYPERLINK("https://klasma.github.io/Logging_2284/klagomålsmail/A 32524-2024 FSC-klagomål mail.docx", "A 32524-2024")</f>
        <v/>
      </c>
      <c r="AC175">
        <f>HYPERLINK("https://klasma.github.io/Logging_2284/tillsyn/A 32524-2024 tillsynsbegäran.docx", "A 32524-2024")</f>
        <v/>
      </c>
      <c r="AD175">
        <f>HYPERLINK("https://klasma.github.io/Logging_2284/tillsynsmail/A 32524-2024 tillsynsbegäran mail.docx", "A 32524-2024")</f>
        <v/>
      </c>
    </row>
    <row r="176" ht="15" customHeight="1">
      <c r="A176" t="inlineStr">
        <is>
          <t>A 48886-2024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46286</v>
      </c>
      <c r="F176" t="inlineStr">
        <is>
          <t>VÄSTERNORRLANDS LÄN</t>
        </is>
      </c>
      <c r="G176" t="inlineStr">
        <is>
          <t>ÖRNSKÖLDSVIK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Lunglav</t>
        </is>
      </c>
      <c r="W176">
        <f>HYPERLINK("https://klasma.github.io/Logging_2284/artfynd/A 48886-2024 artfynd.xlsx", "A 48886-2024")</f>
        <v/>
      </c>
      <c r="X176">
        <f>HYPERLINK("https://klasma.github.io/Logging_2284/kartor/A 48886-2024 karta.png", "A 48886-2024")</f>
        <v/>
      </c>
      <c r="Y176">
        <f>HYPERLINK("https://klasma.github.io/Logging_2284/kartor_geotiff/A 48886-2024 georefererad karta.tif", "A 48886-2024")</f>
        <v/>
      </c>
      <c r="AA176">
        <f>HYPERLINK("https://klasma.github.io/Logging_2284/klagomål/A 48886-2024 FSC-klagomål.docx", "A 48886-2024")</f>
        <v/>
      </c>
      <c r="AB176">
        <f>HYPERLINK("https://klasma.github.io/Logging_2284/klagomålsmail/A 48886-2024 FSC-klagomål mail.docx", "A 48886-2024")</f>
        <v/>
      </c>
      <c r="AC176">
        <f>HYPERLINK("https://klasma.github.io/Logging_2284/tillsyn/A 48886-2024 tillsynsbegäran.docx", "A 48886-2024")</f>
        <v/>
      </c>
      <c r="AD176">
        <f>HYPERLINK("https://klasma.github.io/Logging_2284/tillsynsmail/A 48886-2024 tillsynsbegäran mail.docx", "A 48886-2024")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46286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46286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46286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46286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35747-2026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46286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5.4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Ögonpyrola</t>
        </is>
      </c>
      <c r="W181">
        <f>HYPERLINK("https://klasma.github.io/Logging_2284/artfynd/A 35747-2026 artfynd.xlsx", "A 35747-2026")</f>
        <v/>
      </c>
      <c r="X181">
        <f>HYPERLINK("https://klasma.github.io/Logging_2284/kartor/A 35747-2026 karta.png", "A 35747-2026")</f>
        <v/>
      </c>
      <c r="Y181">
        <f>HYPERLINK("https://klasma.github.io/Logging_2284/kartor_geotiff/A 35747-2026 georefererad karta.tif", "A 35747-2026")</f>
        <v/>
      </c>
      <c r="AA181">
        <f>HYPERLINK("https://klasma.github.io/Logging_2284/klagomål/A 35747-2026 FSC-klagomål.docx", "A 35747-2026")</f>
        <v/>
      </c>
      <c r="AB181">
        <f>HYPERLINK("https://klasma.github.io/Logging_2284/klagomålsmail/A 35747-2026 FSC-klagomål mail.docx", "A 35747-2026")</f>
        <v/>
      </c>
      <c r="AC181">
        <f>HYPERLINK("https://klasma.github.io/Logging_2284/tillsyn/A 35747-2026 tillsynsbegäran.docx", "A 35747-2026")</f>
        <v/>
      </c>
      <c r="AD181">
        <f>HYPERLINK("https://klasma.github.io/Logging_2284/tillsynsmail/A 35747-2026 tillsynsbegäran mail.docx", "A 35747-2026")</f>
        <v/>
      </c>
    </row>
    <row r="182" ht="15" customHeight="1">
      <c r="A182" t="inlineStr">
        <is>
          <t>A 35957-2026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46286</v>
      </c>
      <c r="F182" t="inlineStr">
        <is>
          <t>VÄSTERNORRLANDS LÄN</t>
        </is>
      </c>
      <c r="G182" t="inlineStr">
        <is>
          <t>ÖRNSKÖLDSVIK</t>
        </is>
      </c>
      <c r="I182" t="n">
        <v>0.8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Rödvingetrast</t>
        </is>
      </c>
      <c r="W182">
        <f>HYPERLINK("https://klasma.github.io/Logging_2284/artfynd/A 35957-2026 artfynd.xlsx", "A 35957-2026")</f>
        <v/>
      </c>
      <c r="X182">
        <f>HYPERLINK("https://klasma.github.io/Logging_2284/kartor/A 35957-2026 karta.png", "A 35957-2026")</f>
        <v/>
      </c>
      <c r="Y182">
        <f>HYPERLINK("https://klasma.github.io/Logging_2284/kartor_geotiff/A 35957-2026 georefererad karta.tif", "A 35957-2026")</f>
        <v/>
      </c>
      <c r="AA182">
        <f>HYPERLINK("https://klasma.github.io/Logging_2284/klagomål/A 35957-2026 FSC-klagomål.docx", "A 35957-2026")</f>
        <v/>
      </c>
      <c r="AB182">
        <f>HYPERLINK("https://klasma.github.io/Logging_2284/klagomålsmail/A 35957-2026 FSC-klagomål mail.docx", "A 35957-2026")</f>
        <v/>
      </c>
      <c r="AC182">
        <f>HYPERLINK("https://klasma.github.io/Logging_2284/tillsyn/A 35957-2026 tillsynsbegäran.docx", "A 35957-2026")</f>
        <v/>
      </c>
      <c r="AD182">
        <f>HYPERLINK("https://klasma.github.io/Logging_2284/tillsynsmail/A 35957-2026 tillsynsbegäran mail.docx", "A 35957-2026")</f>
        <v/>
      </c>
      <c r="AE182">
        <f>HYPERLINK("https://klasma.github.io/Logging_2284/fåglar/A 35957-2026 prioriterade fågelarter.docx", "A 35957-2026")</f>
        <v/>
      </c>
    </row>
    <row r="183" ht="15" customHeight="1">
      <c r="A183" t="inlineStr">
        <is>
          <t>A 31487-2026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46223</v>
      </c>
      <c r="E183" s="1" t="n">
        <v>46286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5.7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Stjärntagging</t>
        </is>
      </c>
      <c r="W183">
        <f>HYPERLINK("https://klasma.github.io/Logging_2284/artfynd/A 31487-2026 artfynd.xlsx", "A 31487-2026")</f>
        <v/>
      </c>
      <c r="X183">
        <f>HYPERLINK("https://klasma.github.io/Logging_2284/kartor/A 31487-2026 karta.png", "A 31487-2026")</f>
        <v/>
      </c>
      <c r="Y183">
        <f>HYPERLINK("https://klasma.github.io/Logging_2284/kartor_geotiff/A 31487-2026 georefererad karta.tif", "A 31487-2026")</f>
        <v/>
      </c>
      <c r="AA183">
        <f>HYPERLINK("https://klasma.github.io/Logging_2284/klagomål/A 31487-2026 FSC-klagomål.docx", "A 31487-2026")</f>
        <v/>
      </c>
      <c r="AB183">
        <f>HYPERLINK("https://klasma.github.io/Logging_2284/klagomålsmail/A 31487-2026 FSC-klagomål mail.docx", "A 31487-2026")</f>
        <v/>
      </c>
      <c r="AC183">
        <f>HYPERLINK("https://klasma.github.io/Logging_2284/tillsyn/A 31487-2026 tillsynsbegäran.docx", "A 31487-2026")</f>
        <v/>
      </c>
      <c r="AD183">
        <f>HYPERLINK("https://klasma.github.io/Logging_2284/tillsynsmail/A 31487-2026 tillsynsbegäran mail.docx", "A 31487-2026")</f>
        <v/>
      </c>
    </row>
    <row r="184" ht="15" customHeight="1">
      <c r="A184" t="inlineStr">
        <is>
          <t>A 33890-2026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46286</v>
      </c>
      <c r="F184" t="inlineStr">
        <is>
          <t>VÄSTERNORRLANDS LÄN</t>
        </is>
      </c>
      <c r="G184" t="inlineStr">
        <is>
          <t>ÖRNSKÖLDSVIK</t>
        </is>
      </c>
      <c r="I184" t="n">
        <v>0.9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Tibast</t>
        </is>
      </c>
      <c r="W184">
        <f>HYPERLINK("https://klasma.github.io/Logging_2284/artfynd/A 33890-2026 artfynd.xlsx", "A 33890-2026")</f>
        <v/>
      </c>
      <c r="X184">
        <f>HYPERLINK("https://klasma.github.io/Logging_2284/kartor/A 33890-2026 karta.png", "A 33890-2026")</f>
        <v/>
      </c>
      <c r="Y184">
        <f>HYPERLINK("https://klasma.github.io/Logging_2284/kartor_geotiff/A 33890-2026 georefererad karta.tif", "A 33890-2026")</f>
        <v/>
      </c>
      <c r="AA184">
        <f>HYPERLINK("https://klasma.github.io/Logging_2284/klagomål/A 33890-2026 FSC-klagomål.docx", "A 33890-2026")</f>
        <v/>
      </c>
      <c r="AB184">
        <f>HYPERLINK("https://klasma.github.io/Logging_2284/klagomålsmail/A 33890-2026 FSC-klagomål mail.docx", "A 33890-2026")</f>
        <v/>
      </c>
      <c r="AC184">
        <f>HYPERLINK("https://klasma.github.io/Logging_2284/tillsyn/A 33890-2026 tillsynsbegäran.docx", "A 33890-2026")</f>
        <v/>
      </c>
      <c r="AD184">
        <f>HYPERLINK("https://klasma.github.io/Logging_2284/tillsynsmail/A 33890-2026 tillsynsbegäran mail.docx", "A 33890-2026")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46286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A 37133-2026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46286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37133-2026 artfynd.xlsx", "A 37133-2026")</f>
        <v/>
      </c>
      <c r="X186">
        <f>HYPERLINK("https://klasma.github.io/Logging_2284/kartor/A 37133-2026 karta.png", "A 37133-2026")</f>
        <v/>
      </c>
      <c r="Y186">
        <f>HYPERLINK("https://klasma.github.io/Logging_2284/kartor_geotiff/A 37133-2026 georefererad karta.tif", "A 37133-2026")</f>
        <v/>
      </c>
      <c r="AA186">
        <f>HYPERLINK("https://klasma.github.io/Logging_2284/klagomål/A 37133-2026 FSC-klagomål.docx", "A 37133-2026")</f>
        <v/>
      </c>
      <c r="AB186">
        <f>HYPERLINK("https://klasma.github.io/Logging_2284/klagomålsmail/A 37133-2026 FSC-klagomål mail.docx", "A 37133-2026")</f>
        <v/>
      </c>
      <c r="AC186">
        <f>HYPERLINK("https://klasma.github.io/Logging_2284/tillsyn/A 37133-2026 tillsynsbegäran.docx", "A 37133-2026")</f>
        <v/>
      </c>
      <c r="AD186">
        <f>HYPERLINK("https://klasma.github.io/Logging_2284/tillsynsmail/A 37133-2026 tillsynsbegäran mail.docx", "A 37133-2026")</f>
        <v/>
      </c>
    </row>
    <row r="187" ht="15" customHeight="1">
      <c r="A187" t="inlineStr">
        <is>
          <t>A 32101-2026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46234</v>
      </c>
      <c r="E187" s="1" t="n">
        <v>46286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HYPERLINK("https://klasma.github.io/Logging_2284/artfynd/A 32101-2026 artfynd.xlsx", "A 32101-2026")</f>
        <v/>
      </c>
      <c r="X187">
        <f>HYPERLINK("https://klasma.github.io/Logging_2284/kartor/A 32101-2026 karta.png", "A 32101-2026")</f>
        <v/>
      </c>
      <c r="Y187">
        <f>HYPERLINK("https://klasma.github.io/Logging_2284/kartor_geotiff/A 32101-2026 georefererad karta.tif", "A 32101-2026")</f>
        <v/>
      </c>
      <c r="AA187">
        <f>HYPERLINK("https://klasma.github.io/Logging_2284/klagomål/A 32101-2026 FSC-klagomål.docx", "A 32101-2026")</f>
        <v/>
      </c>
      <c r="AB187">
        <f>HYPERLINK("https://klasma.github.io/Logging_2284/klagomålsmail/A 32101-2026 FSC-klagomål mail.docx", "A 32101-2026")</f>
        <v/>
      </c>
      <c r="AC187">
        <f>HYPERLINK("https://klasma.github.io/Logging_2284/tillsyn/A 32101-2026 tillsynsbegäran.docx", "A 32101-2026")</f>
        <v/>
      </c>
      <c r="AD187">
        <f>HYPERLINK("https://klasma.github.io/Logging_2284/tillsynsmail/A 32101-2026 tillsynsbegäran mail.docx", "A 32101-2026")</f>
        <v/>
      </c>
    </row>
    <row r="188" ht="15" customHeight="1">
      <c r="A188" t="inlineStr">
        <is>
          <t>A 38147-2026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46286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10.9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Dvärgbägarlav</t>
        </is>
      </c>
      <c r="W188">
        <f>HYPERLINK("https://klasma.github.io/Logging_2284/artfynd/A 38147-2026 artfynd.xlsx", "A 38147-2026")</f>
        <v/>
      </c>
      <c r="X188">
        <f>HYPERLINK("https://klasma.github.io/Logging_2284/kartor/A 38147-2026 karta.png", "A 38147-2026")</f>
        <v/>
      </c>
      <c r="Y188">
        <f>HYPERLINK("https://klasma.github.io/Logging_2284/kartor_geotiff/A 38147-2026 georefererad karta.tif", "A 38147-2026")</f>
        <v/>
      </c>
      <c r="AA188">
        <f>HYPERLINK("https://klasma.github.io/Logging_2284/klagomål/A 38147-2026 FSC-klagomål.docx", "A 38147-2026")</f>
        <v/>
      </c>
      <c r="AB188">
        <f>HYPERLINK("https://klasma.github.io/Logging_2284/klagomålsmail/A 38147-2026 FSC-klagomål mail.docx", "A 38147-2026")</f>
        <v/>
      </c>
      <c r="AC188">
        <f>HYPERLINK("https://klasma.github.io/Logging_2284/tillsyn/A 38147-2026 tillsynsbegäran.docx", "A 38147-2026")</f>
        <v/>
      </c>
      <c r="AD188">
        <f>HYPERLINK("https://klasma.github.io/Logging_2284/tillsynsmail/A 38147-2026 tillsynsbegäran mail.docx", "A 38147-2026")</f>
        <v/>
      </c>
    </row>
    <row r="189" ht="15" customHeight="1">
      <c r="A189" t="inlineStr">
        <is>
          <t>A 26400-2025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46286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26400-2025 artfynd.xlsx", "A 26400-2025")</f>
        <v/>
      </c>
      <c r="X189">
        <f>HYPERLINK("https://klasma.github.io/Logging_2284/kartor/A 26400-2025 karta.png", "A 26400-2025")</f>
        <v/>
      </c>
      <c r="Y189">
        <f>HYPERLINK("https://klasma.github.io/Logging_2284/kartor_geotiff/A 26400-2025 georefererad karta.tif", "A 26400-2025")</f>
        <v/>
      </c>
      <c r="AA189">
        <f>HYPERLINK("https://klasma.github.io/Logging_2284/klagomål/A 26400-2025 FSC-klagomål.docx", "A 26400-2025")</f>
        <v/>
      </c>
      <c r="AB189">
        <f>HYPERLINK("https://klasma.github.io/Logging_2284/klagomålsmail/A 26400-2025 FSC-klagomål mail.docx", "A 26400-2025")</f>
        <v/>
      </c>
      <c r="AC189">
        <f>HYPERLINK("https://klasma.github.io/Logging_2284/tillsyn/A 26400-2025 tillsynsbegäran.docx", "A 26400-2025")</f>
        <v/>
      </c>
      <c r="AD189">
        <f>HYPERLINK("https://klasma.github.io/Logging_2284/tillsynsmail/A 26400-2025 tillsynsbegäran mail.docx", "A 26400-2025")</f>
        <v/>
      </c>
    </row>
    <row r="190" ht="15" customHeight="1">
      <c r="A190" t="inlineStr">
        <is>
          <t>A 6419-2024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46286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Ullticka</t>
        </is>
      </c>
      <c r="W190">
        <f>HYPERLINK("https://klasma.github.io/Logging_2284/artfynd/A 6419-2024 artfynd.xlsx", "A 6419-2024")</f>
        <v/>
      </c>
      <c r="X190">
        <f>HYPERLINK("https://klasma.github.io/Logging_2284/kartor/A 6419-2024 karta.png", "A 6419-2024")</f>
        <v/>
      </c>
      <c r="Y190">
        <f>HYPERLINK("https://klasma.github.io/Logging_2284/kartor_geotiff/A 6419-2024 georefererad karta.tif", "A 6419-2024")</f>
        <v/>
      </c>
      <c r="Z190">
        <f>HYPERLINK("https://klasma.github.io/Logging_2284/knärot/A 6419-2024 karta knärot.png", "A 6419-2024")</f>
        <v/>
      </c>
      <c r="AA190">
        <f>HYPERLINK("https://klasma.github.io/Logging_2284/klagomål/A 6419-2024 FSC-klagomål.docx", "A 6419-2024")</f>
        <v/>
      </c>
      <c r="AB190">
        <f>HYPERLINK("https://klasma.github.io/Logging_2284/klagomålsmail/A 6419-2024 FSC-klagomål mail.docx", "A 6419-2024")</f>
        <v/>
      </c>
      <c r="AC190">
        <f>HYPERLINK("https://klasma.github.io/Logging_2284/tillsyn/A 6419-2024 tillsynsbegäran.docx", "A 6419-2024")</f>
        <v/>
      </c>
      <c r="AD190">
        <f>HYPERLINK("https://klasma.github.io/Logging_2284/tillsynsmail/A 6419-2024 tillsynsbegäran mail.docx", "A 6419-2024")</f>
        <v/>
      </c>
    </row>
    <row r="191" ht="15" customHeight="1">
      <c r="A191" t="inlineStr">
        <is>
          <t>A 38362-2025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46286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1.6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Ullticka</t>
        </is>
      </c>
      <c r="W191">
        <f>HYPERLINK("https://klasma.github.io/Logging_2284/artfynd/A 38362-2025 artfynd.xlsx", "A 38362-2025")</f>
        <v/>
      </c>
      <c r="X191">
        <f>HYPERLINK("https://klasma.github.io/Logging_2284/kartor/A 38362-2025 karta.png", "A 38362-2025")</f>
        <v/>
      </c>
      <c r="Y191">
        <f>HYPERLINK("https://klasma.github.io/Logging_2284/kartor_geotiff/A 38362-2025 georefererad karta.tif", "A 38362-2025")</f>
        <v/>
      </c>
      <c r="AA191">
        <f>HYPERLINK("https://klasma.github.io/Logging_2284/klagomål/A 38362-2025 FSC-klagomål.docx", "A 38362-2025")</f>
        <v/>
      </c>
      <c r="AB191">
        <f>HYPERLINK("https://klasma.github.io/Logging_2284/klagomålsmail/A 38362-2025 FSC-klagomål mail.docx", "A 38362-2025")</f>
        <v/>
      </c>
      <c r="AC191">
        <f>HYPERLINK("https://klasma.github.io/Logging_2284/tillsyn/A 38362-2025 tillsynsbegäran.docx", "A 38362-2025")</f>
        <v/>
      </c>
      <c r="AD191">
        <f>HYPERLINK("https://klasma.github.io/Logging_2284/tillsynsmail/A 38362-2025 tillsynsbegäran mail.docx", "A 38362-2025")</f>
        <v/>
      </c>
    </row>
    <row r="192" ht="15" customHeight="1">
      <c r="A192" t="inlineStr">
        <is>
          <t>S 9825-2021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44531</v>
      </c>
      <c r="E192" s="1" t="n">
        <v>46286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1303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Öring</t>
        </is>
      </c>
      <c r="W192">
        <f>HYPERLINK("https://klasma.github.io/Logging_2284/artfynd/S 9825-2021 artfynd.xlsx", "S 9825-2021")</f>
        <v/>
      </c>
      <c r="X192">
        <f>HYPERLINK("https://klasma.github.io/Logging_2284/kartor/S 9825-2021 karta.png", "S 9825-2021")</f>
        <v/>
      </c>
      <c r="Y192">
        <f>HYPERLINK("https://klasma.github.io/Logging_2284/kartor_geotiff/S 9825-2021 georefererad karta.tif", "S 9825-2021")</f>
        <v/>
      </c>
      <c r="AA192">
        <f>HYPERLINK("https://klasma.github.io/Logging_2284/klagomål/S 9825-2021 FSC-klagomål.docx", "S 9825-2021")</f>
        <v/>
      </c>
      <c r="AB192">
        <f>HYPERLINK("https://klasma.github.io/Logging_2284/klagomålsmail/S 9825-2021 FSC-klagomål mail.docx", "S 9825-2021")</f>
        <v/>
      </c>
      <c r="AC192">
        <f>HYPERLINK("https://klasma.github.io/Logging_2284/tillsyn/S 9825-2021 tillsynsbegäran.docx", "S 9825-2021")</f>
        <v/>
      </c>
      <c r="AD192">
        <f>HYPERLINK("https://klasma.github.io/Logging_2284/tillsynsmail/S 9825-2021 tillsynsbegäran mail.docx", "S 9825-2021")</f>
        <v/>
      </c>
    </row>
    <row r="193" ht="15" customHeight="1">
      <c r="A193" t="inlineStr">
        <is>
          <t>S 963-2026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46286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Violettgrå tagellav</t>
        </is>
      </c>
      <c r="W193">
        <f>HYPERLINK("https://klasma.github.io/Logging_2284/artfynd/S 963-2026 artfynd.xlsx", "S 963-2026")</f>
        <v/>
      </c>
      <c r="X193">
        <f>HYPERLINK("https://klasma.github.io/Logging_2284/kartor/S 963-2026 karta.png", "S 963-2026")</f>
        <v/>
      </c>
      <c r="Y193">
        <f>HYPERLINK("https://klasma.github.io/Logging_2284/kartor_geotiff/S 963-2026 georefererad karta.tif", "S 963-2026")</f>
        <v/>
      </c>
      <c r="AA193">
        <f>HYPERLINK("https://klasma.github.io/Logging_2284/klagomål/S 963-2026 FSC-klagomål.docx", "S 963-2026")</f>
        <v/>
      </c>
      <c r="AB193">
        <f>HYPERLINK("https://klasma.github.io/Logging_2284/klagomålsmail/S 963-2026 FSC-klagomål mail.docx", "S 963-2026")</f>
        <v/>
      </c>
      <c r="AC193">
        <f>HYPERLINK("https://klasma.github.io/Logging_2284/tillsyn/S 963-2026 tillsynsbegäran.docx", "S 963-2026")</f>
        <v/>
      </c>
      <c r="AD193">
        <f>HYPERLINK("https://klasma.github.io/Logging_2284/tillsynsmail/S 963-2026 tillsynsbegäran mail.docx", "S 963-2026")</f>
        <v/>
      </c>
    </row>
    <row r="194" ht="15" customHeight="1">
      <c r="A194" t="inlineStr">
        <is>
          <t>S 983-2026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46286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Garnlav</t>
        </is>
      </c>
      <c r="W194">
        <f>HYPERLINK("https://klasma.github.io/Logging_2284/artfynd/S 983-2026 artfynd.xlsx", "S 983-2026")</f>
        <v/>
      </c>
      <c r="X194">
        <f>HYPERLINK("https://klasma.github.io/Logging_2284/kartor/S 983-2026 karta.png", "S 983-2026")</f>
        <v/>
      </c>
      <c r="Y194">
        <f>HYPERLINK("https://klasma.github.io/Logging_2284/kartor_geotiff/S 983-2026 georefererad karta.tif", "S 983-2026")</f>
        <v/>
      </c>
      <c r="AA194">
        <f>HYPERLINK("https://klasma.github.io/Logging_2284/klagomål/S 983-2026 FSC-klagomål.docx", "S 983-2026")</f>
        <v/>
      </c>
      <c r="AB194">
        <f>HYPERLINK("https://klasma.github.io/Logging_2284/klagomålsmail/S 983-2026 FSC-klagomål mail.docx", "S 983-2026")</f>
        <v/>
      </c>
      <c r="AC194">
        <f>HYPERLINK("https://klasma.github.io/Logging_2284/tillsyn/S 983-2026 tillsynsbegäran.docx", "S 983-2026")</f>
        <v/>
      </c>
      <c r="AD194">
        <f>HYPERLINK("https://klasma.github.io/Logging_2284/tillsynsmail/S 983-2026 tillsynsbegäran mail.docx", "S 983-2026")</f>
        <v/>
      </c>
    </row>
    <row r="195" ht="15" customHeight="1">
      <c r="A195" t="inlineStr">
        <is>
          <t>S 1989-2026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46206</v>
      </c>
      <c r="E195" s="1" t="n">
        <v>46286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13.3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HYPERLINK("https://klasma.github.io/Logging_2284/artfynd/S 1989-2026 artfynd.xlsx", "S 1989-2026")</f>
        <v/>
      </c>
      <c r="X195">
        <f>HYPERLINK("https://klasma.github.io/Logging_2284/kartor/S 1989-2026 karta.png", "S 1989-2026")</f>
        <v/>
      </c>
      <c r="Y195">
        <f>HYPERLINK("https://klasma.github.io/Logging_2284/kartor_geotiff/S 1989-2026 georefererad karta.tif", "S 1989-2026")</f>
        <v/>
      </c>
      <c r="AA195">
        <f>HYPERLINK("https://klasma.github.io/Logging_2284/klagomål/S 1989-2026 FSC-klagomål.docx", "S 1989-2026")</f>
        <v/>
      </c>
      <c r="AB195">
        <f>HYPERLINK("https://klasma.github.io/Logging_2284/klagomålsmail/S 1989-2026 FSC-klagomål mail.docx", "S 1989-2026")</f>
        <v/>
      </c>
      <c r="AC195">
        <f>HYPERLINK("https://klasma.github.io/Logging_2284/tillsyn/S 1989-2026 tillsynsbegäran.docx", "S 1989-2026")</f>
        <v/>
      </c>
      <c r="AD195">
        <f>HYPERLINK("https://klasma.github.io/Logging_2284/tillsynsmail/S 1989-2026 tillsynsbegäran mail.docx", "S 1989-2026")</f>
        <v/>
      </c>
      <c r="AE195">
        <f>HYPERLINK("https://klasma.github.io/Logging_2284/fåglar/S 1989-2026 prioriterade fågelarter.docx", "S 1989-2026")</f>
        <v/>
      </c>
    </row>
    <row r="196" ht="15" customHeight="1">
      <c r="A196" t="inlineStr">
        <is>
          <t>A 53989-2022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46286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46286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46286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46286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46286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46286</v>
      </c>
      <c r="F201" t="inlineStr">
        <is>
          <t>VÄSTERNORRLANDS LÄN</t>
        </is>
      </c>
      <c r="G201" t="inlineStr">
        <is>
          <t>ÖRNSKÖLDSVIK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46286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46286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46286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46286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46286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46286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46286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46286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46286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46286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44463</v>
      </c>
      <c r="E212" s="1" t="n">
        <v>46286</v>
      </c>
      <c r="F212" t="inlineStr">
        <is>
          <t>VÄSTERNORRLANDS LÄN</t>
        </is>
      </c>
      <c r="G212" t="inlineStr">
        <is>
          <t>ÖRNSKÖLDSVIK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44472</v>
      </c>
      <c r="E213" s="1" t="n">
        <v>46286</v>
      </c>
      <c r="F213" t="inlineStr">
        <is>
          <t>VÄSTERNORRLANDS LÄN</t>
        </is>
      </c>
      <c r="G213" t="inlineStr">
        <is>
          <t>ÖRNSKÖLDSVIK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46286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46286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44568</v>
      </c>
      <c r="E216" s="1" t="n">
        <v>46286</v>
      </c>
      <c r="F216" t="inlineStr">
        <is>
          <t>VÄSTERNORRLANDS LÄN</t>
        </is>
      </c>
      <c r="G216" t="inlineStr">
        <is>
          <t>ÖRNSKÖLDSVIK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67452-2021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44524</v>
      </c>
      <c r="E217" s="1" t="n">
        <v>46286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46286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46286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66751-2021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44521</v>
      </c>
      <c r="E220" s="1" t="n">
        <v>46286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46286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46286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46286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46286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46286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46286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46286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46286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46286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46286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46286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46286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46286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46286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46286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46286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46286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46286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64542-2021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46286</v>
      </c>
      <c r="F239" t="inlineStr">
        <is>
          <t>VÄSTERNORRLANDS LÄN</t>
        </is>
      </c>
      <c r="G239" t="inlineStr">
        <is>
          <t>ÖRNSKÖLDSVIK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46286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46286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46286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46286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46286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44865</v>
      </c>
      <c r="E245" s="1" t="n">
        <v>46286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46286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46286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46286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46286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46286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46286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46286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46286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46286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46286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46286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46286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46286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46286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46286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46286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46286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46286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46286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46286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46286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46286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44697</v>
      </c>
      <c r="E268" s="1" t="n">
        <v>46286</v>
      </c>
      <c r="F268" t="inlineStr">
        <is>
          <t>VÄSTERNORRLANDS LÄN</t>
        </is>
      </c>
      <c r="G268" t="inlineStr">
        <is>
          <t>ÖRNSKÖLDSVIK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46286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46286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46286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46286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46286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46286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46286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46286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46286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46286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46286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46286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46286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46286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46286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46286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46286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46286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46286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46286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46286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46286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46286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46286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46286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46286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46286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46286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46286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46286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46286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46286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51601-2021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44461</v>
      </c>
      <c r="E301" s="1" t="n">
        <v>46286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40483-2022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44823</v>
      </c>
      <c r="E302" s="1" t="n">
        <v>46286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46286</v>
      </c>
      <c r="F303" t="inlineStr">
        <is>
          <t>VÄSTERNORRLANDS LÄN</t>
        </is>
      </c>
      <c r="G303" t="inlineStr">
        <is>
          <t>ÖRNSKÖLDSVIK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44790</v>
      </c>
      <c r="E304" s="1" t="n">
        <v>46286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46286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46286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46286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46286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46286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46286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46286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46286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46286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46286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46286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44758</v>
      </c>
      <c r="E316" s="1" t="n">
        <v>46286</v>
      </c>
      <c r="F316" t="inlineStr">
        <is>
          <t>VÄSTERNORRLANDS LÄN</t>
        </is>
      </c>
      <c r="G316" t="inlineStr">
        <is>
          <t>ÖRNSKÖLDSVIK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59545-2021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44491</v>
      </c>
      <c r="E317" s="1" t="n">
        <v>46286</v>
      </c>
      <c r="F317" t="inlineStr">
        <is>
          <t>VÄSTERNORRLANDS LÄN</t>
        </is>
      </c>
      <c r="G317" t="inlineStr">
        <is>
          <t>ÖRNSKÖLDSVIK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46286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46286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46286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46286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46286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44826</v>
      </c>
      <c r="E323" s="1" t="n">
        <v>46286</v>
      </c>
      <c r="F323" t="inlineStr">
        <is>
          <t>VÄSTERNORRLANDS LÄN</t>
        </is>
      </c>
      <c r="G323" t="inlineStr">
        <is>
          <t>ÖRNSKÖLDSVIK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46286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68876-2021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44530</v>
      </c>
      <c r="E325" s="1" t="n">
        <v>46286</v>
      </c>
      <c r="F325" t="inlineStr">
        <is>
          <t>VÄSTERNORRLANDS LÄN</t>
        </is>
      </c>
      <c r="G325" t="inlineStr">
        <is>
          <t>ÖRNSKÖLDSVIK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44839</v>
      </c>
      <c r="E326" s="1" t="n">
        <v>46286</v>
      </c>
      <c r="F326" t="inlineStr">
        <is>
          <t>VÄSTERNORRLANDS LÄN</t>
        </is>
      </c>
      <c r="G326" t="inlineStr">
        <is>
          <t>ÖRNSKÖLDSVIK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46286</v>
      </c>
      <c r="F327" t="inlineStr">
        <is>
          <t>VÄSTERNORRLANDS LÄN</t>
        </is>
      </c>
      <c r="G327" t="inlineStr">
        <is>
          <t>ÖRNSKÖLDSVIK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46286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46286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46286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46286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46286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20532-2022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44699</v>
      </c>
      <c r="E333" s="1" t="n">
        <v>46286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46286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46286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46286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44820</v>
      </c>
      <c r="E337" s="1" t="n">
        <v>46286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31008-2022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44768</v>
      </c>
      <c r="E338" s="1" t="n">
        <v>46286</v>
      </c>
      <c r="F338" t="inlineStr">
        <is>
          <t>VÄSTERNORRLANDS LÄN</t>
        </is>
      </c>
      <c r="G338" t="inlineStr">
        <is>
          <t>ÖRNSKÖLDSVIK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44798</v>
      </c>
      <c r="E339" s="1" t="n">
        <v>46286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35415-2022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46286</v>
      </c>
      <c r="F340" t="inlineStr">
        <is>
          <t>VÄSTERNORRLANDS LÄN</t>
        </is>
      </c>
      <c r="G340" t="inlineStr">
        <is>
          <t>ÖRNSKÖLDSVIK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44819</v>
      </c>
      <c r="E341" s="1" t="n">
        <v>46286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SCA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46286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44545</v>
      </c>
      <c r="E343" s="1" t="n">
        <v>46286</v>
      </c>
      <c r="F343" t="inlineStr">
        <is>
          <t>VÄSTERNORRLANDS LÄN</t>
        </is>
      </c>
      <c r="G343" t="inlineStr">
        <is>
          <t>ÖRNSKÖLDSVIK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46286</v>
      </c>
      <c r="F344" t="inlineStr">
        <is>
          <t>VÄSTERNORRLANDS LÄN</t>
        </is>
      </c>
      <c r="G344" t="inlineStr">
        <is>
          <t>ÖRNSKÖLDSVIK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46286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46286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46286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46286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46286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46286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46286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46286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46286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46286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46286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57438-2021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44483</v>
      </c>
      <c r="E356" s="1" t="n">
        <v>46286</v>
      </c>
      <c r="F356" t="inlineStr">
        <is>
          <t>VÄSTERNORRLANDS LÄN</t>
        </is>
      </c>
      <c r="G356" t="inlineStr">
        <is>
          <t>ÖRNSKÖLDSVIK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66752-2021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44521</v>
      </c>
      <c r="E357" s="1" t="n">
        <v>46286</v>
      </c>
      <c r="F357" t="inlineStr">
        <is>
          <t>VÄSTERNORRLANDS LÄN</t>
        </is>
      </c>
      <c r="G357" t="inlineStr">
        <is>
          <t>ÖRNSKÖLDSVIK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46286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44700</v>
      </c>
      <c r="E359" s="1" t="n">
        <v>46286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20127-2022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46286</v>
      </c>
      <c r="F360" t="inlineStr">
        <is>
          <t>VÄSTERNORRLANDS LÄN</t>
        </is>
      </c>
      <c r="G360" t="inlineStr">
        <is>
          <t>ÖRNSKÖLDSVIK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46286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46286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46286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46286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46286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44862</v>
      </c>
      <c r="E366" s="1" t="n">
        <v>46286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44714</v>
      </c>
      <c r="E367" s="1" t="n">
        <v>46286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46286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44601</v>
      </c>
      <c r="E369" s="1" t="n">
        <v>46286</v>
      </c>
      <c r="F369" t="inlineStr">
        <is>
          <t>VÄSTERNORRLANDS LÄN</t>
        </is>
      </c>
      <c r="G369" t="inlineStr">
        <is>
          <t>ÖRNSKÖLDSVIK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46286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46286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46286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55638-2021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44476</v>
      </c>
      <c r="E373" s="1" t="n">
        <v>46286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44568</v>
      </c>
      <c r="E374" s="1" t="n">
        <v>46286</v>
      </c>
      <c r="F374" t="inlineStr">
        <is>
          <t>VÄSTERNORRLANDS LÄN</t>
        </is>
      </c>
      <c r="G374" t="inlineStr">
        <is>
          <t>ÖRNSKÖLDSVIK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57310-2021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46286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64707-2021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44512</v>
      </c>
      <c r="E376" s="1" t="n">
        <v>46286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67865-2021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44525</v>
      </c>
      <c r="E377" s="1" t="n">
        <v>46286</v>
      </c>
      <c r="F377" t="inlineStr">
        <is>
          <t>VÄSTERNORRLANDS LÄN</t>
        </is>
      </c>
      <c r="G377" t="inlineStr">
        <is>
          <t>ÖRNSKÖLDSVIK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64116-2021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44509</v>
      </c>
      <c r="E378" s="1" t="n">
        <v>46286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46286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56513-2021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44480</v>
      </c>
      <c r="E380" s="1" t="n">
        <v>46286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44699</v>
      </c>
      <c r="E381" s="1" t="n">
        <v>46286</v>
      </c>
      <c r="F381" t="inlineStr">
        <is>
          <t>VÄSTERNORRLANDS LÄN</t>
        </is>
      </c>
      <c r="G381" t="inlineStr">
        <is>
          <t>ÖRNSKÖLDSVIK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70581-2021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44537</v>
      </c>
      <c r="E382" s="1" t="n">
        <v>46286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60612-2021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44495</v>
      </c>
      <c r="E383" s="1" t="n">
        <v>46286</v>
      </c>
      <c r="F383" t="inlineStr">
        <is>
          <t>VÄSTERNORRLANDS LÄN</t>
        </is>
      </c>
      <c r="G383" t="inlineStr">
        <is>
          <t>ÖRNSKÖLDSVIK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46286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46286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54391-2021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46286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44469</v>
      </c>
      <c r="E387" s="1" t="n">
        <v>46286</v>
      </c>
      <c r="F387" t="inlineStr">
        <is>
          <t>VÄSTERNORRLANDS LÄN</t>
        </is>
      </c>
      <c r="G387" t="inlineStr">
        <is>
          <t>ÖRNSKÖLDSVIK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44742</v>
      </c>
      <c r="E388" s="1" t="n">
        <v>46286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24569-2022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44726</v>
      </c>
      <c r="E389" s="1" t="n">
        <v>46286</v>
      </c>
      <c r="F389" t="inlineStr">
        <is>
          <t>VÄSTERNORRLANDS LÄN</t>
        </is>
      </c>
      <c r="G389" t="inlineStr">
        <is>
          <t>ÖRNSKÖLDSVIK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44858</v>
      </c>
      <c r="E390" s="1" t="n">
        <v>46286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72521-2021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44546</v>
      </c>
      <c r="E391" s="1" t="n">
        <v>46286</v>
      </c>
      <c r="F391" t="inlineStr">
        <is>
          <t>VÄSTERNORRLANDS LÄN</t>
        </is>
      </c>
      <c r="G391" t="inlineStr">
        <is>
          <t>ÖRNSKÖLDSVIK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50732-2022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44862</v>
      </c>
      <c r="E392" s="1" t="n">
        <v>46286</v>
      </c>
      <c r="F392" t="inlineStr">
        <is>
          <t>VÄSTERNORRLANDS LÄN</t>
        </is>
      </c>
      <c r="G392" t="inlineStr">
        <is>
          <t>ÖRNSKÖLDSVIK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44642</v>
      </c>
      <c r="E393" s="1" t="n">
        <v>46286</v>
      </c>
      <c r="F393" t="inlineStr">
        <is>
          <t>VÄSTERNORRLANDS LÄN</t>
        </is>
      </c>
      <c r="G393" t="inlineStr">
        <is>
          <t>ÖRNSKÖLDSVIK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46286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46286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44698</v>
      </c>
      <c r="E396" s="1" t="n">
        <v>46286</v>
      </c>
      <c r="F396" t="inlineStr">
        <is>
          <t>VÄSTERNORRLANDS LÄN</t>
        </is>
      </c>
      <c r="G396" t="inlineStr">
        <is>
          <t>ÖRNSKÖLDSVIK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46286</v>
      </c>
      <c r="F397" t="inlineStr">
        <is>
          <t>VÄSTERNORRLANDS LÄN</t>
        </is>
      </c>
      <c r="G397" t="inlineStr">
        <is>
          <t>ÖRNSKÖLDSVIK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44711</v>
      </c>
      <c r="E398" s="1" t="n">
        <v>46286</v>
      </c>
      <c r="F398" t="inlineStr">
        <is>
          <t>VÄSTERNORRLANDS LÄN</t>
        </is>
      </c>
      <c r="G398" t="inlineStr">
        <is>
          <t>ÖRNSKÖLDSVIK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21601-2022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44706</v>
      </c>
      <c r="E399" s="1" t="n">
        <v>46286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59660-2021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46286</v>
      </c>
      <c r="F400" t="inlineStr">
        <is>
          <t>VÄSTERNORRLANDS LÄN</t>
        </is>
      </c>
      <c r="G400" t="inlineStr">
        <is>
          <t>ÖRNSKÖLDSVIK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52062-2021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46286</v>
      </c>
      <c r="F401" t="inlineStr">
        <is>
          <t>VÄSTERNORRLANDS LÄN</t>
        </is>
      </c>
      <c r="G401" t="inlineStr">
        <is>
          <t>ÖRNSKÖLDSVIK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52290-2021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46286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65317-2021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46286</v>
      </c>
      <c r="F403" t="inlineStr">
        <is>
          <t>VÄSTERNORRLANDS LÄN</t>
        </is>
      </c>
      <c r="G403" t="inlineStr">
        <is>
          <t>ÖRNSKÖLDSVIK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67834-2021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44525</v>
      </c>
      <c r="E404" s="1" t="n">
        <v>46286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72876-2021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44547</v>
      </c>
      <c r="E405" s="1" t="n">
        <v>46286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47922-2022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46286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68152-2021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46286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60450-2021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44496</v>
      </c>
      <c r="E408" s="1" t="n">
        <v>46286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55455-2021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44475</v>
      </c>
      <c r="E409" s="1" t="n">
        <v>46286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46286</v>
      </c>
      <c r="F410" t="inlineStr">
        <is>
          <t>VÄSTERNORRLANDS LÄN</t>
        </is>
      </c>
      <c r="G410" t="inlineStr">
        <is>
          <t>ÖRNSKÖLDSVIK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44793</v>
      </c>
      <c r="E411" s="1" t="n">
        <v>46286</v>
      </c>
      <c r="F411" t="inlineStr">
        <is>
          <t>VÄSTERNORRLANDS LÄN</t>
        </is>
      </c>
      <c r="G411" t="inlineStr">
        <is>
          <t>ÖRNSKÖLDSVIK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13424-2025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45736</v>
      </c>
      <c r="E412" s="1" t="n">
        <v>46286</v>
      </c>
      <c r="F412" t="inlineStr">
        <is>
          <t>VÄSTERNORRLANDS LÄN</t>
        </is>
      </c>
      <c r="G412" t="inlineStr">
        <is>
          <t>ÖRNSKÖLDSVIK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45307</v>
      </c>
      <c r="E413" s="1" t="n">
        <v>46286</v>
      </c>
      <c r="F413" t="inlineStr">
        <is>
          <t>VÄSTERNORRLANDS LÄN</t>
        </is>
      </c>
      <c r="G413" t="inlineStr">
        <is>
          <t>ÖRNSKÖLDSVIK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27829-2022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44743</v>
      </c>
      <c r="E414" s="1" t="n">
        <v>46286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46286</v>
      </c>
      <c r="F415" t="inlineStr">
        <is>
          <t>VÄSTERNORRLANDS LÄN</t>
        </is>
      </c>
      <c r="G415" t="inlineStr">
        <is>
          <t>ÖRNSKÖLDSVIK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45359</v>
      </c>
      <c r="E416" s="1" t="n">
        <v>46286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8115-2024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45351</v>
      </c>
      <c r="E417" s="1" t="n">
        <v>46286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46286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46286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45966-2023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45195</v>
      </c>
      <c r="E420" s="1" t="n">
        <v>46286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60344-2022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44910</v>
      </c>
      <c r="E421" s="1" t="n">
        <v>46286</v>
      </c>
      <c r="F421" t="inlineStr">
        <is>
          <t>VÄSTERNORRLANDS LÄN</t>
        </is>
      </c>
      <c r="G421" t="inlineStr">
        <is>
          <t>ÖRNSKÖLDSVIK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45443</v>
      </c>
      <c r="E422" s="1" t="n">
        <v>46286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45078</v>
      </c>
      <c r="E423" s="1" t="n">
        <v>46286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45301</v>
      </c>
      <c r="E424" s="1" t="n">
        <v>46286</v>
      </c>
      <c r="F424" t="inlineStr">
        <is>
          <t>VÄSTERNORRLANDS LÄN</t>
        </is>
      </c>
      <c r="G424" t="inlineStr">
        <is>
          <t>ÖRNSKÖLDSVIK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45002</v>
      </c>
      <c r="E425" s="1" t="n">
        <v>46286</v>
      </c>
      <c r="F425" t="inlineStr">
        <is>
          <t>VÄSTERNORRLANDS LÄN</t>
        </is>
      </c>
      <c r="G425" t="inlineStr">
        <is>
          <t>ÖRNSKÖLDSVIK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13279-2023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45004</v>
      </c>
      <c r="E426" s="1" t="n">
        <v>46286</v>
      </c>
      <c r="F426" t="inlineStr">
        <is>
          <t>VÄSTERNORRLANDS LÄN</t>
        </is>
      </c>
      <c r="G426" t="inlineStr">
        <is>
          <t>ÖRNSKÖLDSVIK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53112-2024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46286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44903</v>
      </c>
      <c r="E428" s="1" t="n">
        <v>46286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44985</v>
      </c>
      <c r="E429" s="1" t="n">
        <v>46286</v>
      </c>
      <c r="F429" t="inlineStr">
        <is>
          <t>VÄSTERNORRLANDS LÄN</t>
        </is>
      </c>
      <c r="G429" t="inlineStr">
        <is>
          <t>ÖRNSKÖLDSVIK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46286</v>
      </c>
      <c r="F430" t="inlineStr">
        <is>
          <t>VÄSTERNORRLANDS LÄN</t>
        </is>
      </c>
      <c r="G430" t="inlineStr">
        <is>
          <t>ÖRNSKÖLDSVIK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46286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45145</v>
      </c>
      <c r="E432" s="1" t="n">
        <v>46286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35248-2022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44798</v>
      </c>
      <c r="E433" s="1" t="n">
        <v>46286</v>
      </c>
      <c r="F433" t="inlineStr">
        <is>
          <t>VÄSTERNORRLANDS LÄN</t>
        </is>
      </c>
      <c r="G433" t="inlineStr">
        <is>
          <t>ÖRNSKÖLDSVIK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45558</v>
      </c>
      <c r="E434" s="1" t="n">
        <v>46286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8217-2023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44971</v>
      </c>
      <c r="E435" s="1" t="n">
        <v>46286</v>
      </c>
      <c r="F435" t="inlineStr">
        <is>
          <t>VÄSTERNORRLANDS LÄN</t>
        </is>
      </c>
      <c r="G435" t="inlineStr">
        <is>
          <t>ÖRNSKÖLDSVIK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44971</v>
      </c>
      <c r="E436" s="1" t="n">
        <v>46286</v>
      </c>
      <c r="F436" t="inlineStr">
        <is>
          <t>VÄSTERNORRLANDS LÄN</t>
        </is>
      </c>
      <c r="G436" t="inlineStr">
        <is>
          <t>ÖRNSKÖLDSVIK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59898-2023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45257</v>
      </c>
      <c r="E437" s="1" t="n">
        <v>46286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46286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34850-2024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45527</v>
      </c>
      <c r="E439" s="1" t="n">
        <v>46286</v>
      </c>
      <c r="F439" t="inlineStr">
        <is>
          <t>VÄSTERNORRLANDS LÄN</t>
        </is>
      </c>
      <c r="G439" t="inlineStr">
        <is>
          <t>ÖRNSKÖLDSVIK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45205</v>
      </c>
      <c r="E440" s="1" t="n">
        <v>46286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20483-2023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45057</v>
      </c>
      <c r="E441" s="1" t="n">
        <v>46286</v>
      </c>
      <c r="F441" t="inlineStr">
        <is>
          <t>VÄSTERNORRLANDS LÄN</t>
        </is>
      </c>
      <c r="G441" t="inlineStr">
        <is>
          <t>ÖRNSKÖLDSVIK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46286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46286</v>
      </c>
      <c r="F443" t="inlineStr">
        <is>
          <t>VÄSTERNORRLANDS LÄN</t>
        </is>
      </c>
      <c r="G443" t="inlineStr">
        <is>
          <t>ÖRNSKÖLDSVIK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22574-2024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45447</v>
      </c>
      <c r="E444" s="1" t="n">
        <v>46286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45149</v>
      </c>
      <c r="E445" s="1" t="n">
        <v>46286</v>
      </c>
      <c r="F445" t="inlineStr">
        <is>
          <t>VÄSTERNORRLANDS LÄN</t>
        </is>
      </c>
      <c r="G445" t="inlineStr">
        <is>
          <t>ÖRNSKÖLDSVIK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46286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46286</v>
      </c>
      <c r="F447" t="inlineStr">
        <is>
          <t>VÄSTERNORRLANDS LÄN</t>
        </is>
      </c>
      <c r="G447" t="inlineStr">
        <is>
          <t>ÖRNSKÖLDSVIK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46286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46286</v>
      </c>
      <c r="F449" t="inlineStr">
        <is>
          <t>VÄSTERNORRLANDS LÄN</t>
        </is>
      </c>
      <c r="G449" t="inlineStr">
        <is>
          <t>ÖRNSKÖLDSVIK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62257-2022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44922</v>
      </c>
      <c r="E450" s="1" t="n">
        <v>46286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40764-2024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46286</v>
      </c>
      <c r="F451" t="inlineStr">
        <is>
          <t>VÄSTERNORRLANDS LÄN</t>
        </is>
      </c>
      <c r="G451" t="inlineStr">
        <is>
          <t>ÖRNSKÖLDSVIK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46286</v>
      </c>
      <c r="F452" t="inlineStr">
        <is>
          <t>VÄSTERNORRLANDS LÄN</t>
        </is>
      </c>
      <c r="G452" t="inlineStr">
        <is>
          <t>ÖRNSKÖLDSVIK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44991</v>
      </c>
      <c r="E453" s="1" t="n">
        <v>46286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46286</v>
      </c>
      <c r="F454" t="inlineStr">
        <is>
          <t>VÄSTERNORRLANDS LÄN</t>
        </is>
      </c>
      <c r="G454" t="inlineStr">
        <is>
          <t>ÖRNSKÖLDSVIK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50796-2024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45602</v>
      </c>
      <c r="E455" s="1" t="n">
        <v>46286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49374-2023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46286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69820-2021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44532</v>
      </c>
      <c r="E457" s="1" t="n">
        <v>46286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22532-2023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45069</v>
      </c>
      <c r="E458" s="1" t="n">
        <v>46286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55937-2022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44889</v>
      </c>
      <c r="E459" s="1" t="n">
        <v>46286</v>
      </c>
      <c r="F459" t="inlineStr">
        <is>
          <t>VÄSTERNORRLANDS LÄN</t>
        </is>
      </c>
      <c r="G459" t="inlineStr">
        <is>
          <t>ÖRNSKÖLDSVIK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45721</v>
      </c>
      <c r="E460" s="1" t="n">
        <v>46286</v>
      </c>
      <c r="F460" t="inlineStr">
        <is>
          <t>VÄSTERNORRLANDS LÄN</t>
        </is>
      </c>
      <c r="G460" t="inlineStr">
        <is>
          <t>ÖRNSKÖLDSVIK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56128-2023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46286</v>
      </c>
      <c r="F461" t="inlineStr">
        <is>
          <t>VÄSTERNORRLANDS LÄN</t>
        </is>
      </c>
      <c r="G461" t="inlineStr">
        <is>
          <t>ÖRNSKÖLDSVIK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46286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45338</v>
      </c>
      <c r="E463" s="1" t="n">
        <v>46286</v>
      </c>
      <c r="F463" t="inlineStr">
        <is>
          <t>VÄSTERNORRLANDS LÄN</t>
        </is>
      </c>
      <c r="G463" t="inlineStr">
        <is>
          <t>ÖRNSKÖLDSVIK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45366</v>
      </c>
      <c r="E464" s="1" t="n">
        <v>46286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59495-2023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45253</v>
      </c>
      <c r="E465" s="1" t="n">
        <v>46286</v>
      </c>
      <c r="F465" t="inlineStr">
        <is>
          <t>VÄSTERNORRLANDS LÄN</t>
        </is>
      </c>
      <c r="G465" t="inlineStr">
        <is>
          <t>ÖRNSKÖLDSVIK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45254</v>
      </c>
      <c r="E466" s="1" t="n">
        <v>46286</v>
      </c>
      <c r="F466" t="inlineStr">
        <is>
          <t>VÄSTERNORRLANDS LÄN</t>
        </is>
      </c>
      <c r="G466" t="inlineStr">
        <is>
          <t>ÖRNSKÖLDSVIK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45183</v>
      </c>
      <c r="E467" s="1" t="n">
        <v>46286</v>
      </c>
      <c r="F467" t="inlineStr">
        <is>
          <t>VÄSTERNORRLANDS LÄN</t>
        </is>
      </c>
      <c r="G467" t="inlineStr">
        <is>
          <t>ÖRNSKÖLDSVIK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45216</v>
      </c>
      <c r="E468" s="1" t="n">
        <v>46286</v>
      </c>
      <c r="F468" t="inlineStr">
        <is>
          <t>VÄSTERNORRLANDS LÄN</t>
        </is>
      </c>
      <c r="G468" t="inlineStr">
        <is>
          <t>ÖRNSKÖLDSVIK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51760-2024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46286</v>
      </c>
      <c r="F469" t="inlineStr">
        <is>
          <t>VÄSTERNORRLANDS LÄN</t>
        </is>
      </c>
      <c r="G469" t="inlineStr">
        <is>
          <t>ÖRNSKÖLDSVIK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40867-2023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45173</v>
      </c>
      <c r="E470" s="1" t="n">
        <v>46286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46286</v>
      </c>
      <c r="F471" t="inlineStr">
        <is>
          <t>VÄSTERNORRLANDS LÄN</t>
        </is>
      </c>
      <c r="G471" t="inlineStr">
        <is>
          <t>ÖRNSKÖLDSVIK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45328</v>
      </c>
      <c r="E472" s="1" t="n">
        <v>46286</v>
      </c>
      <c r="F472" t="inlineStr">
        <is>
          <t>VÄSTERNORRLANDS LÄN</t>
        </is>
      </c>
      <c r="G472" t="inlineStr">
        <is>
          <t>ÖRNSKÖLDSVIK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42578-2024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45565</v>
      </c>
      <c r="E473" s="1" t="n">
        <v>46286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48439-2023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45205</v>
      </c>
      <c r="E474" s="1" t="n">
        <v>46286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45740</v>
      </c>
      <c r="E475" s="1" t="n">
        <v>46286</v>
      </c>
      <c r="F475" t="inlineStr">
        <is>
          <t>VÄSTERNORRLANDS LÄN</t>
        </is>
      </c>
      <c r="G475" t="inlineStr">
        <is>
          <t>ÖRNSKÖLDSVIK</t>
        </is>
      </c>
      <c r="I475" t="n">
        <v>27.3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14318-2023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45011</v>
      </c>
      <c r="E476" s="1" t="n">
        <v>46286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46286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46286</v>
      </c>
      <c r="F478" t="inlineStr">
        <is>
          <t>VÄSTERNORRLANDS LÄN</t>
        </is>
      </c>
      <c r="G478" t="inlineStr">
        <is>
          <t>ÖRNSKÖLDSVIK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46286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46286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46286</v>
      </c>
      <c r="F481" t="inlineStr">
        <is>
          <t>VÄSTERNORRLANDS LÄN</t>
        </is>
      </c>
      <c r="G481" t="inlineStr">
        <is>
          <t>ÖRNSKÖLDSVIK</t>
        </is>
      </c>
      <c r="I481" t="n">
        <v>18.8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46286</v>
      </c>
      <c r="F482" t="inlineStr">
        <is>
          <t>VÄSTERNORRLANDS LÄN</t>
        </is>
      </c>
      <c r="G482" t="inlineStr">
        <is>
          <t>ÖRNSKÖLDSVIK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45330</v>
      </c>
      <c r="E483" s="1" t="n">
        <v>46286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7582-2025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45705</v>
      </c>
      <c r="E484" s="1" t="n">
        <v>46286</v>
      </c>
      <c r="F484" t="inlineStr">
        <is>
          <t>VÄSTERNORRLANDS LÄN</t>
        </is>
      </c>
      <c r="G484" t="inlineStr">
        <is>
          <t>ÖRNSKÖLDSVIK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46286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46286</v>
      </c>
      <c r="F486" t="inlineStr">
        <is>
          <t>VÄSTERNORRLANDS LÄN</t>
        </is>
      </c>
      <c r="G486" t="inlineStr">
        <is>
          <t>ÖRNSKÖLDSVIK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44743</v>
      </c>
      <c r="E487" s="1" t="n">
        <v>46286</v>
      </c>
      <c r="F487" t="inlineStr">
        <is>
          <t>VÄSTERNORRLANDS LÄN</t>
        </is>
      </c>
      <c r="G487" t="inlineStr">
        <is>
          <t>ÖRNSKÖLDSVIK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45122</v>
      </c>
      <c r="E488" s="1" t="n">
        <v>46286</v>
      </c>
      <c r="F488" t="inlineStr">
        <is>
          <t>VÄSTERNORRLANDS LÄN</t>
        </is>
      </c>
      <c r="G488" t="inlineStr">
        <is>
          <t>ÖRNSKÖLDSVIK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46286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46286</v>
      </c>
      <c r="F490" t="inlineStr">
        <is>
          <t>VÄSTERNORRLANDS LÄN</t>
        </is>
      </c>
      <c r="G490" t="inlineStr">
        <is>
          <t>ÖRNSKÖLDSVIK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57498-2022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44896</v>
      </c>
      <c r="E491" s="1" t="n">
        <v>46286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13785-2025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45737</v>
      </c>
      <c r="E492" s="1" t="n">
        <v>46286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21640-2023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45063</v>
      </c>
      <c r="E493" s="1" t="n">
        <v>46286</v>
      </c>
      <c r="F493" t="inlineStr">
        <is>
          <t>VÄSTERNORRLANDS LÄN</t>
        </is>
      </c>
      <c r="G493" t="inlineStr">
        <is>
          <t>ÖRNSKÖLDSVIK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46286</v>
      </c>
      <c r="F494" t="inlineStr">
        <is>
          <t>VÄSTERNORRLANDS LÄN</t>
        </is>
      </c>
      <c r="G494" t="inlineStr">
        <is>
          <t>ÖRNSKÖLDSVIK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45104</v>
      </c>
      <c r="E495" s="1" t="n">
        <v>46286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39566-2024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45552</v>
      </c>
      <c r="E496" s="1" t="n">
        <v>46286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45470</v>
      </c>
      <c r="E497" s="1" t="n">
        <v>46286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26765-2024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45470</v>
      </c>
      <c r="E498" s="1" t="n">
        <v>46286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49860-2024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45597</v>
      </c>
      <c r="E499" s="1" t="n">
        <v>46286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45579</v>
      </c>
      <c r="E500" s="1" t="n">
        <v>46286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45489</v>
      </c>
      <c r="E501" s="1" t="n">
        <v>46286</v>
      </c>
      <c r="F501" t="inlineStr">
        <is>
          <t>VÄSTERNORRLANDS LÄN</t>
        </is>
      </c>
      <c r="G501" t="inlineStr">
        <is>
          <t>ÖRNSKÖLDSVIK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51303-2024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45604</v>
      </c>
      <c r="E502" s="1" t="n">
        <v>46286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46286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45545</v>
      </c>
      <c r="E504" s="1" t="n">
        <v>46286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17874-2022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44683</v>
      </c>
      <c r="E505" s="1" t="n">
        <v>46286</v>
      </c>
      <c r="F505" t="inlineStr">
        <is>
          <t>VÄSTERNORRLANDS LÄN</t>
        </is>
      </c>
      <c r="G505" t="inlineStr">
        <is>
          <t>ÖRNSKÖLDSVIK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45727</v>
      </c>
      <c r="E506" s="1" t="n">
        <v>46286</v>
      </c>
      <c r="F506" t="inlineStr">
        <is>
          <t>VÄSTERNORRLANDS LÄN</t>
        </is>
      </c>
      <c r="G506" t="inlineStr">
        <is>
          <t>ÖRNSKÖLDSVIK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25329-2024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45462</v>
      </c>
      <c r="E507" s="1" t="n">
        <v>46286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68748-2021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44529</v>
      </c>
      <c r="E508" s="1" t="n">
        <v>46286</v>
      </c>
      <c r="F508" t="inlineStr">
        <is>
          <t>VÄSTERNORRLANDS LÄN</t>
        </is>
      </c>
      <c r="G508" t="inlineStr">
        <is>
          <t>ÖRNSKÖLDSVIK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46286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22631-2024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45447</v>
      </c>
      <c r="E510" s="1" t="n">
        <v>46286</v>
      </c>
      <c r="F510" t="inlineStr">
        <is>
          <t>VÄSTERNORRLANDS LÄN</t>
        </is>
      </c>
      <c r="G510" t="inlineStr">
        <is>
          <t>ÖRNSKÖLDSVIK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45742</v>
      </c>
      <c r="E511" s="1" t="n">
        <v>46286</v>
      </c>
      <c r="F511" t="inlineStr">
        <is>
          <t>VÄSTERNORRLANDS LÄN</t>
        </is>
      </c>
      <c r="G511" t="inlineStr">
        <is>
          <t>ÖRNSKÖLDSVIK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66636-2021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44519</v>
      </c>
      <c r="E512" s="1" t="n">
        <v>46286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67765-2021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44525</v>
      </c>
      <c r="E513" s="1" t="n">
        <v>46286</v>
      </c>
      <c r="F513" t="inlineStr">
        <is>
          <t>VÄSTERNORRLANDS LÄN</t>
        </is>
      </c>
      <c r="G513" t="inlineStr">
        <is>
          <t>ÖRNSKÖLDSVIK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45672</v>
      </c>
      <c r="E514" s="1" t="n">
        <v>46286</v>
      </c>
      <c r="F514" t="inlineStr">
        <is>
          <t>VÄSTERNORRLANDS LÄN</t>
        </is>
      </c>
      <c r="G514" t="inlineStr">
        <is>
          <t>ÖRNSKÖLDSVIK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46286</v>
      </c>
      <c r="F515" t="inlineStr">
        <is>
          <t>VÄSTERNORRLANDS LÄN</t>
        </is>
      </c>
      <c r="G515" t="inlineStr">
        <is>
          <t>ÖRNSKÖLDSVIK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48611-2022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44859</v>
      </c>
      <c r="E516" s="1" t="n">
        <v>46286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45726</v>
      </c>
      <c r="E517" s="1" t="n">
        <v>46286</v>
      </c>
      <c r="F517" t="inlineStr">
        <is>
          <t>VÄSTERNORRLANDS LÄN</t>
        </is>
      </c>
      <c r="G517" t="inlineStr">
        <is>
          <t>ÖRNSKÖLDSVIK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44854</v>
      </c>
      <c r="E518" s="1" t="n">
        <v>46286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44948-2022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44841</v>
      </c>
      <c r="E519" s="1" t="n">
        <v>46286</v>
      </c>
      <c r="F519" t="inlineStr">
        <is>
          <t>VÄSTERNORRLANDS LÄN</t>
        </is>
      </c>
      <c r="G519" t="inlineStr">
        <is>
          <t>ÖRNSKÖLDSVIK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45526</v>
      </c>
      <c r="E520" s="1" t="n">
        <v>46286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45666</v>
      </c>
      <c r="E521" s="1" t="n">
        <v>46286</v>
      </c>
      <c r="F521" t="inlineStr">
        <is>
          <t>VÄSTERNORRLANDS LÄN</t>
        </is>
      </c>
      <c r="G521" t="inlineStr">
        <is>
          <t>ÖRNSKÖLDSVIK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46286</v>
      </c>
      <c r="F522" t="inlineStr">
        <is>
          <t>VÄSTERNORRLANDS LÄN</t>
        </is>
      </c>
      <c r="G522" t="inlineStr">
        <is>
          <t>ÖRNSKÖLDSVIK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7147-2023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44965</v>
      </c>
      <c r="E523" s="1" t="n">
        <v>46286</v>
      </c>
      <c r="F523" t="inlineStr">
        <is>
          <t>VÄSTERNORRLANDS LÄN</t>
        </is>
      </c>
      <c r="G523" t="inlineStr">
        <is>
          <t>ÖRNSKÖLDSVIK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59592-2023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45254</v>
      </c>
      <c r="E524" s="1" t="n">
        <v>46286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70307-2021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46286</v>
      </c>
      <c r="F525" t="inlineStr">
        <is>
          <t>VÄSTERNORRLANDS LÄN</t>
        </is>
      </c>
      <c r="G525" t="inlineStr">
        <is>
          <t>ÖRNSKÖLDSVIK</t>
        </is>
      </c>
      <c r="I525" t="n">
        <v>9.699999999999999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38605-2023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46286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62440-2023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45268</v>
      </c>
      <c r="E527" s="1" t="n">
        <v>46286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50947-2023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46286</v>
      </c>
      <c r="F528" t="inlineStr">
        <is>
          <t>VÄSTERNORRLANDS LÄN</t>
        </is>
      </c>
      <c r="G528" t="inlineStr">
        <is>
          <t>ÖRNSKÖLDSVIK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34603-2024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45526</v>
      </c>
      <c r="E529" s="1" t="n">
        <v>46286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44159-2024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46286</v>
      </c>
      <c r="F530" t="inlineStr">
        <is>
          <t>VÄSTERNORRLANDS LÄN</t>
        </is>
      </c>
      <c r="G530" t="inlineStr">
        <is>
          <t>ÖRNSKÖLDSVIK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47755-2023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45203</v>
      </c>
      <c r="E531" s="1" t="n">
        <v>46286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45544</v>
      </c>
      <c r="E532" s="1" t="n">
        <v>46286</v>
      </c>
      <c r="F532" t="inlineStr">
        <is>
          <t>VÄSTERNORRLANDS LÄN</t>
        </is>
      </c>
      <c r="G532" t="inlineStr">
        <is>
          <t>ÖRNSKÖLDSVIK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44928</v>
      </c>
      <c r="E533" s="1" t="n">
        <v>46286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46286</v>
      </c>
      <c r="F534" t="inlineStr">
        <is>
          <t>VÄSTERNORRLANDS LÄN</t>
        </is>
      </c>
      <c r="G534" t="inlineStr">
        <is>
          <t>ÖRNSKÖLDSVIK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37914-2022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44811</v>
      </c>
      <c r="E535" s="1" t="n">
        <v>46286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9474-2023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46286</v>
      </c>
      <c r="F536" t="inlineStr">
        <is>
          <t>VÄSTERNORRLANDS LÄN</t>
        </is>
      </c>
      <c r="G536" t="inlineStr">
        <is>
          <t>ÖRNSKÖLDSVIK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44741</v>
      </c>
      <c r="E537" s="1" t="n">
        <v>46286</v>
      </c>
      <c r="F537" t="inlineStr">
        <is>
          <t>VÄSTERNORRLANDS LÄN</t>
        </is>
      </c>
      <c r="G537" t="inlineStr">
        <is>
          <t>ÖRNSKÖLDSVIK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53221-2021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44467</v>
      </c>
      <c r="E538" s="1" t="n">
        <v>46286</v>
      </c>
      <c r="F538" t="inlineStr">
        <is>
          <t>VÄSTERNORRLANDS LÄN</t>
        </is>
      </c>
      <c r="G538" t="inlineStr">
        <is>
          <t>ÖRNSKÖLDSVIK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48741-2023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45208</v>
      </c>
      <c r="E539" s="1" t="n">
        <v>46286</v>
      </c>
      <c r="F539" t="inlineStr">
        <is>
          <t>VÄSTERNORRLANDS LÄN</t>
        </is>
      </c>
      <c r="G539" t="inlineStr">
        <is>
          <t>ÖRNSKÖLDSVIK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45435</v>
      </c>
      <c r="E540" s="1" t="n">
        <v>46286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46286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61445-2022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46286</v>
      </c>
      <c r="F542" t="inlineStr">
        <is>
          <t>VÄSTERNORRLANDS LÄN</t>
        </is>
      </c>
      <c r="G542" t="inlineStr">
        <is>
          <t>ÖRNSKÖLDSVIK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54252-2021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44470</v>
      </c>
      <c r="E543" s="1" t="n">
        <v>46286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56095-2024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45624</v>
      </c>
      <c r="E544" s="1" t="n">
        <v>46286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29170-2024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45482</v>
      </c>
      <c r="E545" s="1" t="n">
        <v>46286</v>
      </c>
      <c r="F545" t="inlineStr">
        <is>
          <t>VÄSTERNORRLANDS LÄN</t>
        </is>
      </c>
      <c r="G545" t="inlineStr">
        <is>
          <t>ÖRNSKÖLDSVIK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45544</v>
      </c>
      <c r="E546" s="1" t="n">
        <v>46286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59334-2022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44904</v>
      </c>
      <c r="E547" s="1" t="n">
        <v>46286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45631</v>
      </c>
      <c r="E548" s="1" t="n">
        <v>46286</v>
      </c>
      <c r="F548" t="inlineStr">
        <is>
          <t>VÄSTERNORRLANDS LÄN</t>
        </is>
      </c>
      <c r="G548" t="inlineStr">
        <is>
          <t>ÖRNSKÖLDSVIK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5849-2024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45335</v>
      </c>
      <c r="E549" s="1" t="n">
        <v>46286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62857-2023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45272</v>
      </c>
      <c r="E550" s="1" t="n">
        <v>46286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20097-2022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44698</v>
      </c>
      <c r="E551" s="1" t="n">
        <v>46286</v>
      </c>
      <c r="F551" t="inlineStr">
        <is>
          <t>VÄSTERNORRLANDS LÄN</t>
        </is>
      </c>
      <c r="G551" t="inlineStr">
        <is>
          <t>ÖRNSKÖLDSVIK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45555</v>
      </c>
      <c r="E552" s="1" t="n">
        <v>46286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Kommuner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28546-2024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45478</v>
      </c>
      <c r="E553" s="1" t="n">
        <v>46286</v>
      </c>
      <c r="F553" t="inlineStr">
        <is>
          <t>VÄSTERNORRLANDS LÄN</t>
        </is>
      </c>
      <c r="G553" t="inlineStr">
        <is>
          <t>ÖRNSKÖLDSVIK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49960-2023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46286</v>
      </c>
      <c r="F554" t="inlineStr">
        <is>
          <t>VÄSTERNORRLANDS LÄN</t>
        </is>
      </c>
      <c r="G554" t="inlineStr">
        <is>
          <t>ÖRNSKÖLDSVIK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32482-2022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44782</v>
      </c>
      <c r="E555" s="1" t="n">
        <v>46286</v>
      </c>
      <c r="F555" t="inlineStr">
        <is>
          <t>VÄSTERNORRLANDS LÄN</t>
        </is>
      </c>
      <c r="G555" t="inlineStr">
        <is>
          <t>ÖRNSKÖLDSVIK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45218</v>
      </c>
      <c r="E556" s="1" t="n">
        <v>46286</v>
      </c>
      <c r="F556" t="inlineStr">
        <is>
          <t>VÄSTERNORRLANDS LÄN</t>
        </is>
      </c>
      <c r="G556" t="inlineStr">
        <is>
          <t>ÖRNSKÖLDSVIK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35619-2024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46286</v>
      </c>
      <c r="F557" t="inlineStr">
        <is>
          <t>VÄSTERNORRLANDS LÄN</t>
        </is>
      </c>
      <c r="G557" t="inlineStr">
        <is>
          <t>ÖRNSKÖLDSVIK</t>
        </is>
      </c>
      <c r="I557" t="n">
        <v>14.1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45491</v>
      </c>
      <c r="E558" s="1" t="n">
        <v>46286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SCA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45498</v>
      </c>
      <c r="E559" s="1" t="n">
        <v>46286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10700-2023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44988</v>
      </c>
      <c r="E560" s="1" t="n">
        <v>46286</v>
      </c>
      <c r="F560" t="inlineStr">
        <is>
          <t>VÄSTERNORRLANDS LÄN</t>
        </is>
      </c>
      <c r="G560" t="inlineStr">
        <is>
          <t>ÖRNSKÖLDSVIK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57567-2022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44896</v>
      </c>
      <c r="E561" s="1" t="n">
        <v>46286</v>
      </c>
      <c r="F561" t="inlineStr">
        <is>
          <t>VÄSTERNORRLANDS LÄN</t>
        </is>
      </c>
      <c r="G561" t="inlineStr">
        <is>
          <t>ÖRNSKÖLDSVIK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53191-2024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45611</v>
      </c>
      <c r="E562" s="1" t="n">
        <v>46286</v>
      </c>
      <c r="F562" t="inlineStr">
        <is>
          <t>VÄSTERNORRLANDS LÄN</t>
        </is>
      </c>
      <c r="G562" t="inlineStr">
        <is>
          <t>ÖRNSKÖLDSVIK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29795-2022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44755</v>
      </c>
      <c r="E563" s="1" t="n">
        <v>46286</v>
      </c>
      <c r="F563" t="inlineStr">
        <is>
          <t>VÄSTERNORRLANDS LÄN</t>
        </is>
      </c>
      <c r="G563" t="inlineStr">
        <is>
          <t>ÖRNSKÖLDSVIK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40590-2022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44823</v>
      </c>
      <c r="E564" s="1" t="n">
        <v>46286</v>
      </c>
      <c r="F564" t="inlineStr">
        <is>
          <t>VÄSTERNORRLANDS LÄN</t>
        </is>
      </c>
      <c r="G564" t="inlineStr">
        <is>
          <t>ÖRNSKÖLDSVIK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62089-2022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44919</v>
      </c>
      <c r="E565" s="1" t="n">
        <v>46286</v>
      </c>
      <c r="F565" t="inlineStr">
        <is>
          <t>VÄSTERNORRLANDS LÄN</t>
        </is>
      </c>
      <c r="G565" t="inlineStr">
        <is>
          <t>ÖRNSKÖLDSVIK</t>
        </is>
      </c>
      <c r="I565" t="n">
        <v>24.7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45174</v>
      </c>
      <c r="E566" s="1" t="n">
        <v>46286</v>
      </c>
      <c r="F566" t="inlineStr">
        <is>
          <t>VÄSTERNORRLANDS LÄN</t>
        </is>
      </c>
      <c r="G566" t="inlineStr">
        <is>
          <t>ÖRNSKÖLDSVIK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44991</v>
      </c>
      <c r="E567" s="1" t="n">
        <v>46286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SCA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45258</v>
      </c>
      <c r="E568" s="1" t="n">
        <v>46286</v>
      </c>
      <c r="F568" t="inlineStr">
        <is>
          <t>VÄSTERNORRLANDS LÄN</t>
        </is>
      </c>
      <c r="G568" t="inlineStr">
        <is>
          <t>ÖRNSKÖLDSVIK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60319-2023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45258</v>
      </c>
      <c r="E569" s="1" t="n">
        <v>46286</v>
      </c>
      <c r="F569" t="inlineStr">
        <is>
          <t>VÄSTERNORRLANDS LÄN</t>
        </is>
      </c>
      <c r="G569" t="inlineStr">
        <is>
          <t>ÖRNSKÖLDSVIK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21226-2024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46286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48760-2022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44859</v>
      </c>
      <c r="E571" s="1" t="n">
        <v>46286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41999-2023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45174</v>
      </c>
      <c r="E572" s="1" t="n">
        <v>46286</v>
      </c>
      <c r="F572" t="inlineStr">
        <is>
          <t>VÄSTERNORRLANDS LÄN</t>
        </is>
      </c>
      <c r="G572" t="inlineStr">
        <is>
          <t>ÖRNSKÖLDSVIK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50562-2022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44862</v>
      </c>
      <c r="E573" s="1" t="n">
        <v>46286</v>
      </c>
      <c r="F573" t="inlineStr">
        <is>
          <t>VÄSTERNORRLANDS LÄN</t>
        </is>
      </c>
      <c r="G573" t="inlineStr">
        <is>
          <t>ÖRNSKÖLDSVIK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35761-2024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45532</v>
      </c>
      <c r="E574" s="1" t="n">
        <v>46286</v>
      </c>
      <c r="F574" t="inlineStr">
        <is>
          <t>VÄSTERNORRLANDS LÄN</t>
        </is>
      </c>
      <c r="G574" t="inlineStr">
        <is>
          <t>ÖRNSKÖLDSVIK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43906-2024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45572</v>
      </c>
      <c r="E575" s="1" t="n">
        <v>46286</v>
      </c>
      <c r="F575" t="inlineStr">
        <is>
          <t>VÄSTERNORRLANDS LÄN</t>
        </is>
      </c>
      <c r="G575" t="inlineStr">
        <is>
          <t>ÖRNSKÖLDSVIK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45548</v>
      </c>
      <c r="E576" s="1" t="n">
        <v>46286</v>
      </c>
      <c r="F576" t="inlineStr">
        <is>
          <t>VÄSTERNORRLANDS LÄN</t>
        </is>
      </c>
      <c r="G576" t="inlineStr">
        <is>
          <t>ÖRNSKÖLDSVIK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45173</v>
      </c>
      <c r="E577" s="1" t="n">
        <v>46286</v>
      </c>
      <c r="F577" t="inlineStr">
        <is>
          <t>VÄSTERNORRLANDS LÄN</t>
        </is>
      </c>
      <c r="G577" t="inlineStr">
        <is>
          <t>ÖRNSKÖLDSVIK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18148-2023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45040</v>
      </c>
      <c r="E578" s="1" t="n">
        <v>46286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46286</v>
      </c>
      <c r="F579" t="inlineStr">
        <is>
          <t>VÄSTERNORRLANDS LÄN</t>
        </is>
      </c>
      <c r="G579" t="inlineStr">
        <is>
          <t>ÖRNSKÖLDSVIK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37999-2023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45160</v>
      </c>
      <c r="E580" s="1" t="n">
        <v>46286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44579</v>
      </c>
      <c r="E581" s="1" t="n">
        <v>46286</v>
      </c>
      <c r="F581" t="inlineStr">
        <is>
          <t>VÄSTERNORRLANDS LÄN</t>
        </is>
      </c>
      <c r="G581" t="inlineStr">
        <is>
          <t>ÖRNSKÖLDSVIK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30346-2023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45111</v>
      </c>
      <c r="E582" s="1" t="n">
        <v>46286</v>
      </c>
      <c r="F582" t="inlineStr">
        <is>
          <t>VÄSTERNORRLANDS LÄN</t>
        </is>
      </c>
      <c r="G582" t="inlineStr">
        <is>
          <t>ÖRNSKÖLDSVIK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43009-2024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45567</v>
      </c>
      <c r="E583" s="1" t="n">
        <v>46286</v>
      </c>
      <c r="F583" t="inlineStr">
        <is>
          <t>VÄSTERNORRLANDS LÄN</t>
        </is>
      </c>
      <c r="G583" t="inlineStr">
        <is>
          <t>ÖRNSKÖLDSVIK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46286</v>
      </c>
      <c r="F584" t="inlineStr">
        <is>
          <t>VÄSTERNORRLANDS LÄN</t>
        </is>
      </c>
      <c r="G584" t="inlineStr">
        <is>
          <t>ÖRNSKÖLDSVIK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45525</v>
      </c>
      <c r="E585" s="1" t="n">
        <v>46286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4340-2024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45324</v>
      </c>
      <c r="E586" s="1" t="n">
        <v>46286</v>
      </c>
      <c r="F586" t="inlineStr">
        <is>
          <t>VÄSTERNORRLANDS LÄN</t>
        </is>
      </c>
      <c r="G586" t="inlineStr">
        <is>
          <t>ÖRNSKÖLDSVIK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4341-2024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45324</v>
      </c>
      <c r="E587" s="1" t="n">
        <v>46286</v>
      </c>
      <c r="F587" t="inlineStr">
        <is>
          <t>VÄSTERNORRLANDS LÄN</t>
        </is>
      </c>
      <c r="G587" t="inlineStr">
        <is>
          <t>ÖRNSKÖLDSVIK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37871-2024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45544</v>
      </c>
      <c r="E588" s="1" t="n">
        <v>46286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14645-2025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45742</v>
      </c>
      <c r="E589" s="1" t="n">
        <v>46286</v>
      </c>
      <c r="F589" t="inlineStr">
        <is>
          <t>VÄSTERNORRLANDS LÄN</t>
        </is>
      </c>
      <c r="G589" t="inlineStr">
        <is>
          <t>ÖRNSKÖLDSVIK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45288-2024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45576</v>
      </c>
      <c r="E590" s="1" t="n">
        <v>46286</v>
      </c>
      <c r="F590" t="inlineStr">
        <is>
          <t>VÄSTERNORRLANDS LÄN</t>
        </is>
      </c>
      <c r="G590" t="inlineStr">
        <is>
          <t>ÖRNSKÖLDSVIK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62013-2021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44502</v>
      </c>
      <c r="E591" s="1" t="n">
        <v>46286</v>
      </c>
      <c r="F591" t="inlineStr">
        <is>
          <t>VÄSTERNORRLANDS LÄN</t>
        </is>
      </c>
      <c r="G591" t="inlineStr">
        <is>
          <t>ÖRNSKÖLDSVIK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60227-2021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44495</v>
      </c>
      <c r="E592" s="1" t="n">
        <v>46286</v>
      </c>
      <c r="F592" t="inlineStr">
        <is>
          <t>VÄSTERNORRLANDS LÄN</t>
        </is>
      </c>
      <c r="G592" t="inlineStr">
        <is>
          <t>ÖRNSKÖLDSVIK</t>
        </is>
      </c>
      <c r="I592" t="n">
        <v>9.300000000000001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34123-2023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45135</v>
      </c>
      <c r="E593" s="1" t="n">
        <v>46286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38661-2024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45547</v>
      </c>
      <c r="E594" s="1" t="n">
        <v>46286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55774-2023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45239</v>
      </c>
      <c r="E595" s="1" t="n">
        <v>46286</v>
      </c>
      <c r="F595" t="inlineStr">
        <is>
          <t>VÄSTERNORRLANDS LÄN</t>
        </is>
      </c>
      <c r="G595" t="inlineStr">
        <is>
          <t>ÖRNSKÖLDSVIK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73763-2021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44552</v>
      </c>
      <c r="E596" s="1" t="n">
        <v>46286</v>
      </c>
      <c r="F596" t="inlineStr">
        <is>
          <t>VÄSTERNORRLANDS LÄN</t>
        </is>
      </c>
      <c r="G596" t="inlineStr">
        <is>
          <t>ÖRNSKÖLDSVIK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54841-2024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45618</v>
      </c>
      <c r="E597" s="1" t="n">
        <v>46286</v>
      </c>
      <c r="F597" t="inlineStr">
        <is>
          <t>VÄSTERNORRLANDS LÄN</t>
        </is>
      </c>
      <c r="G597" t="inlineStr">
        <is>
          <t>ÖRNSKÖLDSVIK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47948-2024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45589</v>
      </c>
      <c r="E598" s="1" t="n">
        <v>46286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46286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21122-2024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45440</v>
      </c>
      <c r="E600" s="1" t="n">
        <v>46286</v>
      </c>
      <c r="F600" t="inlineStr">
        <is>
          <t>VÄSTERNORRLANDS LÄN</t>
        </is>
      </c>
      <c r="G600" t="inlineStr">
        <is>
          <t>ÖRNSKÖLDSVIK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45440</v>
      </c>
      <c r="E601" s="1" t="n">
        <v>46286</v>
      </c>
      <c r="F601" t="inlineStr">
        <is>
          <t>VÄSTERNORRLANDS LÄN</t>
        </is>
      </c>
      <c r="G601" t="inlineStr">
        <is>
          <t>ÖRNSKÖLDSVIK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35578-2023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46286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16271-2024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45407</v>
      </c>
      <c r="E603" s="1" t="n">
        <v>46286</v>
      </c>
      <c r="F603" t="inlineStr">
        <is>
          <t>VÄSTERNORRLANDS LÄN</t>
        </is>
      </c>
      <c r="G603" t="inlineStr">
        <is>
          <t>ÖRNSKÖLDSVIK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34847-2023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45141</v>
      </c>
      <c r="E604" s="1" t="n">
        <v>46286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SCA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69183-2021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44531</v>
      </c>
      <c r="E605" s="1" t="n">
        <v>46286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61144-2023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45261</v>
      </c>
      <c r="E606" s="1" t="n">
        <v>46286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10.5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42357-2024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46286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49868-2024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45597</v>
      </c>
      <c r="E608" s="1" t="n">
        <v>46286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45597</v>
      </c>
      <c r="E609" s="1" t="n">
        <v>46286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62743-2021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44504</v>
      </c>
      <c r="E610" s="1" t="n">
        <v>46286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43576-2022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44834</v>
      </c>
      <c r="E611" s="1" t="n">
        <v>46286</v>
      </c>
      <c r="F611" t="inlineStr">
        <is>
          <t>VÄSTERNORRLANDS LÄN</t>
        </is>
      </c>
      <c r="G611" t="inlineStr">
        <is>
          <t>ÖRNSKÖLDSVIK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48001-2023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46286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40207-2024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45554</v>
      </c>
      <c r="E613" s="1" t="n">
        <v>46286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46286</v>
      </c>
      <c r="F614" t="inlineStr">
        <is>
          <t>VÄSTERNORRLANDS LÄN</t>
        </is>
      </c>
      <c r="G614" t="inlineStr">
        <is>
          <t>ÖRNSKÖLDSVIK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49222-2024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45595</v>
      </c>
      <c r="E615" s="1" t="n">
        <v>46286</v>
      </c>
      <c r="F615" t="inlineStr">
        <is>
          <t>VÄSTERNORRLANDS LÄN</t>
        </is>
      </c>
      <c r="G615" t="inlineStr">
        <is>
          <t>ÖRNSKÖLDSVIK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46286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60786-2021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44496</v>
      </c>
      <c r="E617" s="1" t="n">
        <v>46286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SCA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45673</v>
      </c>
      <c r="E618" s="1" t="n">
        <v>46286</v>
      </c>
      <c r="F618" t="inlineStr">
        <is>
          <t>VÄSTERNORRLANDS LÄN</t>
        </is>
      </c>
      <c r="G618" t="inlineStr">
        <is>
          <t>ÖRNSKÖLDSVIK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4576-2024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45327</v>
      </c>
      <c r="E619" s="1" t="n">
        <v>46286</v>
      </c>
      <c r="F619" t="inlineStr">
        <is>
          <t>VÄSTERNORRLANDS LÄN</t>
        </is>
      </c>
      <c r="G619" t="inlineStr">
        <is>
          <t>ÖRNSKÖLDSVIK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51668-2024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45606</v>
      </c>
      <c r="E620" s="1" t="n">
        <v>46286</v>
      </c>
      <c r="F620" t="inlineStr">
        <is>
          <t>VÄSTERNORRLANDS LÄN</t>
        </is>
      </c>
      <c r="G620" t="inlineStr">
        <is>
          <t>ÖRNSKÖLDSVIK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46286</v>
      </c>
      <c r="F621" t="inlineStr">
        <is>
          <t>VÄSTERNORRLANDS LÄN</t>
        </is>
      </c>
      <c r="G621" t="inlineStr">
        <is>
          <t>ÖRNSKÖLDSVIK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17639-2025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45758</v>
      </c>
      <c r="E622" s="1" t="n">
        <v>46286</v>
      </c>
      <c r="F622" t="inlineStr">
        <is>
          <t>VÄSTERNORRLANDS LÄN</t>
        </is>
      </c>
      <c r="G622" t="inlineStr">
        <is>
          <t>ÖRNSKÖLDSVIK</t>
        </is>
      </c>
      <c r="I622" t="n">
        <v>11.2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45369</v>
      </c>
      <c r="E623" s="1" t="n">
        <v>46286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10385-2023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44987</v>
      </c>
      <c r="E624" s="1" t="n">
        <v>46286</v>
      </c>
      <c r="F624" t="inlineStr">
        <is>
          <t>VÄSTERNORRLANDS LÄN</t>
        </is>
      </c>
      <c r="G624" t="inlineStr">
        <is>
          <t>ÖRNSKÖLDSVIK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10387-2023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44987</v>
      </c>
      <c r="E625" s="1" t="n">
        <v>46286</v>
      </c>
      <c r="F625" t="inlineStr">
        <is>
          <t>VÄSTERNORRLANDS LÄN</t>
        </is>
      </c>
      <c r="G625" t="inlineStr">
        <is>
          <t>ÖRNSKÖLDSVIK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54688-2024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45618</v>
      </c>
      <c r="E626" s="1" t="n">
        <v>46286</v>
      </c>
      <c r="F626" t="inlineStr">
        <is>
          <t>VÄSTERNORRLANDS LÄN</t>
        </is>
      </c>
      <c r="G626" t="inlineStr">
        <is>
          <t>ÖRNSKÖLDSVIK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48529-2023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45208</v>
      </c>
      <c r="E627" s="1" t="n">
        <v>46286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19845-2024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45433</v>
      </c>
      <c r="E628" s="1" t="n">
        <v>46286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21124-2024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45440</v>
      </c>
      <c r="E629" s="1" t="n">
        <v>46286</v>
      </c>
      <c r="F629" t="inlineStr">
        <is>
          <t>VÄSTERNORRLANDS LÄN</t>
        </is>
      </c>
      <c r="G629" t="inlineStr">
        <is>
          <t>ÖRNSKÖLDSVIK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26987-2024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45471</v>
      </c>
      <c r="E630" s="1" t="n">
        <v>46286</v>
      </c>
      <c r="F630" t="inlineStr">
        <is>
          <t>VÄSTERNORRLANDS LÄN</t>
        </is>
      </c>
      <c r="G630" t="inlineStr">
        <is>
          <t>ÖRNSKÖLDSVIK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52065-2022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44873</v>
      </c>
      <c r="E631" s="1" t="n">
        <v>46286</v>
      </c>
      <c r="F631" t="inlineStr">
        <is>
          <t>VÄSTERNORRLANDS LÄN</t>
        </is>
      </c>
      <c r="G631" t="inlineStr">
        <is>
          <t>ÖRNSKÖLDSVIK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45525</v>
      </c>
      <c r="E632" s="1" t="n">
        <v>46286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48239-2023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45205</v>
      </c>
      <c r="E633" s="1" t="n">
        <v>46286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45240</v>
      </c>
      <c r="E634" s="1" t="n">
        <v>46286</v>
      </c>
      <c r="F634" t="inlineStr">
        <is>
          <t>VÄSTERNORRLANDS LÄN</t>
        </is>
      </c>
      <c r="G634" t="inlineStr">
        <is>
          <t>ÖRNSKÖLDSVIK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46286</v>
      </c>
      <c r="F635" t="inlineStr">
        <is>
          <t>VÄSTERNORRLANDS LÄN</t>
        </is>
      </c>
      <c r="G635" t="inlineStr">
        <is>
          <t>ÖRNSKÖLDSVIK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26429-2023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45089</v>
      </c>
      <c r="E636" s="1" t="n">
        <v>46286</v>
      </c>
      <c r="F636" t="inlineStr">
        <is>
          <t>VÄSTERNORRLANDS LÄN</t>
        </is>
      </c>
      <c r="G636" t="inlineStr">
        <is>
          <t>ÖRNSKÖLDSVIK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46286</v>
      </c>
      <c r="F637" t="inlineStr">
        <is>
          <t>VÄSTERNORRLANDS LÄN</t>
        </is>
      </c>
      <c r="G637" t="inlineStr">
        <is>
          <t>ÖRNSKÖLDSVIK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3942-2022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44587</v>
      </c>
      <c r="E638" s="1" t="n">
        <v>46286</v>
      </c>
      <c r="F638" t="inlineStr">
        <is>
          <t>VÄSTERNORRLANDS LÄN</t>
        </is>
      </c>
      <c r="G638" t="inlineStr">
        <is>
          <t>ÖRNSKÖLDSVIK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54982-2022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44886</v>
      </c>
      <c r="E639" s="1" t="n">
        <v>46286</v>
      </c>
      <c r="F639" t="inlineStr">
        <is>
          <t>VÄSTERNORRLANDS LÄN</t>
        </is>
      </c>
      <c r="G639" t="inlineStr">
        <is>
          <t>ÖRNSKÖLDSVIK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3329-2022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44585</v>
      </c>
      <c r="E640" s="1" t="n">
        <v>46286</v>
      </c>
      <c r="F640" t="inlineStr">
        <is>
          <t>VÄSTERNORRLANDS LÄN</t>
        </is>
      </c>
      <c r="G640" t="inlineStr">
        <is>
          <t>ÖRNSKÖLDSVIK</t>
        </is>
      </c>
      <c r="I640" t="n">
        <v>7.9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48218-2023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45205</v>
      </c>
      <c r="E641" s="1" t="n">
        <v>46286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47449-2022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44852</v>
      </c>
      <c r="E642" s="1" t="n">
        <v>46286</v>
      </c>
      <c r="F642" t="inlineStr">
        <is>
          <t>VÄSTERNORRLANDS LÄN</t>
        </is>
      </c>
      <c r="G642" t="inlineStr">
        <is>
          <t>ÖRNSKÖLDSVIK</t>
        </is>
      </c>
      <c r="I642" t="n">
        <v>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8707-2024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46286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20475-2022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44699</v>
      </c>
      <c r="E644" s="1" t="n">
        <v>46286</v>
      </c>
      <c r="F644" t="inlineStr">
        <is>
          <t>VÄSTERNORRLANDS LÄN</t>
        </is>
      </c>
      <c r="G644" t="inlineStr">
        <is>
          <t>ÖRNSKÖLDSVIK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30542-2024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45492</v>
      </c>
      <c r="E645" s="1" t="n">
        <v>46286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30546-2024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45492</v>
      </c>
      <c r="E646" s="1" t="n">
        <v>46286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62019-2023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45266</v>
      </c>
      <c r="E647" s="1" t="n">
        <v>46286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45670</v>
      </c>
      <c r="E648" s="1" t="n">
        <v>46286</v>
      </c>
      <c r="F648" t="inlineStr">
        <is>
          <t>VÄSTERNORRLANDS LÄN</t>
        </is>
      </c>
      <c r="G648" t="inlineStr">
        <is>
          <t>ÖRNSKÖLDSVIK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17514-2023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45034</v>
      </c>
      <c r="E649" s="1" t="n">
        <v>46286</v>
      </c>
      <c r="F649" t="inlineStr">
        <is>
          <t>VÄSTERNORRLANDS LÄN</t>
        </is>
      </c>
      <c r="G649" t="inlineStr">
        <is>
          <t>ÖRNSKÖLDSVIK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63733-2023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45277</v>
      </c>
      <c r="E650" s="1" t="n">
        <v>46286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47757-2023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45203</v>
      </c>
      <c r="E651" s="1" t="n">
        <v>46286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47752-2023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45203</v>
      </c>
      <c r="E652" s="1" t="n">
        <v>46286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60929-2022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44908</v>
      </c>
      <c r="E653" s="1" t="n">
        <v>46286</v>
      </c>
      <c r="F653" t="inlineStr">
        <is>
          <t>VÄSTERNORRLANDS LÄN</t>
        </is>
      </c>
      <c r="G653" t="inlineStr">
        <is>
          <t>ÖRNSKÖLDSVIK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45015</v>
      </c>
      <c r="E654" s="1" t="n">
        <v>46286</v>
      </c>
      <c r="F654" t="inlineStr">
        <is>
          <t>VÄSTERNORRLANDS LÄN</t>
        </is>
      </c>
      <c r="G654" t="inlineStr">
        <is>
          <t>ÖRNSKÖLDSVIK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13225-2023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45002</v>
      </c>
      <c r="E655" s="1" t="n">
        <v>46286</v>
      </c>
      <c r="F655" t="inlineStr">
        <is>
          <t>VÄSTERNORRLANDS LÄN</t>
        </is>
      </c>
      <c r="G655" t="inlineStr">
        <is>
          <t>ÖRNSKÖLDSVIK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45478</v>
      </c>
      <c r="E656" s="1" t="n">
        <v>46286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59924-2023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45257</v>
      </c>
      <c r="E657" s="1" t="n">
        <v>46286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58120-2023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45249</v>
      </c>
      <c r="E658" s="1" t="n">
        <v>46286</v>
      </c>
      <c r="F658" t="inlineStr">
        <is>
          <t>VÄSTERNORRLANDS LÄN</t>
        </is>
      </c>
      <c r="G658" t="inlineStr">
        <is>
          <t>ÖRNSKÖLDSVIK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60754-2023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45260</v>
      </c>
      <c r="E659" s="1" t="n">
        <v>46286</v>
      </c>
      <c r="F659" t="inlineStr">
        <is>
          <t>VÄSTERNORRLANDS LÄN</t>
        </is>
      </c>
      <c r="G659" t="inlineStr">
        <is>
          <t>ÖRNSKÖLDSVIK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45680</v>
      </c>
      <c r="E660" s="1" t="n">
        <v>46286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31540-2024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45505</v>
      </c>
      <c r="E661" s="1" t="n">
        <v>46286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27197-2023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45092</v>
      </c>
      <c r="E662" s="1" t="n">
        <v>46286</v>
      </c>
      <c r="F662" t="inlineStr">
        <is>
          <t>VÄSTERNORRLANDS LÄN</t>
        </is>
      </c>
      <c r="G662" t="inlineStr">
        <is>
          <t>ÖRNSKÖLDSVIK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45076</v>
      </c>
      <c r="E663" s="1" t="n">
        <v>46286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26895-2024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45470</v>
      </c>
      <c r="E664" s="1" t="n">
        <v>46286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45944-2023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45195</v>
      </c>
      <c r="E665" s="1" t="n">
        <v>46286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9556-2024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45360</v>
      </c>
      <c r="E666" s="1" t="n">
        <v>46286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10985-2025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46286</v>
      </c>
      <c r="F667" t="inlineStr">
        <is>
          <t>VÄSTERNORRLANDS LÄN</t>
        </is>
      </c>
      <c r="G667" t="inlineStr">
        <is>
          <t>ÖRNSKÖLDSVIK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45631</v>
      </c>
      <c r="E668" s="1" t="n">
        <v>46286</v>
      </c>
      <c r="F668" t="inlineStr">
        <is>
          <t>VÄSTERNORRLANDS LÄN</t>
        </is>
      </c>
      <c r="G668" t="inlineStr">
        <is>
          <t>ÖRNSKÖLDSVIK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45471</v>
      </c>
      <c r="E669" s="1" t="n">
        <v>46286</v>
      </c>
      <c r="F669" t="inlineStr">
        <is>
          <t>VÄSTERNORRLANDS LÄN</t>
        </is>
      </c>
      <c r="G669" t="inlineStr">
        <is>
          <t>ÖRNSKÖLDSVIK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2107-2025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45672</v>
      </c>
      <c r="E670" s="1" t="n">
        <v>46286</v>
      </c>
      <c r="F670" t="inlineStr">
        <is>
          <t>VÄSTERNORRLANDS LÄN</t>
        </is>
      </c>
      <c r="G670" t="inlineStr">
        <is>
          <t>ÖRNSKÖLDSVIK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45672</v>
      </c>
      <c r="E671" s="1" t="n">
        <v>46286</v>
      </c>
      <c r="F671" t="inlineStr">
        <is>
          <t>VÄSTERNORRLANDS LÄN</t>
        </is>
      </c>
      <c r="G671" t="inlineStr">
        <is>
          <t>ÖRNSKÖLDSVIK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32133-2023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45107</v>
      </c>
      <c r="E672" s="1" t="n">
        <v>46286</v>
      </c>
      <c r="F672" t="inlineStr">
        <is>
          <t>VÄSTERNORRLANDS LÄN</t>
        </is>
      </c>
      <c r="G672" t="inlineStr">
        <is>
          <t>ÖRNSKÖLDSVIK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2338-2024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45310</v>
      </c>
      <c r="E673" s="1" t="n">
        <v>46286</v>
      </c>
      <c r="F673" t="inlineStr">
        <is>
          <t>VÄSTERNORRLANDS LÄN</t>
        </is>
      </c>
      <c r="G673" t="inlineStr">
        <is>
          <t>ÖRNSKÖLDSVIK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37384-2024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45540</v>
      </c>
      <c r="E674" s="1" t="n">
        <v>46286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63510-2023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45274</v>
      </c>
      <c r="E675" s="1" t="n">
        <v>46286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28239-2022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44746</v>
      </c>
      <c r="E676" s="1" t="n">
        <v>46286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42762-2022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44832</v>
      </c>
      <c r="E677" s="1" t="n">
        <v>46286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55520-2021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44475</v>
      </c>
      <c r="E678" s="1" t="n">
        <v>46286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61102-2024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45645</v>
      </c>
      <c r="E679" s="1" t="n">
        <v>46286</v>
      </c>
      <c r="F679" t="inlineStr">
        <is>
          <t>VÄSTERNORRLANDS LÄN</t>
        </is>
      </c>
      <c r="G679" t="inlineStr">
        <is>
          <t>ÖRNSKÖLDSVIK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54561-2024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45617</v>
      </c>
      <c r="E680" s="1" t="n">
        <v>46286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32488-2024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45513</v>
      </c>
      <c r="E681" s="1" t="n">
        <v>46286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48486-2023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45206</v>
      </c>
      <c r="E682" s="1" t="n">
        <v>46286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48523-2023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45208</v>
      </c>
      <c r="E683" s="1" t="n">
        <v>46286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42048-2022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44830</v>
      </c>
      <c r="E684" s="1" t="n">
        <v>46286</v>
      </c>
      <c r="F684" t="inlineStr">
        <is>
          <t>VÄSTERNORRLANDS LÄN</t>
        </is>
      </c>
      <c r="G684" t="inlineStr">
        <is>
          <t>ÖRNSKÖLDSVIK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45254</v>
      </c>
      <c r="E685" s="1" t="n">
        <v>46286</v>
      </c>
      <c r="F685" t="inlineStr">
        <is>
          <t>VÄSTERNORRLANDS LÄN</t>
        </is>
      </c>
      <c r="G685" t="inlineStr">
        <is>
          <t>ÖRNSKÖLDSVIK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64437-2021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44511</v>
      </c>
      <c r="E686" s="1" t="n">
        <v>46286</v>
      </c>
      <c r="F686" t="inlineStr">
        <is>
          <t>VÄSTERNORRLANDS LÄN</t>
        </is>
      </c>
      <c r="G686" t="inlineStr">
        <is>
          <t>ÖRNSKÖLDSVIK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45884</v>
      </c>
      <c r="E687" s="1" t="n">
        <v>46286</v>
      </c>
      <c r="F687" t="inlineStr">
        <is>
          <t>VÄSTERNORRLANDS LÄN</t>
        </is>
      </c>
      <c r="G687" t="inlineStr">
        <is>
          <t>ÖRNSKÖLDSVIK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36163-2022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44803</v>
      </c>
      <c r="E688" s="1" t="n">
        <v>46286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49074-2023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45210</v>
      </c>
      <c r="E689" s="1" t="n">
        <v>46286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57305-2023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45245</v>
      </c>
      <c r="E690" s="1" t="n">
        <v>46286</v>
      </c>
      <c r="F690" t="inlineStr">
        <is>
          <t>VÄSTERNORRLANDS LÄN</t>
        </is>
      </c>
      <c r="G690" t="inlineStr">
        <is>
          <t>ÖRNSKÖLDSVIK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11976-2022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44635</v>
      </c>
      <c r="E691" s="1" t="n">
        <v>46286</v>
      </c>
      <c r="F691" t="inlineStr">
        <is>
          <t>VÄSTERNORRLANDS LÄN</t>
        </is>
      </c>
      <c r="G691" t="inlineStr">
        <is>
          <t>ÖRNSKÖLDSVIK</t>
        </is>
      </c>
      <c r="I691" t="n">
        <v>11.9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25737-2022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44733</v>
      </c>
      <c r="E692" s="1" t="n">
        <v>46286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58167-2023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45250</v>
      </c>
      <c r="E693" s="1" t="n">
        <v>46286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34917-2024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45527</v>
      </c>
      <c r="E694" s="1" t="n">
        <v>46286</v>
      </c>
      <c r="F694" t="inlineStr">
        <is>
          <t>VÄSTERNORRLANDS LÄN</t>
        </is>
      </c>
      <c r="G694" t="inlineStr">
        <is>
          <t>ÖRNSKÖLDSVIK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45887</v>
      </c>
      <c r="E695" s="1" t="n">
        <v>46286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46286</v>
      </c>
      <c r="F696" t="inlineStr">
        <is>
          <t>VÄSTERNORRLANDS LÄN</t>
        </is>
      </c>
      <c r="G696" t="inlineStr">
        <is>
          <t>ÖRNSKÖLDSVIK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28338-2024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45477</v>
      </c>
      <c r="E697" s="1" t="n">
        <v>46286</v>
      </c>
      <c r="F697" t="inlineStr">
        <is>
          <t>VÄSTERNORRLANDS LÄN</t>
        </is>
      </c>
      <c r="G697" t="inlineStr">
        <is>
          <t>ÖRNSKÖLDSVIK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38821-2025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45887</v>
      </c>
      <c r="E698" s="1" t="n">
        <v>46286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30056-2024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45488</v>
      </c>
      <c r="E699" s="1" t="n">
        <v>46286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33129-2022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44785</v>
      </c>
      <c r="E700" s="1" t="n">
        <v>46286</v>
      </c>
      <c r="F700" t="inlineStr">
        <is>
          <t>VÄSTERNORRLANDS LÄN</t>
        </is>
      </c>
      <c r="G700" t="inlineStr">
        <is>
          <t>ÖRNSKÖLDSVIK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38798-2025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45887</v>
      </c>
      <c r="E701" s="1" t="n">
        <v>46286</v>
      </c>
      <c r="F701" t="inlineStr">
        <is>
          <t>VÄSTERNORRLANDS LÄN</t>
        </is>
      </c>
      <c r="G701" t="inlineStr">
        <is>
          <t>ÖRNSKÖLDSVIK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61305-2023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45264</v>
      </c>
      <c r="E702" s="1" t="n">
        <v>46286</v>
      </c>
      <c r="F702" t="inlineStr">
        <is>
          <t>VÄSTERNORRLANDS LÄN</t>
        </is>
      </c>
      <c r="G702" t="inlineStr">
        <is>
          <t>ÖRNSKÖLDSVIK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44522-2022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44840</v>
      </c>
      <c r="E703" s="1" t="n">
        <v>46286</v>
      </c>
      <c r="F703" t="inlineStr">
        <is>
          <t>VÄSTERNORRLANDS LÄN</t>
        </is>
      </c>
      <c r="G703" t="inlineStr">
        <is>
          <t>ÖRNSKÖLDSVIK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45661</v>
      </c>
      <c r="E704" s="1" t="n">
        <v>46286</v>
      </c>
      <c r="F704" t="inlineStr">
        <is>
          <t>VÄSTERNORRLANDS LÄN</t>
        </is>
      </c>
      <c r="G704" t="inlineStr">
        <is>
          <t>ÖRNSKÖLDSVIK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11308-2024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45371</v>
      </c>
      <c r="E705" s="1" t="n">
        <v>46286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Kyrkan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38033-2024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45544</v>
      </c>
      <c r="E706" s="1" t="n">
        <v>46286</v>
      </c>
      <c r="F706" t="inlineStr">
        <is>
          <t>VÄSTERNORRLANDS LÄN</t>
        </is>
      </c>
      <c r="G706" t="inlineStr">
        <is>
          <t>ÖRNSKÖLDSVIK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45545</v>
      </c>
      <c r="E707" s="1" t="n">
        <v>46286</v>
      </c>
      <c r="F707" t="inlineStr">
        <is>
          <t>VÄSTERNORRLANDS LÄN</t>
        </is>
      </c>
      <c r="G707" t="inlineStr">
        <is>
          <t>ÖRNSKÖLDSVIK</t>
        </is>
      </c>
      <c r="I707" t="n">
        <v>13.3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43236-2023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45183</v>
      </c>
      <c r="E708" s="1" t="n">
        <v>46286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45884</v>
      </c>
      <c r="E709" s="1" t="n">
        <v>46286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9.699999999999999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39739-2022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44819</v>
      </c>
      <c r="E710" s="1" t="n">
        <v>46286</v>
      </c>
      <c r="F710" t="inlineStr">
        <is>
          <t>VÄSTERNORRLANDS LÄN</t>
        </is>
      </c>
      <c r="G710" t="inlineStr">
        <is>
          <t>ÖRNSKÖLDSVIK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46139</v>
      </c>
      <c r="E711" s="1" t="n">
        <v>46286</v>
      </c>
      <c r="F711" t="inlineStr">
        <is>
          <t>VÄSTERNORRLANDS LÄN</t>
        </is>
      </c>
      <c r="G711" t="inlineStr">
        <is>
          <t>ÖRNSKÖLDSVIK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42347-2023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45180</v>
      </c>
      <c r="E712" s="1" t="n">
        <v>46286</v>
      </c>
      <c r="F712" t="inlineStr">
        <is>
          <t>VÄSTERNORRLANDS LÄN</t>
        </is>
      </c>
      <c r="G712" t="inlineStr">
        <is>
          <t>ÖRNSKÖLDSVIK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44961-2025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45918</v>
      </c>
      <c r="E713" s="1" t="n">
        <v>46286</v>
      </c>
      <c r="F713" t="inlineStr">
        <is>
          <t>VÄSTERNORRLANDS LÄN</t>
        </is>
      </c>
      <c r="G713" t="inlineStr">
        <is>
          <t>ÖRNSKÖLDSVIK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62636-2021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44503</v>
      </c>
      <c r="E714" s="1" t="n">
        <v>46286</v>
      </c>
      <c r="F714" t="inlineStr">
        <is>
          <t>VÄSTERNORRLANDS LÄN</t>
        </is>
      </c>
      <c r="G714" t="inlineStr">
        <is>
          <t>ÖRNSKÖLDSVIK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68324-2021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44526</v>
      </c>
      <c r="E715" s="1" t="n">
        <v>46286</v>
      </c>
      <c r="F715" t="inlineStr">
        <is>
          <t>VÄSTERNORRLANDS LÄN</t>
        </is>
      </c>
      <c r="G715" t="inlineStr">
        <is>
          <t>ÖRNSKÖLDSVIK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14201-2023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45009</v>
      </c>
      <c r="E716" s="1" t="n">
        <v>46286</v>
      </c>
      <c r="F716" t="inlineStr">
        <is>
          <t>VÄSTERNORRLANDS LÄN</t>
        </is>
      </c>
      <c r="G716" t="inlineStr">
        <is>
          <t>ÖRNSKÖLDSVIK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34632-2023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45140</v>
      </c>
      <c r="E717" s="1" t="n">
        <v>46286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25888-2024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45467</v>
      </c>
      <c r="E718" s="1" t="n">
        <v>46286</v>
      </c>
      <c r="F718" t="inlineStr">
        <is>
          <t>VÄSTERNORRLANDS LÄN</t>
        </is>
      </c>
      <c r="G718" t="inlineStr">
        <is>
          <t>ÖRNSKÖLDSVIK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23097-2023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45075</v>
      </c>
      <c r="E719" s="1" t="n">
        <v>46286</v>
      </c>
      <c r="F719" t="inlineStr">
        <is>
          <t>VÄSTERNORRLANDS LÄN</t>
        </is>
      </c>
      <c r="G719" t="inlineStr">
        <is>
          <t>ÖRNSKÖLDSVIK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28438-2024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46286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45524</v>
      </c>
      <c r="E721" s="1" t="n">
        <v>46286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20386-2026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46286</v>
      </c>
      <c r="F722" t="inlineStr">
        <is>
          <t>VÄSTERNORRLANDS LÄN</t>
        </is>
      </c>
      <c r="G722" t="inlineStr">
        <is>
          <t>ÖRNSKÖLDSVIK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39423-2025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45889</v>
      </c>
      <c r="E723" s="1" t="n">
        <v>46286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34221-2024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45524</v>
      </c>
      <c r="E724" s="1" t="n">
        <v>46286</v>
      </c>
      <c r="F724" t="inlineStr">
        <is>
          <t>VÄSTERNORRLANDS LÄN</t>
        </is>
      </c>
      <c r="G724" t="inlineStr">
        <is>
          <t>ÖRNSKÖLDSVIK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45888</v>
      </c>
      <c r="E725" s="1" t="n">
        <v>46286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9.699999999999999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45888</v>
      </c>
      <c r="E726" s="1" t="n">
        <v>46286</v>
      </c>
      <c r="F726" t="inlineStr">
        <is>
          <t>VÄSTERNORRLANDS LÄN</t>
        </is>
      </c>
      <c r="G726" t="inlineStr">
        <is>
          <t>ÖRNSKÖLDSVIK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39833-2024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45553</v>
      </c>
      <c r="E727" s="1" t="n">
        <v>46286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39199-2025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45888</v>
      </c>
      <c r="E728" s="1" t="n">
        <v>46286</v>
      </c>
      <c r="F728" t="inlineStr">
        <is>
          <t>VÄSTERNORRLANDS LÄN</t>
        </is>
      </c>
      <c r="G728" t="inlineStr">
        <is>
          <t>ÖRNSKÖLDSVIK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39236-2025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45888</v>
      </c>
      <c r="E729" s="1" t="n">
        <v>46286</v>
      </c>
      <c r="F729" t="inlineStr">
        <is>
          <t>VÄSTERNORRLANDS LÄN</t>
        </is>
      </c>
      <c r="G729" t="inlineStr">
        <is>
          <t>ÖRNSKÖLDSVIK</t>
        </is>
      </c>
      <c r="I729" t="n">
        <v>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34692-2022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44795</v>
      </c>
      <c r="E730" s="1" t="n">
        <v>46286</v>
      </c>
      <c r="F730" t="inlineStr">
        <is>
          <t>VÄSTERNORRLANDS LÄN</t>
        </is>
      </c>
      <c r="G730" t="inlineStr">
        <is>
          <t>ÖRNSKÖLDSVIK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45782</v>
      </c>
      <c r="E731" s="1" t="n">
        <v>46286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27818-2023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45098</v>
      </c>
      <c r="E732" s="1" t="n">
        <v>46286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38884-2025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45887</v>
      </c>
      <c r="E733" s="1" t="n">
        <v>46286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39078-2025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45888</v>
      </c>
      <c r="E734" s="1" t="n">
        <v>46286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38983-2025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45888</v>
      </c>
      <c r="E735" s="1" t="n">
        <v>46286</v>
      </c>
      <c r="F735" t="inlineStr">
        <is>
          <t>VÄSTERNORRLANDS LÄN</t>
        </is>
      </c>
      <c r="G735" t="inlineStr">
        <is>
          <t>ÖRNSKÖLDSVIK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39050-2025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45888</v>
      </c>
      <c r="E736" s="1" t="n">
        <v>46286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59393-2024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46286</v>
      </c>
      <c r="F737" t="inlineStr">
        <is>
          <t>VÄSTERNORRLANDS LÄN</t>
        </is>
      </c>
      <c r="G737" t="inlineStr">
        <is>
          <t>ÖRNSKÖLDSVIK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10763-2024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45369</v>
      </c>
      <c r="E738" s="1" t="n">
        <v>46286</v>
      </c>
      <c r="F738" t="inlineStr">
        <is>
          <t>VÄSTERNORRLANDS LÄN</t>
        </is>
      </c>
      <c r="G738" t="inlineStr">
        <is>
          <t>ÖRNSKÖLDSVIK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45772-2025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46286</v>
      </c>
      <c r="F739" t="inlineStr">
        <is>
          <t>VÄSTERNORRLANDS LÄN</t>
        </is>
      </c>
      <c r="G739" t="inlineStr">
        <is>
          <t>ÖRNSKÖLDSVIK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30644-2023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45112</v>
      </c>
      <c r="E740" s="1" t="n">
        <v>46286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35250-2022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44798</v>
      </c>
      <c r="E741" s="1" t="n">
        <v>46286</v>
      </c>
      <c r="F741" t="inlineStr">
        <is>
          <t>VÄSTERNORRLANDS LÄN</t>
        </is>
      </c>
      <c r="G741" t="inlineStr">
        <is>
          <t>ÖRNSKÖLDSVIK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35266-2022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44798</v>
      </c>
      <c r="E742" s="1" t="n">
        <v>46286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Kyrkan</t>
        </is>
      </c>
      <c r="I742" t="n">
        <v>13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21034-2024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45439</v>
      </c>
      <c r="E743" s="1" t="n">
        <v>46286</v>
      </c>
      <c r="F743" t="inlineStr">
        <is>
          <t>VÄSTERNORRLANDS LÄN</t>
        </is>
      </c>
      <c r="G743" t="inlineStr">
        <is>
          <t>ÖRNSKÖLDSVIK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53457-2023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45229</v>
      </c>
      <c r="E744" s="1" t="n">
        <v>46286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39525-2025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45890</v>
      </c>
      <c r="E745" s="1" t="n">
        <v>46286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30100-2025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45826</v>
      </c>
      <c r="E746" s="1" t="n">
        <v>46286</v>
      </c>
      <c r="F746" t="inlineStr">
        <is>
          <t>VÄSTERNORRLANDS LÄN</t>
        </is>
      </c>
      <c r="G746" t="inlineStr">
        <is>
          <t>ÖRNSKÖLDSVIK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31721-2024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45509</v>
      </c>
      <c r="E747" s="1" t="n">
        <v>46286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47836-2022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44855</v>
      </c>
      <c r="E748" s="1" t="n">
        <v>46286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38726-2025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45887</v>
      </c>
      <c r="E749" s="1" t="n">
        <v>46286</v>
      </c>
      <c r="F749" t="inlineStr">
        <is>
          <t>VÄSTERNORRLANDS LÄN</t>
        </is>
      </c>
      <c r="G749" t="inlineStr">
        <is>
          <t>ÖRNSKÖLDSVIK</t>
        </is>
      </c>
      <c r="I749" t="n">
        <v>14.4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20856-2024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45439</v>
      </c>
      <c r="E750" s="1" t="n">
        <v>46286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48701-2024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45593</v>
      </c>
      <c r="E751" s="1" t="n">
        <v>46286</v>
      </c>
      <c r="F751" t="inlineStr">
        <is>
          <t>VÄSTERNORRLANDS LÄN</t>
        </is>
      </c>
      <c r="G751" t="inlineStr">
        <is>
          <t>ÖRNSKÖLDSVIK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54582-2024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45617</v>
      </c>
      <c r="E752" s="1" t="n">
        <v>46286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23869-2024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45455</v>
      </c>
      <c r="E753" s="1" t="n">
        <v>46286</v>
      </c>
      <c r="F753" t="inlineStr">
        <is>
          <t>VÄSTERNORRLANDS LÄN</t>
        </is>
      </c>
      <c r="G753" t="inlineStr">
        <is>
          <t>ÖRNSKÖLDSVIK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53162-2021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44468</v>
      </c>
      <c r="E754" s="1" t="n">
        <v>46286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9.199999999999999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40037-2025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45894</v>
      </c>
      <c r="E755" s="1" t="n">
        <v>46286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44498-2023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45189</v>
      </c>
      <c r="E756" s="1" t="n">
        <v>46286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45300</v>
      </c>
      <c r="E757" s="1" t="n">
        <v>46286</v>
      </c>
      <c r="F757" t="inlineStr">
        <is>
          <t>VÄSTERNORRLANDS LÄN</t>
        </is>
      </c>
      <c r="G757" t="inlineStr">
        <is>
          <t>ÖRNSKÖLDSVIK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40259-2025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45895</v>
      </c>
      <c r="E758" s="1" t="n">
        <v>46286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61121-2024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45645</v>
      </c>
      <c r="E759" s="1" t="n">
        <v>46286</v>
      </c>
      <c r="F759" t="inlineStr">
        <is>
          <t>VÄSTERNORRLANDS LÄN</t>
        </is>
      </c>
      <c r="G759" t="inlineStr">
        <is>
          <t>ÖRNSKÖLDSVIK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39637-2024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45552</v>
      </c>
      <c r="E760" s="1" t="n">
        <v>46286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51783-2024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45607</v>
      </c>
      <c r="E761" s="1" t="n">
        <v>46286</v>
      </c>
      <c r="F761" t="inlineStr">
        <is>
          <t>VÄSTERNORRLANDS LÄN</t>
        </is>
      </c>
      <c r="G761" t="inlineStr">
        <is>
          <t>ÖRNSKÖLDSVIK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45894</v>
      </c>
      <c r="E762" s="1" t="n">
        <v>46286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40121-2025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45894</v>
      </c>
      <c r="E763" s="1" t="n">
        <v>46286</v>
      </c>
      <c r="F763" t="inlineStr">
        <is>
          <t>VÄSTERNORRLANDS LÄN</t>
        </is>
      </c>
      <c r="G763" t="inlineStr">
        <is>
          <t>ÖRNSKÖLDSVIK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40252-2025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45895</v>
      </c>
      <c r="E764" s="1" t="n">
        <v>46286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40825-2025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45897</v>
      </c>
      <c r="E765" s="1" t="n">
        <v>46286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33906-2023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45134</v>
      </c>
      <c r="E766" s="1" t="n">
        <v>46286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38386-2023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45162</v>
      </c>
      <c r="E767" s="1" t="n">
        <v>46286</v>
      </c>
      <c r="F767" t="inlineStr">
        <is>
          <t>VÄSTERNORRLANDS LÄN</t>
        </is>
      </c>
      <c r="G767" t="inlineStr">
        <is>
          <t>ÖRNSKÖLDSVIK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53924-2023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45231</v>
      </c>
      <c r="E768" s="1" t="n">
        <v>46286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45337</v>
      </c>
      <c r="E769" s="1" t="n">
        <v>46286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41979-2023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45177</v>
      </c>
      <c r="E770" s="1" t="n">
        <v>46286</v>
      </c>
      <c r="F770" t="inlineStr">
        <is>
          <t>VÄSTERNORRLANDS LÄN</t>
        </is>
      </c>
      <c r="G770" t="inlineStr">
        <is>
          <t>ÖRNSKÖLDSVIK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40516-2025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45896</v>
      </c>
      <c r="E771" s="1" t="n">
        <v>46286</v>
      </c>
      <c r="F771" t="inlineStr">
        <is>
          <t>VÄSTERNORRLANDS LÄN</t>
        </is>
      </c>
      <c r="G771" t="inlineStr">
        <is>
          <t>ÖRNSKÖLDSVIK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60773-2023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45260</v>
      </c>
      <c r="E772" s="1" t="n">
        <v>46286</v>
      </c>
      <c r="F772" t="inlineStr">
        <is>
          <t>VÄSTERNORRLANDS LÄN</t>
        </is>
      </c>
      <c r="G772" t="inlineStr">
        <is>
          <t>ÖRNSKÖLDSVIK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39317-2024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45551</v>
      </c>
      <c r="E773" s="1" t="n">
        <v>46286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9455-2025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45715</v>
      </c>
      <c r="E774" s="1" t="n">
        <v>46286</v>
      </c>
      <c r="F774" t="inlineStr">
        <is>
          <t>VÄSTERNORRLANDS LÄN</t>
        </is>
      </c>
      <c r="G774" t="inlineStr">
        <is>
          <t>ÖRNSKÖLDSVIK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41489-2025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45901</v>
      </c>
      <c r="E775" s="1" t="n">
        <v>46286</v>
      </c>
      <c r="F775" t="inlineStr">
        <is>
          <t>VÄSTERNORRLANDS LÄN</t>
        </is>
      </c>
      <c r="G775" t="inlineStr">
        <is>
          <t>ÖRNSKÖLDSVIK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45461</v>
      </c>
      <c r="E776" s="1" t="n">
        <v>46286</v>
      </c>
      <c r="F776" t="inlineStr">
        <is>
          <t>VÄSTERNORRLANDS LÄN</t>
        </is>
      </c>
      <c r="G776" t="inlineStr">
        <is>
          <t>ÖRNSKÖLDSVIK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37947-2023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45160</v>
      </c>
      <c r="E777" s="1" t="n">
        <v>46286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38714-2024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45547</v>
      </c>
      <c r="E778" s="1" t="n">
        <v>46286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41067-2025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45898</v>
      </c>
      <c r="E779" s="1" t="n">
        <v>46286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33191-2024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45518</v>
      </c>
      <c r="E780" s="1" t="n">
        <v>46286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45533</v>
      </c>
      <c r="E781" s="1" t="n">
        <v>46286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41545-2025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45901</v>
      </c>
      <c r="E782" s="1" t="n">
        <v>46286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41103-2025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45898</v>
      </c>
      <c r="E783" s="1" t="n">
        <v>46286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58702-2023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45251</v>
      </c>
      <c r="E784" s="1" t="n">
        <v>46286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34462-2024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45525</v>
      </c>
      <c r="E785" s="1" t="n">
        <v>46286</v>
      </c>
      <c r="F785" t="inlineStr">
        <is>
          <t>VÄSTERNORRLANDS LÄN</t>
        </is>
      </c>
      <c r="G785" t="inlineStr">
        <is>
          <t>ÖRNSKÖLDSVIK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41143-2025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45898</v>
      </c>
      <c r="E786" s="1" t="n">
        <v>46286</v>
      </c>
      <c r="F786" t="inlineStr">
        <is>
          <t>VÄSTERNORRLANDS LÄN</t>
        </is>
      </c>
      <c r="G786" t="inlineStr">
        <is>
          <t>ÖRNSKÖLDSVIK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41931-2025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45903</v>
      </c>
      <c r="E787" s="1" t="n">
        <v>46286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41903-2025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45903</v>
      </c>
      <c r="E788" s="1" t="n">
        <v>46286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20380-2026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46139</v>
      </c>
      <c r="E789" s="1" t="n">
        <v>46286</v>
      </c>
      <c r="F789" t="inlineStr">
        <is>
          <t>VÄSTERNORRLANDS LÄN</t>
        </is>
      </c>
      <c r="G789" t="inlineStr">
        <is>
          <t>ÖRNSKÖLDSVIK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42034-2025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45903</v>
      </c>
      <c r="E790" s="1" t="n">
        <v>46286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21737-2023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45065</v>
      </c>
      <c r="E791" s="1" t="n">
        <v>46286</v>
      </c>
      <c r="F791" t="inlineStr">
        <is>
          <t>VÄSTERNORRLANDS LÄN</t>
        </is>
      </c>
      <c r="G791" t="inlineStr">
        <is>
          <t>ÖRNSKÖLDSVIK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42080-2025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45903</v>
      </c>
      <c r="E792" s="1" t="n">
        <v>46286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41894-2025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45903</v>
      </c>
      <c r="E793" s="1" t="n">
        <v>46286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26865-2025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45810</v>
      </c>
      <c r="E794" s="1" t="n">
        <v>46286</v>
      </c>
      <c r="F794" t="inlineStr">
        <is>
          <t>VÄSTERNORRLANDS LÄN</t>
        </is>
      </c>
      <c r="G794" t="inlineStr">
        <is>
          <t>ÖRNSKÖLDSVIK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46038</v>
      </c>
      <c r="E795" s="1" t="n">
        <v>46286</v>
      </c>
      <c r="F795" t="inlineStr">
        <is>
          <t>VÄSTERNORRLANDS LÄN</t>
        </is>
      </c>
      <c r="G795" t="inlineStr">
        <is>
          <t>ÖRNSKÖLDSVIK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6510-2025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45699</v>
      </c>
      <c r="E796" s="1" t="n">
        <v>46286</v>
      </c>
      <c r="F796" t="inlineStr">
        <is>
          <t>VÄSTERNORRLANDS LÄN</t>
        </is>
      </c>
      <c r="G796" t="inlineStr">
        <is>
          <t>ÖRNSKÖLDSVIK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8019-2025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45707</v>
      </c>
      <c r="E797" s="1" t="n">
        <v>46286</v>
      </c>
      <c r="F797" t="inlineStr">
        <is>
          <t>VÄSTERNORRLANDS LÄN</t>
        </is>
      </c>
      <c r="G797" t="inlineStr">
        <is>
          <t>ÖRNSKÖLDSVIK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46031</v>
      </c>
      <c r="E798" s="1" t="n">
        <v>46286</v>
      </c>
      <c r="F798" t="inlineStr">
        <is>
          <t>VÄSTERNORRLANDS LÄN</t>
        </is>
      </c>
      <c r="G798" t="inlineStr">
        <is>
          <t>ÖRNSKÖLDSVIK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60600-2024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45644</v>
      </c>
      <c r="E799" s="1" t="n">
        <v>46286</v>
      </c>
      <c r="F799" t="inlineStr">
        <is>
          <t>VÄSTERNORRLANDS LÄN</t>
        </is>
      </c>
      <c r="G799" t="inlineStr">
        <is>
          <t>ÖRNSKÖLDSVIK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42164-2025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45904</v>
      </c>
      <c r="E800" s="1" t="n">
        <v>46286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42450-2025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45905</v>
      </c>
      <c r="E801" s="1" t="n">
        <v>46286</v>
      </c>
      <c r="F801" t="inlineStr">
        <is>
          <t>VÄSTERNORRLANDS LÄN</t>
        </is>
      </c>
      <c r="G801" t="inlineStr">
        <is>
          <t>ÖRNSKÖLDSVIK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42451-2025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45905</v>
      </c>
      <c r="E802" s="1" t="n">
        <v>46286</v>
      </c>
      <c r="F802" t="inlineStr">
        <is>
          <t>VÄSTERNORRLANDS LÄN</t>
        </is>
      </c>
      <c r="G802" t="inlineStr">
        <is>
          <t>ÖRNSKÖLDSVIK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61212-2024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45645</v>
      </c>
      <c r="E803" s="1" t="n">
        <v>46286</v>
      </c>
      <c r="F803" t="inlineStr">
        <is>
          <t>VÄSTERNORRLANDS LÄN</t>
        </is>
      </c>
      <c r="G803" t="inlineStr">
        <is>
          <t>ÖRNSKÖLDSVIK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42254-2025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45904</v>
      </c>
      <c r="E804" s="1" t="n">
        <v>46286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42418-2025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45905</v>
      </c>
      <c r="E805" s="1" t="n">
        <v>46286</v>
      </c>
      <c r="F805" t="inlineStr">
        <is>
          <t>VÄSTERNORRLANDS LÄN</t>
        </is>
      </c>
      <c r="G805" t="inlineStr">
        <is>
          <t>ÖRNSKÖLDSVIK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42299-2025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45904</v>
      </c>
      <c r="E806" s="1" t="n">
        <v>46286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42239-2025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45904</v>
      </c>
      <c r="E807" s="1" t="n">
        <v>46286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30118-2024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45489</v>
      </c>
      <c r="E808" s="1" t="n">
        <v>46286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43053-2025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45909</v>
      </c>
      <c r="E809" s="1" t="n">
        <v>46286</v>
      </c>
      <c r="F809" t="inlineStr">
        <is>
          <t>VÄSTERNORRLANDS LÄN</t>
        </is>
      </c>
      <c r="G809" t="inlineStr">
        <is>
          <t>ÖRNSKÖLDSVIK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43035-2025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45909</v>
      </c>
      <c r="E810" s="1" t="n">
        <v>46286</v>
      </c>
      <c r="F810" t="inlineStr">
        <is>
          <t>VÄSTERNORRLANDS LÄN</t>
        </is>
      </c>
      <c r="G810" t="inlineStr">
        <is>
          <t>ÖRNSKÖLDSVIK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31410-2024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45505</v>
      </c>
      <c r="E811" s="1" t="n">
        <v>46286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43023-2025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45909</v>
      </c>
      <c r="E812" s="1" t="n">
        <v>46286</v>
      </c>
      <c r="F812" t="inlineStr">
        <is>
          <t>VÄSTERNORRLANDS LÄN</t>
        </is>
      </c>
      <c r="G812" t="inlineStr">
        <is>
          <t>ÖRNSKÖLDSVIK</t>
        </is>
      </c>
      <c r="I812" t="n">
        <v>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56584-2023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45238</v>
      </c>
      <c r="E813" s="1" t="n">
        <v>46286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Kyrkan</t>
        </is>
      </c>
      <c r="I813" t="n">
        <v>7.8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48215-2025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45933</v>
      </c>
      <c r="E814" s="1" t="n">
        <v>46286</v>
      </c>
      <c r="F814" t="inlineStr">
        <is>
          <t>VÄSTERNORRLANDS LÄN</t>
        </is>
      </c>
      <c r="G814" t="inlineStr">
        <is>
          <t>ÖRNSKÖLDSVIK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40424-2025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45895</v>
      </c>
      <c r="E815" s="1" t="n">
        <v>46286</v>
      </c>
      <c r="F815" t="inlineStr">
        <is>
          <t>VÄSTERNORRLANDS LÄN</t>
        </is>
      </c>
      <c r="G815" t="inlineStr">
        <is>
          <t>ÖRNSKÖLDSVIK</t>
        </is>
      </c>
      <c r="I815" t="n">
        <v>10.1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42699-2025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45908</v>
      </c>
      <c r="E816" s="1" t="n">
        <v>46286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42700-2025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45908</v>
      </c>
      <c r="E817" s="1" t="n">
        <v>46286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43105-2025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45909</v>
      </c>
      <c r="E818" s="1" t="n">
        <v>46286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45832</v>
      </c>
      <c r="E819" s="1" t="n">
        <v>46286</v>
      </c>
      <c r="F819" t="inlineStr">
        <is>
          <t>VÄSTERNORRLANDS LÄN</t>
        </is>
      </c>
      <c r="G819" t="inlineStr">
        <is>
          <t>ÖRNSKÖLDSVIK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45649</v>
      </c>
      <c r="E820" s="1" t="n">
        <v>46286</v>
      </c>
      <c r="F820" t="inlineStr">
        <is>
          <t>VÄSTERNORRLANDS LÄN</t>
        </is>
      </c>
      <c r="G820" t="inlineStr">
        <is>
          <t>ÖRNSKÖLDSVIK</t>
        </is>
      </c>
      <c r="I820" t="n">
        <v>13.6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48913-2023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45204</v>
      </c>
      <c r="E821" s="1" t="n">
        <v>46286</v>
      </c>
      <c r="F821" t="inlineStr">
        <is>
          <t>VÄSTERNORRLANDS LÄN</t>
        </is>
      </c>
      <c r="G821" t="inlineStr">
        <is>
          <t>ÖRNSKÖLDSVIK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20687-2026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46141</v>
      </c>
      <c r="E822" s="1" t="n">
        <v>46286</v>
      </c>
      <c r="F822" t="inlineStr">
        <is>
          <t>VÄSTERNORRLANDS LÄN</t>
        </is>
      </c>
      <c r="G822" t="inlineStr">
        <is>
          <t>ÖRNSKÖLDSVIK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20526-2026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46140</v>
      </c>
      <c r="E823" s="1" t="n">
        <v>46286</v>
      </c>
      <c r="F823" t="inlineStr">
        <is>
          <t>VÄSTERNORRLANDS LÄN</t>
        </is>
      </c>
      <c r="G823" t="inlineStr">
        <is>
          <t>ÖRNSKÖLDSVIK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43403-2025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45911</v>
      </c>
      <c r="E824" s="1" t="n">
        <v>46286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43417-2025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45911</v>
      </c>
      <c r="E825" s="1" t="n">
        <v>46286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43418-2025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45911</v>
      </c>
      <c r="E826" s="1" t="n">
        <v>46286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28371-2025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45818</v>
      </c>
      <c r="E827" s="1" t="n">
        <v>46286</v>
      </c>
      <c r="F827" t="inlineStr">
        <is>
          <t>VÄSTERNORRLANDS LÄN</t>
        </is>
      </c>
      <c r="G827" t="inlineStr">
        <is>
          <t>ÖRNSKÖLDSVIK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42396-2023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45175</v>
      </c>
      <c r="E828" s="1" t="n">
        <v>46286</v>
      </c>
      <c r="F828" t="inlineStr">
        <is>
          <t>VÄSTERNORRLANDS LÄN</t>
        </is>
      </c>
      <c r="G828" t="inlineStr">
        <is>
          <t>ÖRNSKÖLDSVIK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9853-2025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45716</v>
      </c>
      <c r="E829" s="1" t="n">
        <v>46286</v>
      </c>
      <c r="F829" t="inlineStr">
        <is>
          <t>VÄSTERNORRLANDS LÄN</t>
        </is>
      </c>
      <c r="G829" t="inlineStr">
        <is>
          <t>ÖRNSKÖLDSVIK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44002-2025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46286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44008-2025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46286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44123-2025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46286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54696-2025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45966</v>
      </c>
      <c r="E833" s="1" t="n">
        <v>46286</v>
      </c>
      <c r="F833" t="inlineStr">
        <is>
          <t>VÄSTERNORRLANDS LÄN</t>
        </is>
      </c>
      <c r="G833" t="inlineStr">
        <is>
          <t>ÖRNSKÖLDSVIK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42419-2025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45905</v>
      </c>
      <c r="E834" s="1" t="n">
        <v>46286</v>
      </c>
      <c r="F834" t="inlineStr">
        <is>
          <t>VÄSTERNORRLANDS LÄN</t>
        </is>
      </c>
      <c r="G834" t="inlineStr">
        <is>
          <t>ÖRNSKÖLDSVIK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44314-2025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46286</v>
      </c>
      <c r="F835" t="inlineStr">
        <is>
          <t>VÄSTERNORRLANDS LÄN</t>
        </is>
      </c>
      <c r="G835" t="inlineStr">
        <is>
          <t>ÖRNSKÖLDSVIK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43696-2025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45912</v>
      </c>
      <c r="E836" s="1" t="n">
        <v>46286</v>
      </c>
      <c r="F836" t="inlineStr">
        <is>
          <t>VÄSTERNORRLANDS LÄN</t>
        </is>
      </c>
      <c r="G836" t="inlineStr">
        <is>
          <t>ÖRNSKÖLDSVIK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44222-2025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46286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45649</v>
      </c>
      <c r="E838" s="1" t="n">
        <v>46286</v>
      </c>
      <c r="F838" t="inlineStr">
        <is>
          <t>VÄSTERNORRLANDS LÄN</t>
        </is>
      </c>
      <c r="G838" t="inlineStr">
        <is>
          <t>ÖRNSKÖLDSVIK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54500-2021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44473</v>
      </c>
      <c r="E839" s="1" t="n">
        <v>46286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43810-2025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45912</v>
      </c>
      <c r="E840" s="1" t="n">
        <v>46286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43927-2025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45915</v>
      </c>
      <c r="E841" s="1" t="n">
        <v>46286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45943-2023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45195</v>
      </c>
      <c r="E842" s="1" t="n">
        <v>46286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44352-2025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45915</v>
      </c>
      <c r="E843" s="1" t="n">
        <v>46286</v>
      </c>
      <c r="F843" t="inlineStr">
        <is>
          <t>VÄSTERNORRLANDS LÄN</t>
        </is>
      </c>
      <c r="G843" t="inlineStr">
        <is>
          <t>ÖRNSKÖLDSVIK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11925-2024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45376</v>
      </c>
      <c r="E844" s="1" t="n">
        <v>46286</v>
      </c>
      <c r="F844" t="inlineStr">
        <is>
          <t>VÄSTERNORRLANDS LÄN</t>
        </is>
      </c>
      <c r="G844" t="inlineStr">
        <is>
          <t>ÖRNSKÖLDSVIK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10485-2025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45721</v>
      </c>
      <c r="E845" s="1" t="n">
        <v>46286</v>
      </c>
      <c r="F845" t="inlineStr">
        <is>
          <t>VÄSTERNORRLANDS LÄN</t>
        </is>
      </c>
      <c r="G845" t="inlineStr">
        <is>
          <t>ÖRNSKÖLDSVIK</t>
        </is>
      </c>
      <c r="I845" t="n">
        <v>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44255-2025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45915</v>
      </c>
      <c r="E846" s="1" t="n">
        <v>46286</v>
      </c>
      <c r="F846" t="inlineStr">
        <is>
          <t>VÄSTERNORRLANDS LÄN</t>
        </is>
      </c>
      <c r="G846" t="inlineStr">
        <is>
          <t>ÖRNSKÖLDSVIK</t>
        </is>
      </c>
      <c r="I846" t="n">
        <v>8.5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43712-2025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45912</v>
      </c>
      <c r="E847" s="1" t="n">
        <v>46286</v>
      </c>
      <c r="F847" t="inlineStr">
        <is>
          <t>VÄSTERNORRLANDS LÄN</t>
        </is>
      </c>
      <c r="G847" t="inlineStr">
        <is>
          <t>ÖRNSKÖLDSVIK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60867-2021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44497</v>
      </c>
      <c r="E848" s="1" t="n">
        <v>46286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26066-2025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45805</v>
      </c>
      <c r="E849" s="1" t="n">
        <v>46286</v>
      </c>
      <c r="F849" t="inlineStr">
        <is>
          <t>VÄSTERNORRLANDS LÄN</t>
        </is>
      </c>
      <c r="G849" t="inlineStr">
        <is>
          <t>ÖRNSKÖLDSVIK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44738-2025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45917</v>
      </c>
      <c r="E850" s="1" t="n">
        <v>46286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40134-2023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45169</v>
      </c>
      <c r="E851" s="1" t="n">
        <v>46286</v>
      </c>
      <c r="F851" t="inlineStr">
        <is>
          <t>VÄSTERNORRLANDS LÄN</t>
        </is>
      </c>
      <c r="G851" t="inlineStr">
        <is>
          <t>ÖRNSKÖLDSVIK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44490-2025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45916</v>
      </c>
      <c r="E852" s="1" t="n">
        <v>46286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18.1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21908-2025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45784</v>
      </c>
      <c r="E853" s="1" t="n">
        <v>46286</v>
      </c>
      <c r="F853" t="inlineStr">
        <is>
          <t>VÄSTERNORRLANDS LÄN</t>
        </is>
      </c>
      <c r="G853" t="inlineStr">
        <is>
          <t>ÖRNSKÖLDSVIK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48323-2023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45201</v>
      </c>
      <c r="E854" s="1" t="n">
        <v>46286</v>
      </c>
      <c r="F854" t="inlineStr">
        <is>
          <t>VÄSTERNORRLANDS LÄN</t>
        </is>
      </c>
      <c r="G854" t="inlineStr">
        <is>
          <t>ÖRNSKÖLDSVIK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38933-2025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45887</v>
      </c>
      <c r="E855" s="1" t="n">
        <v>46286</v>
      </c>
      <c r="F855" t="inlineStr">
        <is>
          <t>VÄSTERNORRLANDS LÄN</t>
        </is>
      </c>
      <c r="G855" t="inlineStr">
        <is>
          <t>ÖRNSKÖLDSVIK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7292-2026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46058</v>
      </c>
      <c r="E856" s="1" t="n">
        <v>46286</v>
      </c>
      <c r="F856" t="inlineStr">
        <is>
          <t>VÄSTERNORRLANDS LÄN</t>
        </is>
      </c>
      <c r="G856" t="inlineStr">
        <is>
          <t>ÖRNSKÖLDSVIK</t>
        </is>
      </c>
      <c r="I856" t="n">
        <v>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44689-2025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45917</v>
      </c>
      <c r="E857" s="1" t="n">
        <v>46286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45667</v>
      </c>
      <c r="E858" s="1" t="n">
        <v>46286</v>
      </c>
      <c r="F858" t="inlineStr">
        <is>
          <t>VÄSTERNORRLANDS LÄN</t>
        </is>
      </c>
      <c r="G858" t="inlineStr">
        <is>
          <t>ÖRNSKÖLDSVIK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51479-2024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45604</v>
      </c>
      <c r="E859" s="1" t="n">
        <v>46286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14562-2026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46100</v>
      </c>
      <c r="E860" s="1" t="n">
        <v>46286</v>
      </c>
      <c r="F860" t="inlineStr">
        <is>
          <t>VÄSTERNORRLANDS LÄN</t>
        </is>
      </c>
      <c r="G860" t="inlineStr">
        <is>
          <t>ÖRNSKÖLDSVIK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45229-2025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45919</v>
      </c>
      <c r="E861" s="1" t="n">
        <v>46286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22263-2023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45068</v>
      </c>
      <c r="E862" s="1" t="n">
        <v>46286</v>
      </c>
      <c r="F862" t="inlineStr">
        <is>
          <t>VÄSTERNORRLANDS LÄN</t>
        </is>
      </c>
      <c r="G862" t="inlineStr">
        <is>
          <t>ÖRNSKÖLDSVIK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45220-2025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45919</v>
      </c>
      <c r="E863" s="1" t="n">
        <v>46286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18465-2025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45762</v>
      </c>
      <c r="E864" s="1" t="n">
        <v>46286</v>
      </c>
      <c r="F864" t="inlineStr">
        <is>
          <t>VÄSTERNORRLANDS LÄN</t>
        </is>
      </c>
      <c r="G864" t="inlineStr">
        <is>
          <t>ÖRNSKÖLDSVIK</t>
        </is>
      </c>
      <c r="I864" t="n">
        <v>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10784-2023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44988</v>
      </c>
      <c r="E865" s="1" t="n">
        <v>46286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44947-2025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45918</v>
      </c>
      <c r="E866" s="1" t="n">
        <v>46286</v>
      </c>
      <c r="F866" t="inlineStr">
        <is>
          <t>VÄSTERNORRLANDS LÄN</t>
        </is>
      </c>
      <c r="G866" t="inlineStr">
        <is>
          <t>ÖRNSKÖLDSVIK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44952-2025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45918</v>
      </c>
      <c r="E867" s="1" t="n">
        <v>46286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6210-2025</t>
        </is>
      </c>
      <c r="B868" t="inlineStr">
        <is>
          <t>avverkningsanmälan</t>
        </is>
      </c>
      <c r="C868" t="inlineStr">
        <is>
          <t>Avverkning för att bevara och utveckla /försöksver</t>
        </is>
      </c>
      <c r="D868" s="1" t="n">
        <v>45698</v>
      </c>
      <c r="E868" s="1" t="n">
        <v>46286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45026-2025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45918</v>
      </c>
      <c r="E869" s="1" t="n">
        <v>46286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45095-2025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45919</v>
      </c>
      <c r="E870" s="1" t="n">
        <v>46286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60938-2025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45996</v>
      </c>
      <c r="E871" s="1" t="n">
        <v>46286</v>
      </c>
      <c r="F871" t="inlineStr">
        <is>
          <t>VÄSTERNORRLANDS LÄN</t>
        </is>
      </c>
      <c r="G871" t="inlineStr">
        <is>
          <t>ÖRNSKÖLDSVIK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45817-2025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46286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45793-2025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46286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45653-2025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45923</v>
      </c>
      <c r="E874" s="1" t="n">
        <v>46286</v>
      </c>
      <c r="F874" t="inlineStr">
        <is>
          <t>VÄSTERNORRLANDS LÄN</t>
        </is>
      </c>
      <c r="G874" t="inlineStr">
        <is>
          <t>ÖRNSKÖLDSVIK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45652-2025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46286</v>
      </c>
      <c r="F875" t="inlineStr">
        <is>
          <t>VÄSTERNORRLANDS LÄN</t>
        </is>
      </c>
      <c r="G875" t="inlineStr">
        <is>
          <t>ÖRNSKÖLDSVIK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45880-2025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46286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45461-2025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45922</v>
      </c>
      <c r="E877" s="1" t="n">
        <v>46286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9.6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45532-2025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45922</v>
      </c>
      <c r="E878" s="1" t="n">
        <v>46286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16489-2023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45027</v>
      </c>
      <c r="E879" s="1" t="n">
        <v>46286</v>
      </c>
      <c r="F879" t="inlineStr">
        <is>
          <t>VÄSTERNORRLANDS LÄN</t>
        </is>
      </c>
      <c r="G879" t="inlineStr">
        <is>
          <t>ÖRNSKÖLDSVIK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45667-2025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45923</v>
      </c>
      <c r="E880" s="1" t="n">
        <v>46286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45592-2025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46286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25.8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16060-2022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44665</v>
      </c>
      <c r="E882" s="1" t="n">
        <v>46286</v>
      </c>
      <c r="F882" t="inlineStr">
        <is>
          <t>VÄSTERNORRLANDS LÄN</t>
        </is>
      </c>
      <c r="G882" t="inlineStr">
        <is>
          <t>ÖRNSKÖLDSVIK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27562-2024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45474</v>
      </c>
      <c r="E883" s="1" t="n">
        <v>46286</v>
      </c>
      <c r="F883" t="inlineStr">
        <is>
          <t>VÄSTERNORRLANDS LÄN</t>
        </is>
      </c>
      <c r="G883" t="inlineStr">
        <is>
          <t>ÖRNSKÖLDSVIK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46137-2025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45924</v>
      </c>
      <c r="E884" s="1" t="n">
        <v>46286</v>
      </c>
      <c r="F884" t="inlineStr">
        <is>
          <t>VÄSTERNORRLANDS LÄN</t>
        </is>
      </c>
      <c r="G884" t="inlineStr">
        <is>
          <t>ÖRNSKÖLDSVIK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45975-2025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46286</v>
      </c>
      <c r="F885" t="inlineStr">
        <is>
          <t>VÄSTERNORRLANDS LÄN</t>
        </is>
      </c>
      <c r="G885" t="inlineStr">
        <is>
          <t>ÖRNSKÖLDSVIK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48133-2024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45589</v>
      </c>
      <c r="E886" s="1" t="n">
        <v>46286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43176-2022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44834</v>
      </c>
      <c r="E887" s="1" t="n">
        <v>46286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19.8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13494-2023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45005</v>
      </c>
      <c r="E888" s="1" t="n">
        <v>46286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45979-2025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46286</v>
      </c>
      <c r="F889" t="inlineStr">
        <is>
          <t>VÄSTERNORRLANDS LÄN</t>
        </is>
      </c>
      <c r="G889" t="inlineStr">
        <is>
          <t>ÖRNSKÖLDSVIK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36524-2024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45537</v>
      </c>
      <c r="E890" s="1" t="n">
        <v>46286</v>
      </c>
      <c r="F890" t="inlineStr">
        <is>
          <t>VÄSTERNORRLANDS LÄN</t>
        </is>
      </c>
      <c r="G890" t="inlineStr">
        <is>
          <t>ÖRNSKÖLDSVIK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30349-2024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45490</v>
      </c>
      <c r="E891" s="1" t="n">
        <v>46286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39435-2023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45163</v>
      </c>
      <c r="E892" s="1" t="n">
        <v>46286</v>
      </c>
      <c r="F892" t="inlineStr">
        <is>
          <t>VÄSTERNORRLANDS LÄN</t>
        </is>
      </c>
      <c r="G892" t="inlineStr">
        <is>
          <t>ÖRNSKÖLDSVIK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62593-2023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45271</v>
      </c>
      <c r="E893" s="1" t="n">
        <v>46286</v>
      </c>
      <c r="F893" t="inlineStr">
        <is>
          <t>VÄSTERNORRLANDS LÄN</t>
        </is>
      </c>
      <c r="G893" t="inlineStr">
        <is>
          <t>ÖRNSKÖLDSVIK</t>
        </is>
      </c>
      <c r="I893" t="n">
        <v>6.8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46082-2025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45924</v>
      </c>
      <c r="E894" s="1" t="n">
        <v>46286</v>
      </c>
      <c r="F894" t="inlineStr">
        <is>
          <t>VÄSTERNORRLANDS LÄN</t>
        </is>
      </c>
      <c r="G894" t="inlineStr">
        <is>
          <t>ÖRNSKÖLDSVIK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46130-2025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45924</v>
      </c>
      <c r="E895" s="1" t="n">
        <v>46286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27092-2023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45096</v>
      </c>
      <c r="E896" s="1" t="n">
        <v>46286</v>
      </c>
      <c r="F896" t="inlineStr">
        <is>
          <t>VÄSTERNORRLANDS LÄN</t>
        </is>
      </c>
      <c r="G896" t="inlineStr">
        <is>
          <t>ÖRNSKÖLDSVIK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46038-2025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45924</v>
      </c>
      <c r="E897" s="1" t="n">
        <v>46286</v>
      </c>
      <c r="F897" t="inlineStr">
        <is>
          <t>VÄSTERNORRLANDS LÄN</t>
        </is>
      </c>
      <c r="G897" t="inlineStr">
        <is>
          <t>ÖRNSKÖLDSVIK</t>
        </is>
      </c>
      <c r="I897" t="n">
        <v>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46039-2025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45924</v>
      </c>
      <c r="E898" s="1" t="n">
        <v>46286</v>
      </c>
      <c r="F898" t="inlineStr">
        <is>
          <t>VÄSTERNORRLANDS LÄN</t>
        </is>
      </c>
      <c r="G898" t="inlineStr">
        <is>
          <t>ÖRNSKÖLDSVIK</t>
        </is>
      </c>
      <c r="I898" t="n">
        <v>5.7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8250-2025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45708</v>
      </c>
      <c r="E899" s="1" t="n">
        <v>46286</v>
      </c>
      <c r="F899" t="inlineStr">
        <is>
          <t>VÄSTERNORRLANDS LÄN</t>
        </is>
      </c>
      <c r="G899" t="inlineStr">
        <is>
          <t>ÖRNSKÖLDSVIK</t>
        </is>
      </c>
      <c r="I899" t="n">
        <v>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46107-2025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46286</v>
      </c>
      <c r="F900" t="inlineStr">
        <is>
          <t>VÄSTERNORRLANDS LÄN</t>
        </is>
      </c>
      <c r="G900" t="inlineStr">
        <is>
          <t>ÖRNSKÖLDSVIK</t>
        </is>
      </c>
      <c r="I900" t="n">
        <v>12.2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46112-2025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45924</v>
      </c>
      <c r="E901" s="1" t="n">
        <v>46286</v>
      </c>
      <c r="F901" t="inlineStr">
        <is>
          <t>VÄSTERNORRLANDS LÄN</t>
        </is>
      </c>
      <c r="G901" t="inlineStr">
        <is>
          <t>ÖRNSKÖLDSVIK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46048-2025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45924</v>
      </c>
      <c r="E902" s="1" t="n">
        <v>46286</v>
      </c>
      <c r="F902" t="inlineStr">
        <is>
          <t>VÄSTERNORRLANDS LÄN</t>
        </is>
      </c>
      <c r="G902" t="inlineStr">
        <is>
          <t>ÖRNSKÖLDSVIK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46105-2025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46286</v>
      </c>
      <c r="F903" t="inlineStr">
        <is>
          <t>VÄSTERNORRLANDS LÄN</t>
        </is>
      </c>
      <c r="G903" t="inlineStr">
        <is>
          <t>ÖRNSKÖLDSVIK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40990-2025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45898</v>
      </c>
      <c r="E904" s="1" t="n">
        <v>46286</v>
      </c>
      <c r="F904" t="inlineStr">
        <is>
          <t>VÄSTERNORRLANDS LÄN</t>
        </is>
      </c>
      <c r="G904" t="inlineStr">
        <is>
          <t>ÖRNSKÖLDSVIK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46734-2025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45926</v>
      </c>
      <c r="E905" s="1" t="n">
        <v>46286</v>
      </c>
      <c r="F905" t="inlineStr">
        <is>
          <t>VÄSTERNORRLANDS LÄN</t>
        </is>
      </c>
      <c r="G905" t="inlineStr">
        <is>
          <t>ÖRNSKÖLDSVIK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46910-2025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45929</v>
      </c>
      <c r="E906" s="1" t="n">
        <v>46286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46619-2025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46286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46711-2025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46286</v>
      </c>
      <c r="F908" t="inlineStr">
        <is>
          <t>VÄSTERNORRLANDS LÄN</t>
        </is>
      </c>
      <c r="G908" t="inlineStr">
        <is>
          <t>ÖRNSKÖLDSVIK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46941-2025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45929</v>
      </c>
      <c r="E909" s="1" t="n">
        <v>46286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46895-2025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45929</v>
      </c>
      <c r="E910" s="1" t="n">
        <v>46286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27874-2023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45098</v>
      </c>
      <c r="E911" s="1" t="n">
        <v>46286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29671-2023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45107</v>
      </c>
      <c r="E912" s="1" t="n">
        <v>46286</v>
      </c>
      <c r="F912" t="inlineStr">
        <is>
          <t>VÄSTERNORRLANDS LÄN</t>
        </is>
      </c>
      <c r="G912" t="inlineStr">
        <is>
          <t>ÖRNSKÖLDSVIK</t>
        </is>
      </c>
      <c r="I912" t="n">
        <v>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46694-2025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46286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46286</v>
      </c>
      <c r="F914" t="inlineStr">
        <is>
          <t>VÄSTERNORRLANDS LÄN</t>
        </is>
      </c>
      <c r="G914" t="inlineStr">
        <is>
          <t>ÖRNSKÖLDSVIK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46987-2025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45929</v>
      </c>
      <c r="E915" s="1" t="n">
        <v>46286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42561-2023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45181</v>
      </c>
      <c r="E916" s="1" t="n">
        <v>46286</v>
      </c>
      <c r="F916" t="inlineStr">
        <is>
          <t>VÄSTERNORRLANDS LÄN</t>
        </is>
      </c>
      <c r="G916" t="inlineStr">
        <is>
          <t>ÖRNSKÖLDSVIK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62107-2022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44920</v>
      </c>
      <c r="E917" s="1" t="n">
        <v>46286</v>
      </c>
      <c r="F917" t="inlineStr">
        <is>
          <t>VÄSTERNORRLANDS LÄN</t>
        </is>
      </c>
      <c r="G917" t="inlineStr">
        <is>
          <t>ÖRNSKÖLDSVIK</t>
        </is>
      </c>
      <c r="I917" t="n">
        <v>26.3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47609-2025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45931</v>
      </c>
      <c r="E918" s="1" t="n">
        <v>46286</v>
      </c>
      <c r="F918" t="inlineStr">
        <is>
          <t>VÄSTERNORRLANDS LÄN</t>
        </is>
      </c>
      <c r="G918" t="inlineStr">
        <is>
          <t>ÖRNSKÖLDSVIK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47611-2025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45931</v>
      </c>
      <c r="E919" s="1" t="n">
        <v>46286</v>
      </c>
      <c r="F919" t="inlineStr">
        <is>
          <t>VÄSTERNORRLANDS LÄN</t>
        </is>
      </c>
      <c r="G919" t="inlineStr">
        <is>
          <t>ÖRNSKÖLDSVIK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47266-2025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45930</v>
      </c>
      <c r="E920" s="1" t="n">
        <v>46286</v>
      </c>
      <c r="F920" t="inlineStr">
        <is>
          <t>VÄSTERNORRLANDS LÄN</t>
        </is>
      </c>
      <c r="G920" t="inlineStr">
        <is>
          <t>ÖRNSKÖLDSVIK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35043-2025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45852</v>
      </c>
      <c r="E921" s="1" t="n">
        <v>46286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47610-2025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45931</v>
      </c>
      <c r="E922" s="1" t="n">
        <v>46286</v>
      </c>
      <c r="F922" t="inlineStr">
        <is>
          <t>VÄSTERNORRLANDS LÄN</t>
        </is>
      </c>
      <c r="G922" t="inlineStr">
        <is>
          <t>ÖRNSKÖLDSVIK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19472-2025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45770</v>
      </c>
      <c r="E923" s="1" t="n">
        <v>46286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47453-2025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45930</v>
      </c>
      <c r="E924" s="1" t="n">
        <v>46286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47301-2025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45930</v>
      </c>
      <c r="E925" s="1" t="n">
        <v>46286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61661-2022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44916</v>
      </c>
      <c r="E926" s="1" t="n">
        <v>46286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47565-2025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45931</v>
      </c>
      <c r="E927" s="1" t="n">
        <v>46286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47570-2025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46286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47715-2025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45931</v>
      </c>
      <c r="E929" s="1" t="n">
        <v>46286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5.1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63738-2023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45277</v>
      </c>
      <c r="E930" s="1" t="n">
        <v>46286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Övriga Aktiebolag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63744-2023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45277</v>
      </c>
      <c r="E931" s="1" t="n">
        <v>46286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Övriga Aktiebolag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21258-2022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44706</v>
      </c>
      <c r="E932" s="1" t="n">
        <v>46286</v>
      </c>
      <c r="F932" t="inlineStr">
        <is>
          <t>VÄSTERNORRLANDS LÄN</t>
        </is>
      </c>
      <c r="G932" t="inlineStr">
        <is>
          <t>ÖRNSKÖLDSVIK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48282-2025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46286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8265-2025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45708</v>
      </c>
      <c r="E934" s="1" t="n">
        <v>46286</v>
      </c>
      <c r="F934" t="inlineStr">
        <is>
          <t>VÄSTERNORRLANDS LÄN</t>
        </is>
      </c>
      <c r="G934" t="inlineStr">
        <is>
          <t>ÖRNSKÖLDSVIK</t>
        </is>
      </c>
      <c r="I934" t="n">
        <v>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48328-2025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45933</v>
      </c>
      <c r="E935" s="1" t="n">
        <v>46286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39294-2023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45162</v>
      </c>
      <c r="E936" s="1" t="n">
        <v>46286</v>
      </c>
      <c r="F936" t="inlineStr">
        <is>
          <t>VÄSTERNORRLANDS LÄN</t>
        </is>
      </c>
      <c r="G936" t="inlineStr">
        <is>
          <t>ÖRNSKÖLDSVIK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11252-2024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45371</v>
      </c>
      <c r="E937" s="1" t="n">
        <v>46286</v>
      </c>
      <c r="F937" t="inlineStr">
        <is>
          <t>VÄSTERNORRLANDS LÄN</t>
        </is>
      </c>
      <c r="G937" t="inlineStr">
        <is>
          <t>ÖRNSKÖLDSVIK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42583-2024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45565</v>
      </c>
      <c r="E938" s="1" t="n">
        <v>46286</v>
      </c>
      <c r="F938" t="inlineStr">
        <is>
          <t>VÄSTERNORRLANDS LÄN</t>
        </is>
      </c>
      <c r="G938" t="inlineStr">
        <is>
          <t>ÖRNSKÖLDSVIK</t>
        </is>
      </c>
      <c r="I938" t="n">
        <v>11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5102-2022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44593</v>
      </c>
      <c r="E939" s="1" t="n">
        <v>46286</v>
      </c>
      <c r="F939" t="inlineStr">
        <is>
          <t>VÄSTERNORRLANDS LÄN</t>
        </is>
      </c>
      <c r="G939" t="inlineStr">
        <is>
          <t>ÖRNSKÖLDSVIK</t>
        </is>
      </c>
      <c r="I939" t="n">
        <v>16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46145</v>
      </c>
      <c r="E940" s="1" t="n">
        <v>46286</v>
      </c>
      <c r="F940" t="inlineStr">
        <is>
          <t>VÄSTERNORRLANDS LÄN</t>
        </is>
      </c>
      <c r="G940" t="inlineStr">
        <is>
          <t>ÖRNSKÖLDSVIK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47899-2025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45932</v>
      </c>
      <c r="E941" s="1" t="n">
        <v>46286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19889-2024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45433</v>
      </c>
      <c r="E942" s="1" t="n">
        <v>46286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39808-2024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45553</v>
      </c>
      <c r="E943" s="1" t="n">
        <v>46286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48219-2025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45933</v>
      </c>
      <c r="E944" s="1" t="n">
        <v>46286</v>
      </c>
      <c r="F944" t="inlineStr">
        <is>
          <t>VÄSTERNORRLANDS LÄN</t>
        </is>
      </c>
      <c r="G944" t="inlineStr">
        <is>
          <t>ÖRNSKÖLDSVIK</t>
        </is>
      </c>
      <c r="I944" t="n">
        <v>9.4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47886-2025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45932</v>
      </c>
      <c r="E945" s="1" t="n">
        <v>46286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46707-2025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45926</v>
      </c>
      <c r="E946" s="1" t="n">
        <v>46286</v>
      </c>
      <c r="F946" t="inlineStr">
        <is>
          <t>VÄSTERNORRLANDS LÄN</t>
        </is>
      </c>
      <c r="G946" t="inlineStr">
        <is>
          <t>ÖRNSKÖLDSVIK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48222-2025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45933</v>
      </c>
      <c r="E947" s="1" t="n">
        <v>46286</v>
      </c>
      <c r="F947" t="inlineStr">
        <is>
          <t>VÄSTERNORRLANDS LÄN</t>
        </is>
      </c>
      <c r="G947" t="inlineStr">
        <is>
          <t>ÖRNSKÖLDSVIK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48269-2025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45933</v>
      </c>
      <c r="E948" s="1" t="n">
        <v>46286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59787-2022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44908</v>
      </c>
      <c r="E949" s="1" t="n">
        <v>46286</v>
      </c>
      <c r="F949" t="inlineStr">
        <is>
          <t>VÄSTERNORRLANDS LÄN</t>
        </is>
      </c>
      <c r="G949" t="inlineStr">
        <is>
          <t>ÖRNSKÖLDSVIK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19983-2023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45054</v>
      </c>
      <c r="E950" s="1" t="n">
        <v>46286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47832-2025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45932</v>
      </c>
      <c r="E951" s="1" t="n">
        <v>46286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3.6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54853-2023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45236</v>
      </c>
      <c r="E952" s="1" t="n">
        <v>46286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63846-2025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46020</v>
      </c>
      <c r="E953" s="1" t="n">
        <v>46286</v>
      </c>
      <c r="F953" t="inlineStr">
        <is>
          <t>VÄSTERNORRLANDS LÄN</t>
        </is>
      </c>
      <c r="G953" t="inlineStr">
        <is>
          <t>ÖRNSKÖLDSVIK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3139-2026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46286</v>
      </c>
      <c r="F954" t="inlineStr">
        <is>
          <t>VÄSTERNORRLANDS LÄN</t>
        </is>
      </c>
      <c r="G954" t="inlineStr">
        <is>
          <t>ÖRNSKÖLDSVIK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21175-2026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46286</v>
      </c>
      <c r="F955" t="inlineStr">
        <is>
          <t>VÄSTERNORRLANDS LÄN</t>
        </is>
      </c>
      <c r="G955" t="inlineStr">
        <is>
          <t>ÖRNSKÖLDSVIK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20099-2024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45434</v>
      </c>
      <c r="E956" s="1" t="n">
        <v>46286</v>
      </c>
      <c r="F956" t="inlineStr">
        <is>
          <t>VÄSTERNORRLANDS LÄN</t>
        </is>
      </c>
      <c r="G956" t="inlineStr">
        <is>
          <t>ÖRNSKÖLDSVIK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48473-2025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45936</v>
      </c>
      <c r="E957" s="1" t="n">
        <v>46286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48740-2025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45936</v>
      </c>
      <c r="E958" s="1" t="n">
        <v>46286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7.6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48665-2025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45936</v>
      </c>
      <c r="E959" s="1" t="n">
        <v>46286</v>
      </c>
      <c r="F959" t="inlineStr">
        <is>
          <t>VÄSTERNORRLANDS LÄN</t>
        </is>
      </c>
      <c r="G959" t="inlineStr">
        <is>
          <t>ÖRNSKÖLDSVIK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61716-2024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45648</v>
      </c>
      <c r="E960" s="1" t="n">
        <v>46286</v>
      </c>
      <c r="F960" t="inlineStr">
        <is>
          <t>VÄSTERNORRLANDS LÄN</t>
        </is>
      </c>
      <c r="G960" t="inlineStr">
        <is>
          <t>ÖRNSKÖLDSVIK</t>
        </is>
      </c>
      <c r="I960" t="n">
        <v>5.3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43891-2024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45572</v>
      </c>
      <c r="E961" s="1" t="n">
        <v>46286</v>
      </c>
      <c r="F961" t="inlineStr">
        <is>
          <t>VÄSTERNORRLANDS LÄN</t>
        </is>
      </c>
      <c r="G961" t="inlineStr">
        <is>
          <t>ÖRNSKÖLDSVIK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21024-2026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46145</v>
      </c>
      <c r="E962" s="1" t="n">
        <v>46286</v>
      </c>
      <c r="F962" t="inlineStr">
        <is>
          <t>VÄSTERNORRLANDS LÄN</t>
        </is>
      </c>
      <c r="G962" t="inlineStr">
        <is>
          <t>ÖRNSKÖLDSVIK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39079-2023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45163</v>
      </c>
      <c r="E963" s="1" t="n">
        <v>46286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38284-2025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45883</v>
      </c>
      <c r="E964" s="1" t="n">
        <v>46286</v>
      </c>
      <c r="F964" t="inlineStr">
        <is>
          <t>VÄSTERNORRLANDS LÄN</t>
        </is>
      </c>
      <c r="G964" t="inlineStr">
        <is>
          <t>ÖRNSKÖLDSVIK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8252-2025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45708</v>
      </c>
      <c r="E965" s="1" t="n">
        <v>46286</v>
      </c>
      <c r="F965" t="inlineStr">
        <is>
          <t>VÄSTERNORRLANDS LÄN</t>
        </is>
      </c>
      <c r="G965" t="inlineStr">
        <is>
          <t>ÖRNSKÖLDSVIK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49157-2025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45938</v>
      </c>
      <c r="E966" s="1" t="n">
        <v>46286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49172-2025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45938</v>
      </c>
      <c r="E967" s="1" t="n">
        <v>46286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45324</v>
      </c>
      <c r="E968" s="1" t="n">
        <v>46286</v>
      </c>
      <c r="F968" t="inlineStr">
        <is>
          <t>VÄSTERNORRLANDS LÄN</t>
        </is>
      </c>
      <c r="G968" t="inlineStr">
        <is>
          <t>ÖRNSKÖLDSVIK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21896-2022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44711</v>
      </c>
      <c r="E969" s="1" t="n">
        <v>46286</v>
      </c>
      <c r="F969" t="inlineStr">
        <is>
          <t>VÄSTERNORRLANDS LÄN</t>
        </is>
      </c>
      <c r="G969" t="inlineStr">
        <is>
          <t>ÖRNSKÖLDSVIK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48863-2025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45937</v>
      </c>
      <c r="E970" s="1" t="n">
        <v>46286</v>
      </c>
      <c r="F970" t="inlineStr">
        <is>
          <t>VÄSTERNORRLANDS LÄN</t>
        </is>
      </c>
      <c r="G970" t="inlineStr">
        <is>
          <t>ÖRNSKÖLDSVIK</t>
        </is>
      </c>
      <c r="I970" t="n">
        <v>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28182-2024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45477</v>
      </c>
      <c r="E971" s="1" t="n">
        <v>46286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9.699999999999999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21025-2026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46145</v>
      </c>
      <c r="E972" s="1" t="n">
        <v>46286</v>
      </c>
      <c r="F972" t="inlineStr">
        <is>
          <t>VÄSTERNORRLANDS LÄN</t>
        </is>
      </c>
      <c r="G972" t="inlineStr">
        <is>
          <t>ÖRNSKÖLDSVIK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48810-2025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45937</v>
      </c>
      <c r="E973" s="1" t="n">
        <v>46286</v>
      </c>
      <c r="F973" t="inlineStr">
        <is>
          <t>VÄSTERNORRLANDS LÄN</t>
        </is>
      </c>
      <c r="G973" t="inlineStr">
        <is>
          <t>ÖRNSKÖLDSVIK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48812-2025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45937</v>
      </c>
      <c r="E974" s="1" t="n">
        <v>46286</v>
      </c>
      <c r="F974" t="inlineStr">
        <is>
          <t>VÄSTERNORRLANDS LÄN</t>
        </is>
      </c>
      <c r="G974" t="inlineStr">
        <is>
          <t>ÖRNSKÖLDSVIK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49161-2025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46286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49162-2025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46286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21224-2026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46146</v>
      </c>
      <c r="E977" s="1" t="n">
        <v>46286</v>
      </c>
      <c r="F977" t="inlineStr">
        <is>
          <t>VÄSTERNORRLANDS LÄN</t>
        </is>
      </c>
      <c r="G977" t="inlineStr">
        <is>
          <t>ÖRNSKÖLDSVIK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21166-2026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46146</v>
      </c>
      <c r="E978" s="1" t="n">
        <v>46286</v>
      </c>
      <c r="F978" t="inlineStr">
        <is>
          <t>VÄSTERNORRLANDS LÄN</t>
        </is>
      </c>
      <c r="G978" t="inlineStr">
        <is>
          <t>ÖRNSKÖLDSVIK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49473-2025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45939</v>
      </c>
      <c r="E979" s="1" t="n">
        <v>46286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36169-2023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45149</v>
      </c>
      <c r="E980" s="1" t="n">
        <v>46286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61095-2022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44915</v>
      </c>
      <c r="E981" s="1" t="n">
        <v>46286</v>
      </c>
      <c r="F981" t="inlineStr">
        <is>
          <t>VÄSTERNORRLANDS LÄN</t>
        </is>
      </c>
      <c r="G981" t="inlineStr">
        <is>
          <t>ÖRNSKÖLDSVIK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60757-2023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45260</v>
      </c>
      <c r="E982" s="1" t="n">
        <v>46286</v>
      </c>
      <c r="F982" t="inlineStr">
        <is>
          <t>VÄSTERNORRLANDS LÄN</t>
        </is>
      </c>
      <c r="G982" t="inlineStr">
        <is>
          <t>ÖRNSKÖLDSVIK</t>
        </is>
      </c>
      <c r="I982" t="n">
        <v>3.7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21239-2026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46147</v>
      </c>
      <c r="E983" s="1" t="n">
        <v>46286</v>
      </c>
      <c r="F983" t="inlineStr">
        <is>
          <t>VÄSTERNORRLANDS LÄN</t>
        </is>
      </c>
      <c r="G983" t="inlineStr">
        <is>
          <t>ÖRNSKÖLDSVIK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21327-2026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46147</v>
      </c>
      <c r="E984" s="1" t="n">
        <v>46286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49348-2025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45938</v>
      </c>
      <c r="E985" s="1" t="n">
        <v>46286</v>
      </c>
      <c r="F985" t="inlineStr">
        <is>
          <t>VÄSTERNORRLANDS LÄN</t>
        </is>
      </c>
      <c r="G985" t="inlineStr">
        <is>
          <t>ÖRNSKÖLDSVIK</t>
        </is>
      </c>
      <c r="I985" t="n">
        <v>10.1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49459-2025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45939</v>
      </c>
      <c r="E986" s="1" t="n">
        <v>46286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49372-2025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45938</v>
      </c>
      <c r="E987" s="1" t="n">
        <v>46286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8.699999999999999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48884-2024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45594</v>
      </c>
      <c r="E988" s="1" t="n">
        <v>46286</v>
      </c>
      <c r="F988" t="inlineStr">
        <is>
          <t>VÄSTERNORRLANDS LÄN</t>
        </is>
      </c>
      <c r="G988" t="inlineStr">
        <is>
          <t>ÖRNSKÖLDSVIK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48891-2025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45937</v>
      </c>
      <c r="E989" s="1" t="n">
        <v>46286</v>
      </c>
      <c r="F989" t="inlineStr">
        <is>
          <t>VÄSTERNORRLANDS LÄN</t>
        </is>
      </c>
      <c r="G989" t="inlineStr">
        <is>
          <t>ÖRNSKÖLDSVIK</t>
        </is>
      </c>
      <c r="I989" t="n">
        <v>9.300000000000001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21590-2022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44706</v>
      </c>
      <c r="E990" s="1" t="n">
        <v>46286</v>
      </c>
      <c r="F990" t="inlineStr">
        <is>
          <t>VÄSTERNORRLANDS LÄN</t>
        </is>
      </c>
      <c r="G990" t="inlineStr">
        <is>
          <t>ÖRNSKÖLDSVIK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49351-2025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45938</v>
      </c>
      <c r="E991" s="1" t="n">
        <v>46286</v>
      </c>
      <c r="F991" t="inlineStr">
        <is>
          <t>VÄSTERNORRLANDS LÄN</t>
        </is>
      </c>
      <c r="G991" t="inlineStr">
        <is>
          <t>ÖRNSKÖLDSVIK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12739-2025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45733</v>
      </c>
      <c r="E992" s="1" t="n">
        <v>46286</v>
      </c>
      <c r="F992" t="inlineStr">
        <is>
          <t>VÄSTERNORRLANDS LÄN</t>
        </is>
      </c>
      <c r="G992" t="inlineStr">
        <is>
          <t>ÖRNSKÖLDSVIK</t>
        </is>
      </c>
      <c r="I992" t="n">
        <v>8.300000000000001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50017-2025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45943</v>
      </c>
      <c r="E993" s="1" t="n">
        <v>46286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8.300000000000001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37736-2023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45159</v>
      </c>
      <c r="E994" s="1" t="n">
        <v>46286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21165-2026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46146</v>
      </c>
      <c r="E995" s="1" t="n">
        <v>46286</v>
      </c>
      <c r="F995" t="inlineStr">
        <is>
          <t>VÄSTERNORRLANDS LÄN</t>
        </is>
      </c>
      <c r="G995" t="inlineStr">
        <is>
          <t>ÖRNSKÖLDSVIK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21136-2024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45440</v>
      </c>
      <c r="E996" s="1" t="n">
        <v>46286</v>
      </c>
      <c r="F996" t="inlineStr">
        <is>
          <t>VÄSTERNORRLANDS LÄN</t>
        </is>
      </c>
      <c r="G996" t="inlineStr">
        <is>
          <t>ÖRNSKÖLDSVIK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21138-2024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45440</v>
      </c>
      <c r="E997" s="1" t="n">
        <v>46286</v>
      </c>
      <c r="F997" t="inlineStr">
        <is>
          <t>VÄSTERNORRLANDS LÄN</t>
        </is>
      </c>
      <c r="G997" t="inlineStr">
        <is>
          <t>ÖRNSKÖLDSVIK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9285-2024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45358</v>
      </c>
      <c r="E998" s="1" t="n">
        <v>46286</v>
      </c>
      <c r="F998" t="inlineStr">
        <is>
          <t>VÄSTERNORRLANDS LÄN</t>
        </is>
      </c>
      <c r="G998" t="inlineStr">
        <is>
          <t>ÖRNSKÖLDSVIK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49719-2025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45939</v>
      </c>
      <c r="E999" s="1" t="n">
        <v>46286</v>
      </c>
      <c r="F999" t="inlineStr">
        <is>
          <t>VÄSTERNORRLANDS LÄN</t>
        </is>
      </c>
      <c r="G999" t="inlineStr">
        <is>
          <t>ÖRNSKÖLDSVIK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21445-2026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46148</v>
      </c>
      <c r="E1000" s="1" t="n">
        <v>46286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68753-2021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44529</v>
      </c>
      <c r="E1001" s="1" t="n">
        <v>46286</v>
      </c>
      <c r="F1001" t="inlineStr">
        <is>
          <t>VÄSTERNORRLANDS LÄN</t>
        </is>
      </c>
      <c r="G1001" t="inlineStr">
        <is>
          <t>ÖRNSKÖLDSVIK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50015-2025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45943</v>
      </c>
      <c r="E1002" s="1" t="n">
        <v>46286</v>
      </c>
      <c r="F1002" t="inlineStr">
        <is>
          <t>VÄSTERNORRLANDS LÄN</t>
        </is>
      </c>
      <c r="G1002" t="inlineStr">
        <is>
          <t>ÖRNSKÖLDSVIK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10526-2025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45721</v>
      </c>
      <c r="E1003" s="1" t="n">
        <v>46286</v>
      </c>
      <c r="F1003" t="inlineStr">
        <is>
          <t>VÄSTERNORRLANDS LÄN</t>
        </is>
      </c>
      <c r="G1003" t="inlineStr">
        <is>
          <t>ÖRNSKÖLDSVIK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21708-2026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46286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40071-2023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45168</v>
      </c>
      <c r="E1005" s="1" t="n">
        <v>46286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21593-2026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46286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22547-2023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45069</v>
      </c>
      <c r="E1007" s="1" t="n">
        <v>46286</v>
      </c>
      <c r="F1007" t="inlineStr">
        <is>
          <t>VÄSTERNORRLANDS LÄN</t>
        </is>
      </c>
      <c r="G1007" t="inlineStr">
        <is>
          <t>ÖRNSKÖLDSVIK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50597-2025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45945</v>
      </c>
      <c r="E1008" s="1" t="n">
        <v>46286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21408-2026</t>
        </is>
      </c>
      <c r="B1009" t="inlineStr">
        <is>
          <t>avverkningsanmälan</t>
        </is>
      </c>
      <c r="C1009" t="inlineStr">
        <is>
          <t>Avverkning för att bevara och utveckla /försöksver</t>
        </is>
      </c>
      <c r="D1009" s="1" t="n">
        <v>46148</v>
      </c>
      <c r="E1009" s="1" t="n">
        <v>46286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58358-2022</t>
        </is>
      </c>
      <c r="B1010" t="inlineStr">
        <is>
          <t>avverkningsanmälan</t>
        </is>
      </c>
      <c r="C1010" t="inlineStr">
        <is>
          <t>Avverkning för att bevara och utveckla /försöksver</t>
        </is>
      </c>
      <c r="D1010" s="1" t="n">
        <v>44901</v>
      </c>
      <c r="E1010" s="1" t="n">
        <v>46286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50526-2025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46286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51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55913-2022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44889</v>
      </c>
      <c r="E1012" s="1" t="n">
        <v>46286</v>
      </c>
      <c r="F1012" t="inlineStr">
        <is>
          <t>VÄSTERNORRLANDS LÄN</t>
        </is>
      </c>
      <c r="G1012" t="inlineStr">
        <is>
          <t>ÖRNSKÖLDSVIK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50602-2025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45945</v>
      </c>
      <c r="E1013" s="1" t="n">
        <v>46286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63727-2023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45276</v>
      </c>
      <c r="E1014" s="1" t="n">
        <v>46286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Övriga Aktiebolag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63728-2023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45276</v>
      </c>
      <c r="E1015" s="1" t="n">
        <v>46286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Övriga Aktiebolag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50382-2025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45944</v>
      </c>
      <c r="E1016" s="1" t="n">
        <v>46286</v>
      </c>
      <c r="F1016" t="inlineStr">
        <is>
          <t>VÄSTERNORRLANDS LÄN</t>
        </is>
      </c>
      <c r="G1016" t="inlineStr">
        <is>
          <t>ÖRNSKÖLDSVIK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10463-2025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45720</v>
      </c>
      <c r="E1017" s="1" t="n">
        <v>46286</v>
      </c>
      <c r="F1017" t="inlineStr">
        <is>
          <t>VÄSTERNORRLANDS LÄN</t>
        </is>
      </c>
      <c r="G1017" t="inlineStr">
        <is>
          <t>ÖRNSKÖLDSVIK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50404-2025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45944</v>
      </c>
      <c r="E1018" s="1" t="n">
        <v>46286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21654-2026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46286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49929-2023</t>
        </is>
      </c>
      <c r="B1020" t="inlineStr">
        <is>
          <t>avverkningsanmälan</t>
        </is>
      </c>
      <c r="C1020" t="inlineStr">
        <is>
          <t>Avverkning för att bevara och utveckla /försöksver</t>
        </is>
      </c>
      <c r="D1020" s="1" t="n">
        <v>45214</v>
      </c>
      <c r="E1020" s="1" t="n">
        <v>46286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SCA</t>
        </is>
      </c>
      <c r="I1020" t="n">
        <v>3.7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15030-2022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44657</v>
      </c>
      <c r="E1021" s="1" t="n">
        <v>46286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51114-2025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45947</v>
      </c>
      <c r="E1022" s="1" t="n">
        <v>46286</v>
      </c>
      <c r="F1022" t="inlineStr">
        <is>
          <t>VÄSTERNORRLANDS LÄN</t>
        </is>
      </c>
      <c r="G1022" t="inlineStr">
        <is>
          <t>ÖRNSKÖLDSVIK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61081-2022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44915</v>
      </c>
      <c r="E1023" s="1" t="n">
        <v>46286</v>
      </c>
      <c r="F1023" t="inlineStr">
        <is>
          <t>VÄSTERNORRLANDS LÄN</t>
        </is>
      </c>
      <c r="G1023" t="inlineStr">
        <is>
          <t>ÖRNSKÖLDSVIK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46148</v>
      </c>
      <c r="E1024" s="1" t="n">
        <v>46286</v>
      </c>
      <c r="F1024" t="inlineStr">
        <is>
          <t>VÄSTERNORRLANDS LÄN</t>
        </is>
      </c>
      <c r="G1024" t="inlineStr">
        <is>
          <t>ÖRNSKÖLDSVIK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45105-2023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45191</v>
      </c>
      <c r="E1025" s="1" t="n">
        <v>46286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50900-2025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45946</v>
      </c>
      <c r="E1026" s="1" t="n">
        <v>46286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51008-2025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45947</v>
      </c>
      <c r="E1027" s="1" t="n">
        <v>46286</v>
      </c>
      <c r="F1027" t="inlineStr">
        <is>
          <t>VÄSTERNORRLANDS LÄN</t>
        </is>
      </c>
      <c r="G1027" t="inlineStr">
        <is>
          <t>ÖRNSKÖLDSVIK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61013-2024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45645</v>
      </c>
      <c r="E1028" s="1" t="n">
        <v>46286</v>
      </c>
      <c r="F1028" t="inlineStr">
        <is>
          <t>VÄSTERNORRLANDS LÄN</t>
        </is>
      </c>
      <c r="G1028" t="inlineStr">
        <is>
          <t>ÖRNSKÖLDSVIK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51004-2025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45947</v>
      </c>
      <c r="E1029" s="1" t="n">
        <v>46286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SCA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51784-2025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45951</v>
      </c>
      <c r="E1030" s="1" t="n">
        <v>46286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SCA</t>
        </is>
      </c>
      <c r="I1030" t="n">
        <v>7.6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51751-2025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45951</v>
      </c>
      <c r="E1031" s="1" t="n">
        <v>46286</v>
      </c>
      <c r="F1031" t="inlineStr">
        <is>
          <t>VÄSTERNORRLANDS LÄN</t>
        </is>
      </c>
      <c r="G1031" t="inlineStr">
        <is>
          <t>ÖRNSKÖLDSVIK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22014-2026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46153</v>
      </c>
      <c r="E1032" s="1" t="n">
        <v>46286</v>
      </c>
      <c r="F1032" t="inlineStr">
        <is>
          <t>VÄSTERNORRLANDS LÄN</t>
        </is>
      </c>
      <c r="G1032" t="inlineStr">
        <is>
          <t>ÖRNSKÖLDSVIK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51713-2025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45951</v>
      </c>
      <c r="E1033" s="1" t="n">
        <v>46286</v>
      </c>
      <c r="F1033" t="inlineStr">
        <is>
          <t>VÄSTERNORRLANDS LÄN</t>
        </is>
      </c>
      <c r="G1033" t="inlineStr">
        <is>
          <t>ÖRNSKÖLDSVIK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51749-2025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45951</v>
      </c>
      <c r="E1034" s="1" t="n">
        <v>46286</v>
      </c>
      <c r="F1034" t="inlineStr">
        <is>
          <t>VÄSTERNORRLANDS LÄN</t>
        </is>
      </c>
      <c r="G1034" t="inlineStr">
        <is>
          <t>ÖRNSKÖLDSVIK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51599-2025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45951</v>
      </c>
      <c r="E1035" s="1" t="n">
        <v>46286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40212-2024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45554</v>
      </c>
      <c r="E1036" s="1" t="n">
        <v>46286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22213-2026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46286</v>
      </c>
      <c r="F1037" t="inlineStr">
        <is>
          <t>VÄSTERNORRLANDS LÄN</t>
        </is>
      </c>
      <c r="G1037" t="inlineStr">
        <is>
          <t>ÖRNSKÖLDSVIK</t>
        </is>
      </c>
      <c r="I1037" t="n">
        <v>5.5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51359-2025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45950</v>
      </c>
      <c r="E1038" s="1" t="n">
        <v>46286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41550-2023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45175</v>
      </c>
      <c r="E1039" s="1" t="n">
        <v>46286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51490-2025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45950</v>
      </c>
      <c r="E1040" s="1" t="n">
        <v>46286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51492-2025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45950</v>
      </c>
      <c r="E1041" s="1" t="n">
        <v>46286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27072-2024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45471</v>
      </c>
      <c r="E1042" s="1" t="n">
        <v>46286</v>
      </c>
      <c r="F1042" t="inlineStr">
        <is>
          <t>VÄSTERNORRLANDS LÄN</t>
        </is>
      </c>
      <c r="G1042" t="inlineStr">
        <is>
          <t>ÖRNSKÖLDSVIK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51516-2025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46286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51752-2025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45951</v>
      </c>
      <c r="E1044" s="1" t="n">
        <v>46286</v>
      </c>
      <c r="F1044" t="inlineStr">
        <is>
          <t>VÄSTERNORRLANDS LÄN</t>
        </is>
      </c>
      <c r="G1044" t="inlineStr">
        <is>
          <t>ÖRNSKÖLDSVIK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51507-2025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46286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51658-2025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45951</v>
      </c>
      <c r="E1046" s="1" t="n">
        <v>46286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24324-2024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45457</v>
      </c>
      <c r="E1047" s="1" t="n">
        <v>46286</v>
      </c>
      <c r="F1047" t="inlineStr">
        <is>
          <t>VÄSTERNORRLANDS LÄN</t>
        </is>
      </c>
      <c r="G1047" t="inlineStr">
        <is>
          <t>ÖRNSKÖLDSVIK</t>
        </is>
      </c>
      <c r="I1047" t="n">
        <v>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56397-2024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45625</v>
      </c>
      <c r="E1048" s="1" t="n">
        <v>46286</v>
      </c>
      <c r="F1048" t="inlineStr">
        <is>
          <t>VÄSTERNORRLANDS LÄN</t>
        </is>
      </c>
      <c r="G1048" t="inlineStr">
        <is>
          <t>ÖRNSKÖLDSVIK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52129-2025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45952</v>
      </c>
      <c r="E1049" s="1" t="n">
        <v>46286</v>
      </c>
      <c r="F1049" t="inlineStr">
        <is>
          <t>VÄSTERNORRLANDS LÄN</t>
        </is>
      </c>
      <c r="G1049" t="inlineStr">
        <is>
          <t>ÖRNSKÖLDSVIK</t>
        </is>
      </c>
      <c r="I1049" t="n">
        <v>22.6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68750-2021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44529</v>
      </c>
      <c r="E1050" s="1" t="n">
        <v>46286</v>
      </c>
      <c r="F1050" t="inlineStr">
        <is>
          <t>VÄSTERNORRLANDS LÄN</t>
        </is>
      </c>
      <c r="G1050" t="inlineStr">
        <is>
          <t>ÖRNSKÖLDSVIK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54622-2024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45617</v>
      </c>
      <c r="E1051" s="1" t="n">
        <v>46286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52160-2025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45953</v>
      </c>
      <c r="E1052" s="1" t="n">
        <v>46286</v>
      </c>
      <c r="F1052" t="inlineStr">
        <is>
          <t>VÄSTERNORRLANDS LÄN</t>
        </is>
      </c>
      <c r="G1052" t="inlineStr">
        <is>
          <t>ÖRNSKÖLDSVIK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52193-2025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45953</v>
      </c>
      <c r="E1053" s="1" t="n">
        <v>46286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52255-2025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45953</v>
      </c>
      <c r="E1054" s="1" t="n">
        <v>46286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51856-2025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45952</v>
      </c>
      <c r="E1055" s="1" t="n">
        <v>46286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52081-2025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45952</v>
      </c>
      <c r="E1056" s="1" t="n">
        <v>46286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52144-2025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45953</v>
      </c>
      <c r="E1057" s="1" t="n">
        <v>46286</v>
      </c>
      <c r="F1057" t="inlineStr">
        <is>
          <t>VÄSTERNORRLANDS LÄN</t>
        </is>
      </c>
      <c r="G1057" t="inlineStr">
        <is>
          <t>ÖRNSKÖLDSVIK</t>
        </is>
      </c>
      <c r="I1057" t="n">
        <v>17.9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52055-2025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45952</v>
      </c>
      <c r="E1058" s="1" t="n">
        <v>46286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52140-2025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45953</v>
      </c>
      <c r="E1059" s="1" t="n">
        <v>46286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28651-2023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45096</v>
      </c>
      <c r="E1060" s="1" t="n">
        <v>46286</v>
      </c>
      <c r="F1060" t="inlineStr">
        <is>
          <t>VÄSTERNORRLANDS LÄN</t>
        </is>
      </c>
      <c r="G1060" t="inlineStr">
        <is>
          <t>ÖRNSKÖLDSVIK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52145-2025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45953</v>
      </c>
      <c r="E1061" s="1" t="n">
        <v>46286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52005-2025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46286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52047-2025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45952</v>
      </c>
      <c r="E1063" s="1" t="n">
        <v>46286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15612-2025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45747</v>
      </c>
      <c r="E1064" s="1" t="n">
        <v>46286</v>
      </c>
      <c r="F1064" t="inlineStr">
        <is>
          <t>VÄSTERNORRLANDS LÄN</t>
        </is>
      </c>
      <c r="G1064" t="inlineStr">
        <is>
          <t>ÖRNSKÖLDSVIK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52887-2025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45957</v>
      </c>
      <c r="E1065" s="1" t="n">
        <v>46286</v>
      </c>
      <c r="F1065" t="inlineStr">
        <is>
          <t>VÄSTERNORRLANDS LÄN</t>
        </is>
      </c>
      <c r="G1065" t="inlineStr">
        <is>
          <t>ÖRNSKÖLDSVIK</t>
        </is>
      </c>
      <c r="I1065" t="n">
        <v>10.1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49842-2024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45597</v>
      </c>
      <c r="E1066" s="1" t="n">
        <v>46286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52936-2025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45957</v>
      </c>
      <c r="E1067" s="1" t="n">
        <v>46286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6.3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21906-2026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46150</v>
      </c>
      <c r="E1068" s="1" t="n">
        <v>46286</v>
      </c>
      <c r="F1068" t="inlineStr">
        <is>
          <t>VÄSTERNORRLANDS LÄN</t>
        </is>
      </c>
      <c r="G1068" t="inlineStr">
        <is>
          <t>ÖRNSKÖLDSVIK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13427-2023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45005</v>
      </c>
      <c r="E1069" s="1" t="n">
        <v>46286</v>
      </c>
      <c r="F1069" t="inlineStr">
        <is>
          <t>VÄSTERNORRLANDS LÄN</t>
        </is>
      </c>
      <c r="G1069" t="inlineStr">
        <is>
          <t>ÖRNSKÖLDSVIK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52522-2025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45954</v>
      </c>
      <c r="E1070" s="1" t="n">
        <v>46286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52856-2025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45957</v>
      </c>
      <c r="E1071" s="1" t="n">
        <v>46286</v>
      </c>
      <c r="F1071" t="inlineStr">
        <is>
          <t>VÄSTERNORRLANDS LÄN</t>
        </is>
      </c>
      <c r="G1071" t="inlineStr">
        <is>
          <t>ÖRNSKÖLDSVIK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22145-2026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46286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52569-2025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45954</v>
      </c>
      <c r="E1073" s="1" t="n">
        <v>46286</v>
      </c>
      <c r="F1073" t="inlineStr">
        <is>
          <t>VÄSTERNORRLANDS LÄN</t>
        </is>
      </c>
      <c r="G1073" t="inlineStr">
        <is>
          <t>ÖRNSKÖLDSVIK</t>
        </is>
      </c>
      <c r="I1073" t="n">
        <v>6.6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13909-2025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45737</v>
      </c>
      <c r="E1074" s="1" t="n">
        <v>46286</v>
      </c>
      <c r="F1074" t="inlineStr">
        <is>
          <t>VÄSTERNORRLANDS LÄN</t>
        </is>
      </c>
      <c r="G1074" t="inlineStr">
        <is>
          <t>ÖRNSKÖLDSVIK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763-2023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44931</v>
      </c>
      <c r="E1075" s="1" t="n">
        <v>46286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35618-2024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45531</v>
      </c>
      <c r="E1076" s="1" t="n">
        <v>46286</v>
      </c>
      <c r="F1076" t="inlineStr">
        <is>
          <t>VÄSTERNORRLANDS LÄN</t>
        </is>
      </c>
      <c r="G1076" t="inlineStr">
        <is>
          <t>ÖRNSKÖLDSVIK</t>
        </is>
      </c>
      <c r="I1076" t="n">
        <v>13.1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52821-2025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45957</v>
      </c>
      <c r="E1077" s="1" t="n">
        <v>46286</v>
      </c>
      <c r="F1077" t="inlineStr">
        <is>
          <t>VÄSTERNORRLANDS LÄN</t>
        </is>
      </c>
      <c r="G1077" t="inlineStr">
        <is>
          <t>ÖRNSKÖLDSVIK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52851-2025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45957</v>
      </c>
      <c r="E1078" s="1" t="n">
        <v>46286</v>
      </c>
      <c r="F1078" t="inlineStr">
        <is>
          <t>VÄSTERNORRLANDS LÄN</t>
        </is>
      </c>
      <c r="G1078" t="inlineStr">
        <is>
          <t>ÖRNSKÖLDSVIK</t>
        </is>
      </c>
      <c r="I1078" t="n">
        <v>6.4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52854-2025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45957</v>
      </c>
      <c r="E1079" s="1" t="n">
        <v>46286</v>
      </c>
      <c r="F1079" t="inlineStr">
        <is>
          <t>VÄSTERNORRLANDS LÄN</t>
        </is>
      </c>
      <c r="G1079" t="inlineStr">
        <is>
          <t>ÖRNSKÖLDSVIK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52824-2025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45957</v>
      </c>
      <c r="E1080" s="1" t="n">
        <v>46286</v>
      </c>
      <c r="F1080" t="inlineStr">
        <is>
          <t>VÄSTERNORRLANDS LÄN</t>
        </is>
      </c>
      <c r="G1080" t="inlineStr">
        <is>
          <t>ÖRNSKÖLDSVIK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52846-2025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45957</v>
      </c>
      <c r="E1081" s="1" t="n">
        <v>46286</v>
      </c>
      <c r="F1081" t="inlineStr">
        <is>
          <t>VÄSTERNORRLANDS LÄN</t>
        </is>
      </c>
      <c r="G1081" t="inlineStr">
        <is>
          <t>ÖRNSKÖLDSVIK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22066-2026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46153</v>
      </c>
      <c r="E1082" s="1" t="n">
        <v>46286</v>
      </c>
      <c r="F1082" t="inlineStr">
        <is>
          <t>VÄSTERNORRLANDS LÄN</t>
        </is>
      </c>
      <c r="G1082" t="inlineStr">
        <is>
          <t>ÖRNSKÖLDSVIK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22079-2026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46153</v>
      </c>
      <c r="E1083" s="1" t="n">
        <v>46286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7.4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53321-2025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45959</v>
      </c>
      <c r="E1084" s="1" t="n">
        <v>46286</v>
      </c>
      <c r="F1084" t="inlineStr">
        <is>
          <t>VÄSTERNORRLANDS LÄN</t>
        </is>
      </c>
      <c r="G1084" t="inlineStr">
        <is>
          <t>ÖRNSKÖLDSVIK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53374-2025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45959</v>
      </c>
      <c r="E1085" s="1" t="n">
        <v>46286</v>
      </c>
      <c r="F1085" t="inlineStr">
        <is>
          <t>VÄSTERNORRLANDS LÄN</t>
        </is>
      </c>
      <c r="G1085" t="inlineStr">
        <is>
          <t>ÖRNSKÖLDSVIK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12179-2025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45729</v>
      </c>
      <c r="E1086" s="1" t="n">
        <v>46286</v>
      </c>
      <c r="F1086" t="inlineStr">
        <is>
          <t>VÄSTERNORRLANDS LÄN</t>
        </is>
      </c>
      <c r="G1086" t="inlineStr">
        <is>
          <t>ÖRNSKÖLDSVIK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33479-2023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45131</v>
      </c>
      <c r="E1087" s="1" t="n">
        <v>46286</v>
      </c>
      <c r="F1087" t="inlineStr">
        <is>
          <t>VÄSTERNORRLANDS LÄN</t>
        </is>
      </c>
      <c r="G1087" t="inlineStr">
        <is>
          <t>ÖRNSKÖLDSVIK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22211-2026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46286</v>
      </c>
      <c r="F1088" t="inlineStr">
        <is>
          <t>VÄSTERNORRLANDS LÄN</t>
        </is>
      </c>
      <c r="G1088" t="inlineStr">
        <is>
          <t>ÖRNSKÖLDSVIK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21642-2024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45442</v>
      </c>
      <c r="E1089" s="1" t="n">
        <v>46286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22459-2026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46286</v>
      </c>
      <c r="F1090" t="inlineStr">
        <is>
          <t>VÄSTERNORRLANDS LÄN</t>
        </is>
      </c>
      <c r="G1090" t="inlineStr">
        <is>
          <t>ÖRNSKÖLDSVIK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53069-2025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45958</v>
      </c>
      <c r="E1091" s="1" t="n">
        <v>46286</v>
      </c>
      <c r="F1091" t="inlineStr">
        <is>
          <t>VÄSTERNORRLANDS LÄN</t>
        </is>
      </c>
      <c r="G1091" t="inlineStr">
        <is>
          <t>ÖRNSKÖLDSVIK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56411-2023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45243</v>
      </c>
      <c r="E1092" s="1" t="n">
        <v>46286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42059-2023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45177</v>
      </c>
      <c r="E1093" s="1" t="n">
        <v>46286</v>
      </c>
      <c r="F1093" t="inlineStr">
        <is>
          <t>VÄSTERNORRLANDS LÄN</t>
        </is>
      </c>
      <c r="G1093" t="inlineStr">
        <is>
          <t>ÖRNSKÖLDSVIK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53653-2025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46286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61322-2022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44909</v>
      </c>
      <c r="E1095" s="1" t="n">
        <v>46286</v>
      </c>
      <c r="F1095" t="inlineStr">
        <is>
          <t>VÄSTERNORRLANDS LÄN</t>
        </is>
      </c>
      <c r="G1095" t="inlineStr">
        <is>
          <t>ÖRNSKÖLDSVIK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53902-2025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45961</v>
      </c>
      <c r="E1096" s="1" t="n">
        <v>46286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27467-2022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44742</v>
      </c>
      <c r="E1097" s="1" t="n">
        <v>46286</v>
      </c>
      <c r="F1097" t="inlineStr">
        <is>
          <t>VÄSTERNORRLANDS LÄN</t>
        </is>
      </c>
      <c r="G1097" t="inlineStr">
        <is>
          <t>ÖRNSKÖLDSVIK</t>
        </is>
      </c>
      <c r="I1097" t="n">
        <v>2.1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22078-2026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46286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53799-2025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45960</v>
      </c>
      <c r="E1099" s="1" t="n">
        <v>46286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9.6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53922-2025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45961</v>
      </c>
      <c r="E1100" s="1" t="n">
        <v>46286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53528-2025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45960</v>
      </c>
      <c r="E1101" s="1" t="n">
        <v>46286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9.1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53675-2025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45960</v>
      </c>
      <c r="E1102" s="1" t="n">
        <v>46286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5637-2023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44960</v>
      </c>
      <c r="E1103" s="1" t="n">
        <v>46286</v>
      </c>
      <c r="F1103" t="inlineStr">
        <is>
          <t>VÄSTERNORRLANDS LÄN</t>
        </is>
      </c>
      <c r="G1103" t="inlineStr">
        <is>
          <t>ÖRNSKÖLDSVIK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55351-2021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44475</v>
      </c>
      <c r="E1104" s="1" t="n">
        <v>46286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53733-2025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46286</v>
      </c>
      <c r="F1105" t="inlineStr">
        <is>
          <t>VÄSTERNORRLANDS LÄN</t>
        </is>
      </c>
      <c r="G1105" t="inlineStr">
        <is>
          <t>ÖRNSKÖLDSVIK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53740-2025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46286</v>
      </c>
      <c r="F1106" t="inlineStr">
        <is>
          <t>VÄSTERNORRLANDS LÄN</t>
        </is>
      </c>
      <c r="G1106" t="inlineStr">
        <is>
          <t>ÖRNSKÖLDSVIK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53926-2025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45961</v>
      </c>
      <c r="E1107" s="1" t="n">
        <v>46286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62001-2022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44914</v>
      </c>
      <c r="E1108" s="1" t="n">
        <v>46286</v>
      </c>
      <c r="F1108" t="inlineStr">
        <is>
          <t>VÄSTERNORRLANDS LÄN</t>
        </is>
      </c>
      <c r="G1108" t="inlineStr">
        <is>
          <t>ÖRNSKÖLDSVIK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47671-2022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44854</v>
      </c>
      <c r="E1109" s="1" t="n">
        <v>46286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53934-2025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46286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14720-2025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45742</v>
      </c>
      <c r="E1111" s="1" t="n">
        <v>46286</v>
      </c>
      <c r="F1111" t="inlineStr">
        <is>
          <t>VÄSTERNORRLANDS LÄN</t>
        </is>
      </c>
      <c r="G1111" t="inlineStr">
        <is>
          <t>ÖRNSKÖLDSVIK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36368-2024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45534</v>
      </c>
      <c r="E1112" s="1" t="n">
        <v>46286</v>
      </c>
      <c r="F1112" t="inlineStr">
        <is>
          <t>VÄSTERNORRLANDS LÄN</t>
        </is>
      </c>
      <c r="G1112" t="inlineStr">
        <is>
          <t>ÖRNSKÖLDSVIK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22075-2024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45443</v>
      </c>
      <c r="E1113" s="1" t="n">
        <v>46286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14808-2025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45743</v>
      </c>
      <c r="E1114" s="1" t="n">
        <v>46286</v>
      </c>
      <c r="F1114" t="inlineStr">
        <is>
          <t>VÄSTERNORRLANDS LÄN</t>
        </is>
      </c>
      <c r="G1114" t="inlineStr">
        <is>
          <t>ÖRNSKÖLDSVIK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54026-2025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45961</v>
      </c>
      <c r="E1115" s="1" t="n">
        <v>46286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46286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1416-2024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45303</v>
      </c>
      <c r="E1117" s="1" t="n">
        <v>46286</v>
      </c>
      <c r="F1117" t="inlineStr">
        <is>
          <t>VÄSTERNORRLANDS LÄN</t>
        </is>
      </c>
      <c r="G1117" t="inlineStr">
        <is>
          <t>ÖRNSKÖLDSVIK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1333-2023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44936</v>
      </c>
      <c r="E1118" s="1" t="n">
        <v>46286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54042-2025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45963</v>
      </c>
      <c r="E1119" s="1" t="n">
        <v>46286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28642-2022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44748</v>
      </c>
      <c r="E1120" s="1" t="n">
        <v>46286</v>
      </c>
      <c r="F1120" t="inlineStr">
        <is>
          <t>VÄSTERNORRLANDS LÄN</t>
        </is>
      </c>
      <c r="G1120" t="inlineStr">
        <is>
          <t>ÖRNSKÖLDSVIK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62467-2023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45267</v>
      </c>
      <c r="E1121" s="1" t="n">
        <v>46286</v>
      </c>
      <c r="F1121" t="inlineStr">
        <is>
          <t>VÄSTERNORRLANDS LÄN</t>
        </is>
      </c>
      <c r="G1121" t="inlineStr">
        <is>
          <t>ÖRNSKÖLDSVIK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54539-2025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45965</v>
      </c>
      <c r="E1122" s="1" t="n">
        <v>46286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6.1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44187-2025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45915</v>
      </c>
      <c r="E1123" s="1" t="n">
        <v>46286</v>
      </c>
      <c r="F1123" t="inlineStr">
        <is>
          <t>VÄSTERNORRLANDS LÄN</t>
        </is>
      </c>
      <c r="G1123" t="inlineStr">
        <is>
          <t>ÖRNSKÖLDSVIK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54226-2025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45964</v>
      </c>
      <c r="E1124" s="1" t="n">
        <v>46286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54349-2025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46286</v>
      </c>
      <c r="F1125" t="inlineStr">
        <is>
          <t>VÄSTERNORRLANDS LÄN</t>
        </is>
      </c>
      <c r="G1125" t="inlineStr">
        <is>
          <t>ÖRNSKÖLDSVIK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54484-2025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45965</v>
      </c>
      <c r="E1126" s="1" t="n">
        <v>46286</v>
      </c>
      <c r="F1126" t="inlineStr">
        <is>
          <t>VÄSTERNORRLANDS LÄN</t>
        </is>
      </c>
      <c r="G1126" t="inlineStr">
        <is>
          <t>ÖRNSKÖLDSVIK</t>
        </is>
      </c>
      <c r="I1126" t="n">
        <v>6.7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54500-2025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45965</v>
      </c>
      <c r="E1127" s="1" t="n">
        <v>46286</v>
      </c>
      <c r="F1127" t="inlineStr">
        <is>
          <t>VÄSTERNORRLANDS LÄN</t>
        </is>
      </c>
      <c r="G1127" t="inlineStr">
        <is>
          <t>ÖRNSKÖLDSVIK</t>
        </is>
      </c>
      <c r="I1127" t="n">
        <v>5.4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61342-2023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45264</v>
      </c>
      <c r="E1128" s="1" t="n">
        <v>46286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Övriga Aktiebolag</t>
        </is>
      </c>
      <c r="I1128" t="n">
        <v>4.9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54025-2025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45961</v>
      </c>
      <c r="E1129" s="1" t="n">
        <v>46286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54511-2025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45965</v>
      </c>
      <c r="E1130" s="1" t="n">
        <v>46286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54024-2025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46286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7574-2023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44972</v>
      </c>
      <c r="E1132" s="1" t="n">
        <v>46286</v>
      </c>
      <c r="F1132" t="inlineStr">
        <is>
          <t>VÄSTERNORRLANDS LÄN</t>
        </is>
      </c>
      <c r="G1132" t="inlineStr">
        <is>
          <t>ÖRNSKÖLDSVIK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22326-2026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46154</v>
      </c>
      <c r="E1133" s="1" t="n">
        <v>46286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20153-2025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45772</v>
      </c>
      <c r="E1134" s="1" t="n">
        <v>46286</v>
      </c>
      <c r="F1134" t="inlineStr">
        <is>
          <t>VÄSTERNORRLANDS LÄN</t>
        </is>
      </c>
      <c r="G1134" t="inlineStr">
        <is>
          <t>ÖRNSKÖLDSVIK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50369-2023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45209</v>
      </c>
      <c r="E1135" s="1" t="n">
        <v>46286</v>
      </c>
      <c r="F1135" t="inlineStr">
        <is>
          <t>VÄSTERNORRLANDS LÄN</t>
        </is>
      </c>
      <c r="G1135" t="inlineStr">
        <is>
          <t>ÖRNSKÖLDSVIK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27468-2023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45097</v>
      </c>
      <c r="E1136" s="1" t="n">
        <v>46286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47438-2024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45587</v>
      </c>
      <c r="E1137" s="1" t="n">
        <v>46286</v>
      </c>
      <c r="F1137" t="inlineStr">
        <is>
          <t>VÄSTERNORRLANDS LÄN</t>
        </is>
      </c>
      <c r="G1137" t="inlineStr">
        <is>
          <t>ÖRNSKÖLDSVIK</t>
        </is>
      </c>
      <c r="I1137" t="n">
        <v>11.8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31244-2023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45114</v>
      </c>
      <c r="E1138" s="1" t="n">
        <v>46286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55684-2024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45622</v>
      </c>
      <c r="E1139" s="1" t="n">
        <v>46286</v>
      </c>
      <c r="F1139" t="inlineStr">
        <is>
          <t>VÄSTERNORRLANDS LÄN</t>
        </is>
      </c>
      <c r="G1139" t="inlineStr">
        <is>
          <t>ÖRNSKÖLDSVIK</t>
        </is>
      </c>
      <c r="I1139" t="n">
        <v>2.8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54620-2025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45966</v>
      </c>
      <c r="E1140" s="1" t="n">
        <v>46286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55093-2025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45968</v>
      </c>
      <c r="E1141" s="1" t="n">
        <v>46286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SCA</t>
        </is>
      </c>
      <c r="I1141" t="n">
        <v>4.9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55402-2025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45971</v>
      </c>
      <c r="E1142" s="1" t="n">
        <v>46286</v>
      </c>
      <c r="F1142" t="inlineStr">
        <is>
          <t>VÄSTERNORRLANDS LÄN</t>
        </is>
      </c>
      <c r="G1142" t="inlineStr">
        <is>
          <t>ÖRNSKÖLDSVIK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40066-2023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45168</v>
      </c>
      <c r="E1143" s="1" t="n">
        <v>46286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3.6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55091-2025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45968</v>
      </c>
      <c r="E1144" s="1" t="n">
        <v>46286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55219-2025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45968</v>
      </c>
      <c r="E1145" s="1" t="n">
        <v>46286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55244-2025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45968</v>
      </c>
      <c r="E1146" s="1" t="n">
        <v>46286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51565-2024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45604</v>
      </c>
      <c r="E1147" s="1" t="n">
        <v>46286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12903-2022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44642</v>
      </c>
      <c r="E1148" s="1" t="n">
        <v>46286</v>
      </c>
      <c r="F1148" t="inlineStr">
        <is>
          <t>VÄSTERNORRLANDS LÄN</t>
        </is>
      </c>
      <c r="G1148" t="inlineStr">
        <is>
          <t>ÖRNSKÖLDSVIK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17218-2025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45756</v>
      </c>
      <c r="E1149" s="1" t="n">
        <v>46286</v>
      </c>
      <c r="F1149" t="inlineStr">
        <is>
          <t>VÄSTERNORRLANDS LÄN</t>
        </is>
      </c>
      <c r="G1149" t="inlineStr">
        <is>
          <t>ÖRNSKÖLDSVIK</t>
        </is>
      </c>
      <c r="I1149" t="n">
        <v>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55449-2025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45971</v>
      </c>
      <c r="E1150" s="1" t="n">
        <v>46286</v>
      </c>
      <c r="F1150" t="inlineStr">
        <is>
          <t>VÄSTERNORRLANDS LÄN</t>
        </is>
      </c>
      <c r="G1150" t="inlineStr">
        <is>
          <t>ÖRNSKÖLDSVIK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22487-2026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46286</v>
      </c>
      <c r="F1151" t="inlineStr">
        <is>
          <t>VÄSTERNORRLANDS LÄN</t>
        </is>
      </c>
      <c r="G1151" t="inlineStr">
        <is>
          <t>ÖRNSKÖLDSVIK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55397-2025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45971</v>
      </c>
      <c r="E1152" s="1" t="n">
        <v>46286</v>
      </c>
      <c r="F1152" t="inlineStr">
        <is>
          <t>VÄSTERNORRLANDS LÄN</t>
        </is>
      </c>
      <c r="G1152" t="inlineStr">
        <is>
          <t>ÖRNSKÖLDSVIK</t>
        </is>
      </c>
      <c r="I1152" t="n">
        <v>8.4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55466-2025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46286</v>
      </c>
      <c r="F1153" t="inlineStr">
        <is>
          <t>VÄSTERNORRLANDS LÄN</t>
        </is>
      </c>
      <c r="G1153" t="inlineStr">
        <is>
          <t>ÖRNSKÖLDSVIK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55193-2025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45968</v>
      </c>
      <c r="E1154" s="1" t="n">
        <v>46286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4.7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11749-2025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45727</v>
      </c>
      <c r="E1155" s="1" t="n">
        <v>46286</v>
      </c>
      <c r="F1155" t="inlineStr">
        <is>
          <t>VÄSTERNORRLANDS LÄN</t>
        </is>
      </c>
      <c r="G1155" t="inlineStr">
        <is>
          <t>ÖRNSKÖLDSVIK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55749-2025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45972</v>
      </c>
      <c r="E1156" s="1" t="n">
        <v>46286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55747-2025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45972</v>
      </c>
      <c r="E1157" s="1" t="n">
        <v>46286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42614-2023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45176</v>
      </c>
      <c r="E1158" s="1" t="n">
        <v>46286</v>
      </c>
      <c r="F1158" t="inlineStr">
        <is>
          <t>VÄSTERNORRLANDS LÄN</t>
        </is>
      </c>
      <c r="G1158" t="inlineStr">
        <is>
          <t>ÖRNSKÖLDSVIK</t>
        </is>
      </c>
      <c r="I1158" t="n">
        <v>3.5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56034-2025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45973</v>
      </c>
      <c r="E1159" s="1" t="n">
        <v>46286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27498-2023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45097</v>
      </c>
      <c r="E1160" s="1" t="n">
        <v>46286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55954-2025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45973</v>
      </c>
      <c r="E1161" s="1" t="n">
        <v>46286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55960-2025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45973</v>
      </c>
      <c r="E1162" s="1" t="n">
        <v>46286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55994-2025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45973</v>
      </c>
      <c r="E1163" s="1" t="n">
        <v>46286</v>
      </c>
      <c r="F1163" t="inlineStr">
        <is>
          <t>VÄSTERNORRLANDS LÄN</t>
        </is>
      </c>
      <c r="G1163" t="inlineStr">
        <is>
          <t>ÖRNSKÖLDSVIK</t>
        </is>
      </c>
      <c r="I1163" t="n">
        <v>4.4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55937-2025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45973</v>
      </c>
      <c r="E1164" s="1" t="n">
        <v>46286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25097-2024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45462</v>
      </c>
      <c r="E1165" s="1" t="n">
        <v>46286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32896-2022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44784</v>
      </c>
      <c r="E1166" s="1" t="n">
        <v>46286</v>
      </c>
      <c r="F1166" t="inlineStr">
        <is>
          <t>VÄSTERNORRLANDS LÄN</t>
        </is>
      </c>
      <c r="G1166" t="inlineStr">
        <is>
          <t>ÖRNSKÖLDSVIK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34875-2024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45527</v>
      </c>
      <c r="E1167" s="1" t="n">
        <v>46286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55657-2025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45972</v>
      </c>
      <c r="E1168" s="1" t="n">
        <v>46286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47588-2023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45197</v>
      </c>
      <c r="E1169" s="1" t="n">
        <v>46286</v>
      </c>
      <c r="F1169" t="inlineStr">
        <is>
          <t>VÄSTERNORRLANDS LÄN</t>
        </is>
      </c>
      <c r="G1169" t="inlineStr">
        <is>
          <t>ÖRNSKÖLDSVIK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56053-2025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45973</v>
      </c>
      <c r="E1170" s="1" t="n">
        <v>46286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35395-2023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45146</v>
      </c>
      <c r="E1171" s="1" t="n">
        <v>46286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55779-2025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45972</v>
      </c>
      <c r="E1172" s="1" t="n">
        <v>46286</v>
      </c>
      <c r="F1172" t="inlineStr">
        <is>
          <t>VÄSTERNORRLANDS LÄN</t>
        </is>
      </c>
      <c r="G1172" t="inlineStr">
        <is>
          <t>ÖRNSKÖLDSVIK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55655-2025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45972</v>
      </c>
      <c r="E1173" s="1" t="n">
        <v>46286</v>
      </c>
      <c r="F1173" t="inlineStr">
        <is>
          <t>VÄSTERNORRLANDS LÄN</t>
        </is>
      </c>
      <c r="G1173" t="inlineStr">
        <is>
          <t>ÖRNSKÖLDSVIK</t>
        </is>
      </c>
      <c r="I1173" t="n">
        <v>8.9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55659-2025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45972</v>
      </c>
      <c r="E1174" s="1" t="n">
        <v>46286</v>
      </c>
      <c r="F1174" t="inlineStr">
        <is>
          <t>VÄSTERNORRLANDS LÄN</t>
        </is>
      </c>
      <c r="G1174" t="inlineStr">
        <is>
          <t>ÖRNSKÖLDSVIK</t>
        </is>
      </c>
      <c r="I1174" t="n">
        <v>5.5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31346-2024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45504</v>
      </c>
      <c r="E1175" s="1" t="n">
        <v>46286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55933-2025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45973</v>
      </c>
      <c r="E1176" s="1" t="n">
        <v>46286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55862-2025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45973</v>
      </c>
      <c r="E1177" s="1" t="n">
        <v>46286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55904-2025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45973</v>
      </c>
      <c r="E1178" s="1" t="n">
        <v>46286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55663-2025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45972</v>
      </c>
      <c r="E1179" s="1" t="n">
        <v>46286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52261-2024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45608</v>
      </c>
      <c r="E1180" s="1" t="n">
        <v>46286</v>
      </c>
      <c r="F1180" t="inlineStr">
        <is>
          <t>VÄSTERNORRLANDS LÄN</t>
        </is>
      </c>
      <c r="G1180" t="inlineStr">
        <is>
          <t>ÖRNSKÖLDSVIK</t>
        </is>
      </c>
      <c r="I1180" t="n">
        <v>0.3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56496-2025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45975</v>
      </c>
      <c r="E1181" s="1" t="n">
        <v>46286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SCA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52264-2024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45608</v>
      </c>
      <c r="E1182" s="1" t="n">
        <v>46286</v>
      </c>
      <c r="F1182" t="inlineStr">
        <is>
          <t>VÄSTERNORRLANDS LÄN</t>
        </is>
      </c>
      <c r="G1182" t="inlineStr">
        <is>
          <t>ÖRNSKÖLDSVIK</t>
        </is>
      </c>
      <c r="I1182" t="n">
        <v>0.3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2499-2024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45313</v>
      </c>
      <c r="E1183" s="1" t="n">
        <v>46286</v>
      </c>
      <c r="F1183" t="inlineStr">
        <is>
          <t>VÄSTERNORRLANDS LÄN</t>
        </is>
      </c>
      <c r="G1183" t="inlineStr">
        <is>
          <t>ÖRNSKÖLDSVIK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2541-2024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45313</v>
      </c>
      <c r="E1184" s="1" t="n">
        <v>46286</v>
      </c>
      <c r="F1184" t="inlineStr">
        <is>
          <t>VÄSTERNORRLANDS LÄN</t>
        </is>
      </c>
      <c r="G1184" t="inlineStr">
        <is>
          <t>ÖRNSKÖLDSVIK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56222-2025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45974</v>
      </c>
      <c r="E1185" s="1" t="n">
        <v>46286</v>
      </c>
      <c r="F1185" t="inlineStr">
        <is>
          <t>VÄSTERNORRLANDS LÄN</t>
        </is>
      </c>
      <c r="G1185" t="inlineStr">
        <is>
          <t>ÖRNSKÖLDSVIK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51967-2022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44872</v>
      </c>
      <c r="E1186" s="1" t="n">
        <v>46286</v>
      </c>
      <c r="F1186" t="inlineStr">
        <is>
          <t>VÄSTERNORRLANDS LÄN</t>
        </is>
      </c>
      <c r="G1186" t="inlineStr">
        <is>
          <t>ÖRNSKÖLDSVIK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20547-2023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45057</v>
      </c>
      <c r="E1187" s="1" t="n">
        <v>46286</v>
      </c>
      <c r="F1187" t="inlineStr">
        <is>
          <t>VÄSTERNORRLANDS LÄN</t>
        </is>
      </c>
      <c r="G1187" t="inlineStr">
        <is>
          <t>ÖRNSKÖLDSVIK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20548-2023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45057</v>
      </c>
      <c r="E1188" s="1" t="n">
        <v>46286</v>
      </c>
      <c r="F1188" t="inlineStr">
        <is>
          <t>VÄSTERNORRLANDS LÄN</t>
        </is>
      </c>
      <c r="G1188" t="inlineStr">
        <is>
          <t>ÖRNSKÖLDSVIK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56153-2025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45974</v>
      </c>
      <c r="E1189" s="1" t="n">
        <v>46286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56450-2025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45975</v>
      </c>
      <c r="E1190" s="1" t="n">
        <v>46286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56160-2025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45974</v>
      </c>
      <c r="E1191" s="1" t="n">
        <v>46286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56164-2025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45974</v>
      </c>
      <c r="E1192" s="1" t="n">
        <v>46286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61869-2025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46003</v>
      </c>
      <c r="E1193" s="1" t="n">
        <v>46286</v>
      </c>
      <c r="F1193" t="inlineStr">
        <is>
          <t>VÄSTERNORRLANDS LÄN</t>
        </is>
      </c>
      <c r="G1193" t="inlineStr">
        <is>
          <t>ÖRNSKÖLDSVIK</t>
        </is>
      </c>
      <c r="I1193" t="n">
        <v>10.9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46988-2023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45201</v>
      </c>
      <c r="E1194" s="1" t="n">
        <v>46286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58643-2023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45251</v>
      </c>
      <c r="E1195" s="1" t="n">
        <v>46286</v>
      </c>
      <c r="F1195" t="inlineStr">
        <is>
          <t>VÄSTERNORRLANDS LÄN</t>
        </is>
      </c>
      <c r="G1195" t="inlineStr">
        <is>
          <t>ÖRNSKÖLDSVIK</t>
        </is>
      </c>
      <c r="I1195" t="n">
        <v>2.4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62659-2023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45268</v>
      </c>
      <c r="E1196" s="1" t="n">
        <v>46286</v>
      </c>
      <c r="F1196" t="inlineStr">
        <is>
          <t>VÄSTERNORRLANDS LÄN</t>
        </is>
      </c>
      <c r="G1196" t="inlineStr">
        <is>
          <t>ÖRNSKÖLDSVIK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56223-2025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45974</v>
      </c>
      <c r="E1197" s="1" t="n">
        <v>46286</v>
      </c>
      <c r="F1197" t="inlineStr">
        <is>
          <t>VÄSTERNORRLANDS LÄN</t>
        </is>
      </c>
      <c r="G1197" t="inlineStr">
        <is>
          <t>ÖRNSKÖLDSVIK</t>
        </is>
      </c>
      <c r="I1197" t="n">
        <v>0.3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51518-2023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45222</v>
      </c>
      <c r="E1198" s="1" t="n">
        <v>46286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19137-2023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45044</v>
      </c>
      <c r="E1199" s="1" t="n">
        <v>46286</v>
      </c>
      <c r="F1199" t="inlineStr">
        <is>
          <t>VÄSTERNORRLANDS LÄN</t>
        </is>
      </c>
      <c r="G1199" t="inlineStr">
        <is>
          <t>ÖRNSKÖLDSVIK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56992-2025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45978</v>
      </c>
      <c r="E1200" s="1" t="n">
        <v>46286</v>
      </c>
      <c r="F1200" t="inlineStr">
        <is>
          <t>VÄSTERNORRLANDS LÄN</t>
        </is>
      </c>
      <c r="G1200" t="inlineStr">
        <is>
          <t>ÖRNSKÖLDSVIK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56764-2025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45978</v>
      </c>
      <c r="E1201" s="1" t="n">
        <v>46286</v>
      </c>
      <c r="F1201" t="inlineStr">
        <is>
          <t>VÄSTERNORRLANDS LÄN</t>
        </is>
      </c>
      <c r="G1201" t="inlineStr">
        <is>
          <t>ÖRNSKÖLDSVIK</t>
        </is>
      </c>
      <c r="I1201" t="n">
        <v>6.8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16549-2023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45029</v>
      </c>
      <c r="E1202" s="1" t="n">
        <v>46286</v>
      </c>
      <c r="F1202" t="inlineStr">
        <is>
          <t>VÄSTERNORRLANDS LÄN</t>
        </is>
      </c>
      <c r="G1202" t="inlineStr">
        <is>
          <t>ÖRNSKÖLDSVIK</t>
        </is>
      </c>
      <c r="I1202" t="n">
        <v>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22362-2026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46286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56995-2025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45978</v>
      </c>
      <c r="E1204" s="1" t="n">
        <v>46286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57056-2025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45979</v>
      </c>
      <c r="E1205" s="1" t="n">
        <v>46286</v>
      </c>
      <c r="F1205" t="inlineStr">
        <is>
          <t>VÄSTERNORRLANDS LÄN</t>
        </is>
      </c>
      <c r="G1205" t="inlineStr">
        <is>
          <t>ÖRNSKÖLDSVIK</t>
        </is>
      </c>
      <c r="I1205" t="n">
        <v>7.8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57199-2025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45979</v>
      </c>
      <c r="E1206" s="1" t="n">
        <v>46286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7.3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29533-2024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45484</v>
      </c>
      <c r="E1207" s="1" t="n">
        <v>46286</v>
      </c>
      <c r="F1207" t="inlineStr">
        <is>
          <t>VÄSTERNORRLANDS LÄN</t>
        </is>
      </c>
      <c r="G1207" t="inlineStr">
        <is>
          <t>ÖRNSKÖLDSVIK</t>
        </is>
      </c>
      <c r="I1207" t="n">
        <v>5.2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57177-2025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45979</v>
      </c>
      <c r="E1208" s="1" t="n">
        <v>46286</v>
      </c>
      <c r="F1208" t="inlineStr">
        <is>
          <t>VÄSTERNORRLANDS LÄN</t>
        </is>
      </c>
      <c r="G1208" t="inlineStr">
        <is>
          <t>ÖRNSKÖLDSVIK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36247-2024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45534</v>
      </c>
      <c r="E1209" s="1" t="n">
        <v>46286</v>
      </c>
      <c r="F1209" t="inlineStr">
        <is>
          <t>VÄSTERNORRLANDS LÄN</t>
        </is>
      </c>
      <c r="G1209" t="inlineStr">
        <is>
          <t>ÖRNSKÖLDSVIK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44930</v>
      </c>
      <c r="E1210" s="1" t="n">
        <v>46286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Kommuner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56933-2025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45978</v>
      </c>
      <c r="E1211" s="1" t="n">
        <v>46286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9.300000000000001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28202-2024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45477</v>
      </c>
      <c r="E1212" s="1" t="n">
        <v>46286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4.8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57573-2025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45980</v>
      </c>
      <c r="E1213" s="1" t="n">
        <v>46286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57389-2025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45980</v>
      </c>
      <c r="E1214" s="1" t="n">
        <v>46286</v>
      </c>
      <c r="F1214" t="inlineStr">
        <is>
          <t>VÄSTERNORRLANDS LÄN</t>
        </is>
      </c>
      <c r="G1214" t="inlineStr">
        <is>
          <t>ÖRNSKÖLDSVIK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4654-2023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44957</v>
      </c>
      <c r="E1215" s="1" t="n">
        <v>46286</v>
      </c>
      <c r="F1215" t="inlineStr">
        <is>
          <t>VÄSTERNORRLANDS LÄN</t>
        </is>
      </c>
      <c r="G1215" t="inlineStr">
        <is>
          <t>ÖRNSKÖLDSVIK</t>
        </is>
      </c>
      <c r="I1215" t="n">
        <v>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57568-2025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45980</v>
      </c>
      <c r="E1216" s="1" t="n">
        <v>46286</v>
      </c>
      <c r="F1216" t="inlineStr">
        <is>
          <t>VÄSTERNORRLANDS LÄN</t>
        </is>
      </c>
      <c r="G1216" t="inlineStr">
        <is>
          <t>ÖRNSKÖLDSVIK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24897-2024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45461</v>
      </c>
      <c r="E1217" s="1" t="n">
        <v>46286</v>
      </c>
      <c r="F1217" t="inlineStr">
        <is>
          <t>VÄSTERNORRLANDS LÄN</t>
        </is>
      </c>
      <c r="G1217" t="inlineStr">
        <is>
          <t>ÖRNSKÖLDSVIK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59794-2024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45639</v>
      </c>
      <c r="E1218" s="1" t="n">
        <v>46286</v>
      </c>
      <c r="F1218" t="inlineStr">
        <is>
          <t>VÄSTERNORRLANDS LÄN</t>
        </is>
      </c>
      <c r="G1218" t="inlineStr">
        <is>
          <t>ÖRNSKÖLDSVIK</t>
        </is>
      </c>
      <c r="I1218" t="n">
        <v>7.1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57619-2025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45981</v>
      </c>
      <c r="E1219" s="1" t="n">
        <v>46286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57798-2025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45981</v>
      </c>
      <c r="E1220" s="1" t="n">
        <v>46286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57470-2025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45980</v>
      </c>
      <c r="E1221" s="1" t="n">
        <v>46286</v>
      </c>
      <c r="F1221" t="inlineStr">
        <is>
          <t>VÄSTERNORRLANDS LÄN</t>
        </is>
      </c>
      <c r="G1221" t="inlineStr">
        <is>
          <t>ÖRNSKÖLDSVIK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57507-2025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45980</v>
      </c>
      <c r="E1222" s="1" t="n">
        <v>46286</v>
      </c>
      <c r="F1222" t="inlineStr">
        <is>
          <t>VÄSTERNORRLANDS LÄN</t>
        </is>
      </c>
      <c r="G1222" t="inlineStr">
        <is>
          <t>ÖRNSKÖLDSVIK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57574-2025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45980</v>
      </c>
      <c r="E1223" s="1" t="n">
        <v>46286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4.1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57475-2025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45980</v>
      </c>
      <c r="E1224" s="1" t="n">
        <v>46286</v>
      </c>
      <c r="F1224" t="inlineStr">
        <is>
          <t>VÄSTERNORRLANDS LÄN</t>
        </is>
      </c>
      <c r="G1224" t="inlineStr">
        <is>
          <t>ÖRNSKÖLDSVIK</t>
        </is>
      </c>
      <c r="I1224" t="n">
        <v>6.5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48115-2023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45205</v>
      </c>
      <c r="E1225" s="1" t="n">
        <v>46286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60457-2025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46286</v>
      </c>
      <c r="F1226" t="inlineStr">
        <is>
          <t>VÄSTERNORRLANDS LÄN</t>
        </is>
      </c>
      <c r="G1226" t="inlineStr">
        <is>
          <t>ÖRNSKÖLDSVIK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9950-2023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44985</v>
      </c>
      <c r="E1227" s="1" t="n">
        <v>46286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22349-2026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46154</v>
      </c>
      <c r="E1228" s="1" t="n">
        <v>46286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58124-2025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45982</v>
      </c>
      <c r="E1229" s="1" t="n">
        <v>46286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51197-2024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45603</v>
      </c>
      <c r="E1230" s="1" t="n">
        <v>46286</v>
      </c>
      <c r="F1230" t="inlineStr">
        <is>
          <t>VÄSTERNORRLANDS LÄN</t>
        </is>
      </c>
      <c r="G1230" t="inlineStr">
        <is>
          <t>ÖRNSKÖLDSVIK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22456-2026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46155</v>
      </c>
      <c r="E1231" s="1" t="n">
        <v>46286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49476-2023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45211</v>
      </c>
      <c r="E1232" s="1" t="n">
        <v>46286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58195-2025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45983</v>
      </c>
      <c r="E1233" s="1" t="n">
        <v>46286</v>
      </c>
      <c r="F1233" t="inlineStr">
        <is>
          <t>VÄSTERNORRLANDS LÄN</t>
        </is>
      </c>
      <c r="G1233" t="inlineStr">
        <is>
          <t>ÖRNSKÖLDSVIK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10872-2025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45722</v>
      </c>
      <c r="E1234" s="1" t="n">
        <v>46286</v>
      </c>
      <c r="F1234" t="inlineStr">
        <is>
          <t>VÄSTERNORRLANDS LÄN</t>
        </is>
      </c>
      <c r="G1234" t="inlineStr">
        <is>
          <t>ÖRNSKÖLDSVIK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51110-2021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44461</v>
      </c>
      <c r="E1235" s="1" t="n">
        <v>46286</v>
      </c>
      <c r="F1235" t="inlineStr">
        <is>
          <t>VÄSTERNORRLANDS LÄN</t>
        </is>
      </c>
      <c r="G1235" t="inlineStr">
        <is>
          <t>ÖRNSKÖLDSVIK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53223-2022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44876</v>
      </c>
      <c r="E1236" s="1" t="n">
        <v>46286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60319-2022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44903</v>
      </c>
      <c r="E1237" s="1" t="n">
        <v>46286</v>
      </c>
      <c r="F1237" t="inlineStr">
        <is>
          <t>VÄSTERNORRLANDS LÄN</t>
        </is>
      </c>
      <c r="G1237" t="inlineStr">
        <is>
          <t>ÖRNSKÖLDSVIK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56992-2024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45628</v>
      </c>
      <c r="E1238" s="1" t="n">
        <v>46286</v>
      </c>
      <c r="F1238" t="inlineStr">
        <is>
          <t>VÄSTERNORRLANDS LÄN</t>
        </is>
      </c>
      <c r="G1238" t="inlineStr">
        <is>
          <t>ÖRNSKÖLDSVIK</t>
        </is>
      </c>
      <c r="I1238" t="n">
        <v>5.3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42235-2023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45180</v>
      </c>
      <c r="E1239" s="1" t="n">
        <v>46286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58830-2025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45987</v>
      </c>
      <c r="E1240" s="1" t="n">
        <v>46286</v>
      </c>
      <c r="F1240" t="inlineStr">
        <is>
          <t>VÄSTERNORRLANDS LÄN</t>
        </is>
      </c>
      <c r="G1240" t="inlineStr">
        <is>
          <t>ÖRNSKÖLDSVIK</t>
        </is>
      </c>
      <c r="I1240" t="n">
        <v>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27938-2025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45817</v>
      </c>
      <c r="E1241" s="1" t="n">
        <v>46286</v>
      </c>
      <c r="F1241" t="inlineStr">
        <is>
          <t>VÄSTERNORRLANDS LÄN</t>
        </is>
      </c>
      <c r="G1241" t="inlineStr">
        <is>
          <t>ÖRNSKÖLDSVIK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58758-2025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45986</v>
      </c>
      <c r="E1242" s="1" t="n">
        <v>46286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3.8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49318-2024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45595</v>
      </c>
      <c r="E1243" s="1" t="n">
        <v>46286</v>
      </c>
      <c r="F1243" t="inlineStr">
        <is>
          <t>VÄSTERNORRLANDS LÄN</t>
        </is>
      </c>
      <c r="G1243" t="inlineStr">
        <is>
          <t>ÖRNSKÖLDSVIK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58815-2025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45987</v>
      </c>
      <c r="E1244" s="1" t="n">
        <v>46286</v>
      </c>
      <c r="F1244" t="inlineStr">
        <is>
          <t>VÄSTERNORRLANDS LÄN</t>
        </is>
      </c>
      <c r="G1244" t="inlineStr">
        <is>
          <t>ÖRNSKÖLDSVIK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58820-2025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45987</v>
      </c>
      <c r="E1245" s="1" t="n">
        <v>46286</v>
      </c>
      <c r="F1245" t="inlineStr">
        <is>
          <t>VÄSTERNORRLANDS LÄN</t>
        </is>
      </c>
      <c r="G1245" t="inlineStr">
        <is>
          <t>ÖRNSKÖLDSVIK</t>
        </is>
      </c>
      <c r="I1245" t="n">
        <v>2.7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22818-2026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46160</v>
      </c>
      <c r="E1246" s="1" t="n">
        <v>46286</v>
      </c>
      <c r="F1246" t="inlineStr">
        <is>
          <t>VÄSTERNORRLANDS LÄN</t>
        </is>
      </c>
      <c r="G1246" t="inlineStr">
        <is>
          <t>ÖRNSKÖLDSVIK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59050-2025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45988</v>
      </c>
      <c r="E1247" s="1" t="n">
        <v>46286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59056-2025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45988</v>
      </c>
      <c r="E1248" s="1" t="n">
        <v>46286</v>
      </c>
      <c r="F1248" t="inlineStr">
        <is>
          <t>VÄSTERNORRLANDS LÄN</t>
        </is>
      </c>
      <c r="G1248" t="inlineStr">
        <is>
          <t>ÖRNSKÖLDSVIK</t>
        </is>
      </c>
      <c r="I1248" t="n">
        <v>8.6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53689-2023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45230</v>
      </c>
      <c r="E1249" s="1" t="n">
        <v>46286</v>
      </c>
      <c r="F1249" t="inlineStr">
        <is>
          <t>VÄSTERNORRLANDS LÄN</t>
        </is>
      </c>
      <c r="G1249" t="inlineStr">
        <is>
          <t>ÖRNSKÖLDSVIK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59438-2025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45989</v>
      </c>
      <c r="E1250" s="1" t="n">
        <v>46286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5.4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59368-2025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45989</v>
      </c>
      <c r="E1251" s="1" t="n">
        <v>46286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6.1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59442-2025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45989</v>
      </c>
      <c r="E1252" s="1" t="n">
        <v>46286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5.5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26395-2024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45469</v>
      </c>
      <c r="E1253" s="1" t="n">
        <v>46286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59434-2025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45989</v>
      </c>
      <c r="E1254" s="1" t="n">
        <v>46286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25151-2023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45086</v>
      </c>
      <c r="E1255" s="1" t="n">
        <v>46286</v>
      </c>
      <c r="F1255" t="inlineStr">
        <is>
          <t>VÄSTERNORRLANDS LÄN</t>
        </is>
      </c>
      <c r="G1255" t="inlineStr">
        <is>
          <t>ÖRNSKÖLDSVIK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34563-2024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45526</v>
      </c>
      <c r="E1256" s="1" t="n">
        <v>46286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59131-2025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45988</v>
      </c>
      <c r="E1257" s="1" t="n">
        <v>46286</v>
      </c>
      <c r="F1257" t="inlineStr">
        <is>
          <t>VÄSTERNORRLANDS LÄN</t>
        </is>
      </c>
      <c r="G1257" t="inlineStr">
        <is>
          <t>ÖRNSKÖLDSVIK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59135-2025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45988</v>
      </c>
      <c r="E1258" s="1" t="n">
        <v>46286</v>
      </c>
      <c r="F1258" t="inlineStr">
        <is>
          <t>VÄSTERNORRLANDS LÄN</t>
        </is>
      </c>
      <c r="G1258" t="inlineStr">
        <is>
          <t>ÖRNSKÖLDSVIK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59136-2025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45988</v>
      </c>
      <c r="E1259" s="1" t="n">
        <v>46286</v>
      </c>
      <c r="F1259" t="inlineStr">
        <is>
          <t>VÄSTERNORRLANDS LÄN</t>
        </is>
      </c>
      <c r="G1259" t="inlineStr">
        <is>
          <t>ÖRNSKÖLDSVIK</t>
        </is>
      </c>
      <c r="I1259" t="n">
        <v>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59265-2025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45988</v>
      </c>
      <c r="E1260" s="1" t="n">
        <v>46286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59138-2025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45988</v>
      </c>
      <c r="E1261" s="1" t="n">
        <v>46286</v>
      </c>
      <c r="F1261" t="inlineStr">
        <is>
          <t>VÄSTERNORRLANDS LÄN</t>
        </is>
      </c>
      <c r="G1261" t="inlineStr">
        <is>
          <t>ÖRNSKÖLDSVIK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59191-2025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45988</v>
      </c>
      <c r="E1262" s="1" t="n">
        <v>46286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59330-2025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45989</v>
      </c>
      <c r="E1263" s="1" t="n">
        <v>46286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24531-2023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45077</v>
      </c>
      <c r="E1264" s="1" t="n">
        <v>46286</v>
      </c>
      <c r="F1264" t="inlineStr">
        <is>
          <t>VÄSTERNORRLANDS LÄN</t>
        </is>
      </c>
      <c r="G1264" t="inlineStr">
        <is>
          <t>ÖRNSKÖLDSVIK</t>
        </is>
      </c>
      <c r="I1264" t="n">
        <v>3.2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59475-2025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45989</v>
      </c>
      <c r="E1265" s="1" t="n">
        <v>46286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5.5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21888-2024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45443</v>
      </c>
      <c r="E1266" s="1" t="n">
        <v>46286</v>
      </c>
      <c r="F1266" t="inlineStr">
        <is>
          <t>VÄSTERNORRLANDS LÄN</t>
        </is>
      </c>
      <c r="G1266" t="inlineStr">
        <is>
          <t>ÖRNSKÖLDSVIK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59689-2025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46286</v>
      </c>
      <c r="F1267" t="inlineStr">
        <is>
          <t>VÄSTERNORRLANDS LÄN</t>
        </is>
      </c>
      <c r="G1267" t="inlineStr">
        <is>
          <t>ÖRNSKÖLDSVIK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59594-2025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45992</v>
      </c>
      <c r="E1268" s="1" t="n">
        <v>46286</v>
      </c>
      <c r="F1268" t="inlineStr">
        <is>
          <t>VÄSTERNORRLANDS LÄN</t>
        </is>
      </c>
      <c r="G1268" t="inlineStr">
        <is>
          <t>ÖRNSKÖLDSVIK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59747-2025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45992</v>
      </c>
      <c r="E1269" s="1" t="n">
        <v>46286</v>
      </c>
      <c r="F1269" t="inlineStr">
        <is>
          <t>VÄSTERNORRLANDS LÄN</t>
        </is>
      </c>
      <c r="G1269" t="inlineStr">
        <is>
          <t>ÖRNSKÖLDSVIK</t>
        </is>
      </c>
      <c r="I1269" t="n">
        <v>6.3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59853-2025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45992</v>
      </c>
      <c r="E1270" s="1" t="n">
        <v>46286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Kommuner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59589-2025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45992</v>
      </c>
      <c r="E1271" s="1" t="n">
        <v>46286</v>
      </c>
      <c r="F1271" t="inlineStr">
        <is>
          <t>VÄSTERNORRLANDS LÄN</t>
        </is>
      </c>
      <c r="G1271" t="inlineStr">
        <is>
          <t>ÖRNSKÖLDSVIK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59549-2025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45990</v>
      </c>
      <c r="E1272" s="1" t="n">
        <v>46286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59556-2025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45991</v>
      </c>
      <c r="E1273" s="1" t="n">
        <v>46286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25044-2024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45462</v>
      </c>
      <c r="E1274" s="1" t="n">
        <v>46286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8.9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59548-2025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45990</v>
      </c>
      <c r="E1275" s="1" t="n">
        <v>46286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59691-2025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45992</v>
      </c>
      <c r="E1276" s="1" t="n">
        <v>46286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7.2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59699-2025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46286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59658-2025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45992</v>
      </c>
      <c r="E1278" s="1" t="n">
        <v>46286</v>
      </c>
      <c r="F1278" t="inlineStr">
        <is>
          <t>VÄSTERNORRLANDS LÄN</t>
        </is>
      </c>
      <c r="G1278" t="inlineStr">
        <is>
          <t>ÖRNSKÖLDSVIK</t>
        </is>
      </c>
      <c r="I1278" t="n">
        <v>3.1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59609-2025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45992</v>
      </c>
      <c r="E1279" s="1" t="n">
        <v>46286</v>
      </c>
      <c r="F1279" t="inlineStr">
        <is>
          <t>VÄSTERNORRLANDS LÄN</t>
        </is>
      </c>
      <c r="G1279" t="inlineStr">
        <is>
          <t>ÖRNSKÖLDSVIK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34973-2024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45527</v>
      </c>
      <c r="E1280" s="1" t="n">
        <v>46286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34981-2024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45527</v>
      </c>
      <c r="E1281" s="1" t="n">
        <v>46286</v>
      </c>
      <c r="F1281" t="inlineStr">
        <is>
          <t>VÄSTERNORRLANDS LÄN</t>
        </is>
      </c>
      <c r="G1281" t="inlineStr">
        <is>
          <t>ÖRNSKÖLDSVIK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25201-2024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45462</v>
      </c>
      <c r="E1282" s="1" t="n">
        <v>46286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35692-2025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45860</v>
      </c>
      <c r="E1283" s="1" t="n">
        <v>46286</v>
      </c>
      <c r="F1283" t="inlineStr">
        <is>
          <t>VÄSTERNORRLANDS LÄN</t>
        </is>
      </c>
      <c r="G1283" t="inlineStr">
        <is>
          <t>ÖRNSKÖLDSVIK</t>
        </is>
      </c>
      <c r="I1283" t="n">
        <v>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22998-2026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46160</v>
      </c>
      <c r="E1284" s="1" t="n">
        <v>46286</v>
      </c>
      <c r="F1284" t="inlineStr">
        <is>
          <t>VÄSTERNORRLANDS LÄN</t>
        </is>
      </c>
      <c r="G1284" t="inlineStr">
        <is>
          <t>ÖRNSKÖLDSVIK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23014-2026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46161</v>
      </c>
      <c r="E1285" s="1" t="n">
        <v>46286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660-2026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46025</v>
      </c>
      <c r="E1286" s="1" t="n">
        <v>46286</v>
      </c>
      <c r="F1286" t="inlineStr">
        <is>
          <t>VÄSTERNORRLANDS LÄN</t>
        </is>
      </c>
      <c r="G1286" t="inlineStr">
        <is>
          <t>ÖRNSKÖLDSVIK</t>
        </is>
      </c>
      <c r="I1286" t="n">
        <v>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1856-2026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46035</v>
      </c>
      <c r="E1287" s="1" t="n">
        <v>46286</v>
      </c>
      <c r="F1287" t="inlineStr">
        <is>
          <t>VÄSTERNORRLANDS LÄN</t>
        </is>
      </c>
      <c r="G1287" t="inlineStr">
        <is>
          <t>ÖRNSKÖLDSVIK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36863-2023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45154</v>
      </c>
      <c r="E1288" s="1" t="n">
        <v>46286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3856-2025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45682</v>
      </c>
      <c r="E1289" s="1" t="n">
        <v>46286</v>
      </c>
      <c r="F1289" t="inlineStr">
        <is>
          <t>VÄSTERNORRLANDS LÄN</t>
        </is>
      </c>
      <c r="G1289" t="inlineStr">
        <is>
          <t>ÖRNSKÖLDSVIK</t>
        </is>
      </c>
      <c r="I1289" t="n">
        <v>3.2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69593-2021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44532</v>
      </c>
      <c r="E1290" s="1" t="n">
        <v>46286</v>
      </c>
      <c r="F1290" t="inlineStr">
        <is>
          <t>VÄSTERNORRLANDS LÄN</t>
        </is>
      </c>
      <c r="G1290" t="inlineStr">
        <is>
          <t>ÖRNSKÖLDSVIK</t>
        </is>
      </c>
      <c r="I1290" t="n">
        <v>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15809-2024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45404</v>
      </c>
      <c r="E1291" s="1" t="n">
        <v>46286</v>
      </c>
      <c r="F1291" t="inlineStr">
        <is>
          <t>VÄSTERNORRLANDS LÄN</t>
        </is>
      </c>
      <c r="G1291" t="inlineStr">
        <is>
          <t>ÖRNSKÖLDSVIK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9146-2025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45714</v>
      </c>
      <c r="E1292" s="1" t="n">
        <v>46286</v>
      </c>
      <c r="F1292" t="inlineStr">
        <is>
          <t>VÄSTERNORRLANDS LÄN</t>
        </is>
      </c>
      <c r="G1292" t="inlineStr">
        <is>
          <t>ÖRNSKÖLDSVIK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56966-2024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45628</v>
      </c>
      <c r="E1293" s="1" t="n">
        <v>46286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60647-2024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45644</v>
      </c>
      <c r="E1294" s="1" t="n">
        <v>46286</v>
      </c>
      <c r="F1294" t="inlineStr">
        <is>
          <t>VÄSTERNORRLANDS LÄN</t>
        </is>
      </c>
      <c r="G1294" t="inlineStr">
        <is>
          <t>ÖRNSKÖLDSVIK</t>
        </is>
      </c>
      <c r="I1294" t="n">
        <v>6.9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23472-2026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46163</v>
      </c>
      <c r="E1295" s="1" t="n">
        <v>46286</v>
      </c>
      <c r="F1295" t="inlineStr">
        <is>
          <t>VÄSTERNORRLANDS LÄN</t>
        </is>
      </c>
      <c r="G1295" t="inlineStr">
        <is>
          <t>ÖRNSKÖLDSVIK</t>
        </is>
      </c>
      <c r="I1295" t="n">
        <v>4.8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23213-2026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46162</v>
      </c>
      <c r="E1296" s="1" t="n">
        <v>46286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34905-2024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45527</v>
      </c>
      <c r="E1297" s="1" t="n">
        <v>46286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73269-2021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44550</v>
      </c>
      <c r="E1298" s="1" t="n">
        <v>46286</v>
      </c>
      <c r="F1298" t="inlineStr">
        <is>
          <t>VÄSTERNORRLANDS LÄN</t>
        </is>
      </c>
      <c r="G1298" t="inlineStr">
        <is>
          <t>ÖRNSKÖLDSVIK</t>
        </is>
      </c>
      <c r="I1298" t="n">
        <v>6.6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36704-2024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45537</v>
      </c>
      <c r="E1299" s="1" t="n">
        <v>46286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55636-2024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45622</v>
      </c>
      <c r="E1300" s="1" t="n">
        <v>46286</v>
      </c>
      <c r="F1300" t="inlineStr">
        <is>
          <t>VÄSTERNORRLANDS LÄN</t>
        </is>
      </c>
      <c r="G1300" t="inlineStr">
        <is>
          <t>ÖRNSKÖLDSVIK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23612-2026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46163</v>
      </c>
      <c r="E1301" s="1" t="n">
        <v>46286</v>
      </c>
      <c r="F1301" t="inlineStr">
        <is>
          <t>VÄSTERNORRLANDS LÄN</t>
        </is>
      </c>
      <c r="G1301" t="inlineStr">
        <is>
          <t>ÖRNSKÖLDSVIK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40172-2024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45554</v>
      </c>
      <c r="E1302" s="1" t="n">
        <v>46286</v>
      </c>
      <c r="F1302" t="inlineStr">
        <is>
          <t>VÄSTERNORRLANDS LÄN</t>
        </is>
      </c>
      <c r="G1302" t="inlineStr">
        <is>
          <t>ÖRNSKÖLDSVIK</t>
        </is>
      </c>
      <c r="I1302" t="n">
        <v>6.1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34524-2024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45525</v>
      </c>
      <c r="E1303" s="1" t="n">
        <v>46286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43100-2023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45182</v>
      </c>
      <c r="E1304" s="1" t="n">
        <v>46286</v>
      </c>
      <c r="F1304" t="inlineStr">
        <is>
          <t>VÄSTERNORRLANDS LÄN</t>
        </is>
      </c>
      <c r="G1304" t="inlineStr">
        <is>
          <t>ÖRNSKÖLDSVIK</t>
        </is>
      </c>
      <c r="I1304" t="n">
        <v>12.9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23730-2026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46163</v>
      </c>
      <c r="E1305" s="1" t="n">
        <v>46286</v>
      </c>
      <c r="F1305" t="inlineStr">
        <is>
          <t>VÄSTERNORRLANDS LÄN</t>
        </is>
      </c>
      <c r="G1305" t="inlineStr">
        <is>
          <t>ÖRNSKÖLDSVIK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50670-2025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45945</v>
      </c>
      <c r="E1306" s="1" t="n">
        <v>46286</v>
      </c>
      <c r="F1306" t="inlineStr">
        <is>
          <t>VÄSTERNORRLANDS LÄN</t>
        </is>
      </c>
      <c r="G1306" t="inlineStr">
        <is>
          <t>ÖRNSKÖLDSVIK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32583-2024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45513</v>
      </c>
      <c r="E1307" s="1" t="n">
        <v>46286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23485-2026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46163</v>
      </c>
      <c r="E1308" s="1" t="n">
        <v>46286</v>
      </c>
      <c r="F1308" t="inlineStr">
        <is>
          <t>VÄSTERNORRLANDS LÄN</t>
        </is>
      </c>
      <c r="G1308" t="inlineStr">
        <is>
          <t>ÖRNSKÖLDSVIK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29425-2023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45106</v>
      </c>
      <c r="E1309" s="1" t="n">
        <v>46286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29428-2023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45106</v>
      </c>
      <c r="E1310" s="1" t="n">
        <v>46286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29462-2023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45106</v>
      </c>
      <c r="E1311" s="1" t="n">
        <v>46286</v>
      </c>
      <c r="F1311" t="inlineStr">
        <is>
          <t>VÄSTERNORRLANDS LÄN</t>
        </is>
      </c>
      <c r="G1311" t="inlineStr">
        <is>
          <t>ÖRNSKÖLDSVIK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29501-2023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45106</v>
      </c>
      <c r="E1312" s="1" t="n">
        <v>46286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44118-2024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45572</v>
      </c>
      <c r="E1313" s="1" t="n">
        <v>46286</v>
      </c>
      <c r="F1313" t="inlineStr">
        <is>
          <t>VÄSTERNORRLANDS LÄN</t>
        </is>
      </c>
      <c r="G1313" t="inlineStr">
        <is>
          <t>ÖRNSKÖLDSVIK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59557-2025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45991</v>
      </c>
      <c r="E1314" s="1" t="n">
        <v>46286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59558-2025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45991</v>
      </c>
      <c r="E1315" s="1" t="n">
        <v>46286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35231-2023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45145</v>
      </c>
      <c r="E1316" s="1" t="n">
        <v>46286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60257-2025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45994</v>
      </c>
      <c r="E1317" s="1" t="n">
        <v>46286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60475-2025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45995</v>
      </c>
      <c r="E1318" s="1" t="n">
        <v>46286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60350-2025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45995</v>
      </c>
      <c r="E1319" s="1" t="n">
        <v>46286</v>
      </c>
      <c r="F1319" t="inlineStr">
        <is>
          <t>VÄSTERNORRLANDS LÄN</t>
        </is>
      </c>
      <c r="G1319" t="inlineStr">
        <is>
          <t>ÖRNSKÖLDSVIK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60448-2025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45995</v>
      </c>
      <c r="E1320" s="1" t="n">
        <v>46286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3.7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60483-2025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45995</v>
      </c>
      <c r="E1321" s="1" t="n">
        <v>46286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60525-2025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45995</v>
      </c>
      <c r="E1322" s="1" t="n">
        <v>46286</v>
      </c>
      <c r="F1322" t="inlineStr">
        <is>
          <t>VÄSTERNORRLANDS LÄN</t>
        </is>
      </c>
      <c r="G1322" t="inlineStr">
        <is>
          <t>ÖRNSKÖLDSVIK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60526-2025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45995</v>
      </c>
      <c r="E1323" s="1" t="n">
        <v>46286</v>
      </c>
      <c r="F1323" t="inlineStr">
        <is>
          <t>VÄSTERNORRLANDS LÄN</t>
        </is>
      </c>
      <c r="G1323" t="inlineStr">
        <is>
          <t>ÖRNSKÖLDSVIK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60383-2025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45995</v>
      </c>
      <c r="E1324" s="1" t="n">
        <v>46286</v>
      </c>
      <c r="F1324" t="inlineStr">
        <is>
          <t>VÄSTERNORRLANDS LÄN</t>
        </is>
      </c>
      <c r="G1324" t="inlineStr">
        <is>
          <t>ÖRNSKÖLDSVIK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45794-2023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45195</v>
      </c>
      <c r="E1325" s="1" t="n">
        <v>46286</v>
      </c>
      <c r="F1325" t="inlineStr">
        <is>
          <t>VÄSTERNORRLANDS LÄN</t>
        </is>
      </c>
      <c r="G1325" t="inlineStr">
        <is>
          <t>ÖRNSKÖLDSVIK</t>
        </is>
      </c>
      <c r="I1325" t="n">
        <v>6.3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45824-2023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45189</v>
      </c>
      <c r="E1326" s="1" t="n">
        <v>46286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60492-2025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45995</v>
      </c>
      <c r="E1327" s="1" t="n">
        <v>46286</v>
      </c>
      <c r="F1327" t="inlineStr">
        <is>
          <t>VÄSTERNORRLANDS LÄN</t>
        </is>
      </c>
      <c r="G1327" t="inlineStr">
        <is>
          <t>ÖRNSKÖLDSVIK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5248-2023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44959</v>
      </c>
      <c r="E1328" s="1" t="n">
        <v>46286</v>
      </c>
      <c r="F1328" t="inlineStr">
        <is>
          <t>VÄSTERNORRLANDS LÄN</t>
        </is>
      </c>
      <c r="G1328" t="inlineStr">
        <is>
          <t>ÖRNSKÖLDSVIK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59453-2024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45638</v>
      </c>
      <c r="E1329" s="1" t="n">
        <v>46286</v>
      </c>
      <c r="F1329" t="inlineStr">
        <is>
          <t>VÄSTERNORRLANDS LÄN</t>
        </is>
      </c>
      <c r="G1329" t="inlineStr">
        <is>
          <t>ÖRNSKÖLDSVIK</t>
        </is>
      </c>
      <c r="I1329" t="n">
        <v>6.3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60523-2025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46286</v>
      </c>
      <c r="F1330" t="inlineStr">
        <is>
          <t>VÄSTERNORRLANDS LÄN</t>
        </is>
      </c>
      <c r="G1330" t="inlineStr">
        <is>
          <t>ÖRNSKÖLDSVIK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60510-2025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45995</v>
      </c>
      <c r="E1331" s="1" t="n">
        <v>46286</v>
      </c>
      <c r="F1331" t="inlineStr">
        <is>
          <t>VÄSTERNORRLANDS LÄN</t>
        </is>
      </c>
      <c r="G1331" t="inlineStr">
        <is>
          <t>ÖRNSKÖLDSVIK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60748-2025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45999</v>
      </c>
      <c r="E1332" s="1" t="n">
        <v>46286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60750-2025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45999</v>
      </c>
      <c r="E1333" s="1" t="n">
        <v>46286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60765-2025</t>
        </is>
      </c>
      <c r="B1334" t="inlineStr">
        <is>
          <t>avverkningsanmälan</t>
        </is>
      </c>
      <c r="C1334" t="inlineStr">
        <is>
          <t>Avverkning för att bevara och utveckla /försöksver</t>
        </is>
      </c>
      <c r="D1334" s="1" t="n">
        <v>45999</v>
      </c>
      <c r="E1334" s="1" t="n">
        <v>46286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SCA</t>
        </is>
      </c>
      <c r="I1334" t="n">
        <v>5.5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49701-2023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45212</v>
      </c>
      <c r="E1335" s="1" t="n">
        <v>46286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11.8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60895-2025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45999</v>
      </c>
      <c r="E1336" s="1" t="n">
        <v>46286</v>
      </c>
      <c r="F1336" t="inlineStr">
        <is>
          <t>VÄSTERNORRLANDS LÄN</t>
        </is>
      </c>
      <c r="G1336" t="inlineStr">
        <is>
          <t>ÖRNSKÖLDSVIK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60914-2025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45999</v>
      </c>
      <c r="E1337" s="1" t="n">
        <v>46286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Kommuner</t>
        </is>
      </c>
      <c r="I1337" t="n">
        <v>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56306-2024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45624</v>
      </c>
      <c r="E1338" s="1" t="n">
        <v>46286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3.7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24416-2024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45457</v>
      </c>
      <c r="E1339" s="1" t="n">
        <v>46286</v>
      </c>
      <c r="F1339" t="inlineStr">
        <is>
          <t>VÄSTERNORRLANDS LÄN</t>
        </is>
      </c>
      <c r="G1339" t="inlineStr">
        <is>
          <t>ÖRNSKÖLDSVIK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60579-2025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45996</v>
      </c>
      <c r="E1340" s="1" t="n">
        <v>46286</v>
      </c>
      <c r="F1340" t="inlineStr">
        <is>
          <t>VÄSTERNORRLANDS LÄN</t>
        </is>
      </c>
      <c r="G1340" t="inlineStr">
        <is>
          <t>ÖRNSKÖLDSVIK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60839-2025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45999</v>
      </c>
      <c r="E1341" s="1" t="n">
        <v>46286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61513-2023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45265</v>
      </c>
      <c r="E1342" s="1" t="n">
        <v>46286</v>
      </c>
      <c r="F1342" t="inlineStr">
        <is>
          <t>VÄSTERNORRLANDS LÄN</t>
        </is>
      </c>
      <c r="G1342" t="inlineStr">
        <is>
          <t>ÖRNSKÖLDSVIK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28472-2023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45103</v>
      </c>
      <c r="E1343" s="1" t="n">
        <v>46286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33843-2024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45520</v>
      </c>
      <c r="E1344" s="1" t="n">
        <v>46286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51437-2024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45604</v>
      </c>
      <c r="E1345" s="1" t="n">
        <v>46286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45942-2023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45195</v>
      </c>
      <c r="E1346" s="1" t="n">
        <v>46286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SCA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61375-2025</t>
        </is>
      </c>
      <c r="B1347" t="inlineStr">
        <is>
          <t>avverkningsanmälan</t>
        </is>
      </c>
      <c r="C1347" t="inlineStr">
        <is>
          <t>Avverkning för att bevara och utveckla /försöksver</t>
        </is>
      </c>
      <c r="D1347" s="1" t="n">
        <v>46001</v>
      </c>
      <c r="E1347" s="1" t="n">
        <v>46286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10582-2025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45721</v>
      </c>
      <c r="E1348" s="1" t="n">
        <v>46286</v>
      </c>
      <c r="F1348" t="inlineStr">
        <is>
          <t>VÄSTERNORRLANDS LÄN</t>
        </is>
      </c>
      <c r="G1348" t="inlineStr">
        <is>
          <t>ÖRNSKÖLDSVIK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36985-2024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45539</v>
      </c>
      <c r="E1349" s="1" t="n">
        <v>46286</v>
      </c>
      <c r="F1349" t="inlineStr">
        <is>
          <t>VÄSTERNORRLANDS LÄN</t>
        </is>
      </c>
      <c r="G1349" t="inlineStr">
        <is>
          <t>ÖRNSKÖLDSVIK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50687-2023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45210</v>
      </c>
      <c r="E1350" s="1" t="n">
        <v>46286</v>
      </c>
      <c r="F1350" t="inlineStr">
        <is>
          <t>VÄSTERNORRLANDS LÄN</t>
        </is>
      </c>
      <c r="G1350" t="inlineStr">
        <is>
          <t>ÖRNSKÖLDSVIK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59835-2024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45638</v>
      </c>
      <c r="E1351" s="1" t="n">
        <v>46286</v>
      </c>
      <c r="F1351" t="inlineStr">
        <is>
          <t>VÄSTERNORRLANDS LÄN</t>
        </is>
      </c>
      <c r="G1351" t="inlineStr">
        <is>
          <t>ÖRNSKÖLDSVIK</t>
        </is>
      </c>
      <c r="I1351" t="n">
        <v>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24019-2026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46167</v>
      </c>
      <c r="E1352" s="1" t="n">
        <v>46286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61232-2025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46000</v>
      </c>
      <c r="E1353" s="1" t="n">
        <v>46286</v>
      </c>
      <c r="F1353" t="inlineStr">
        <is>
          <t>VÄSTERNORRLANDS LÄN</t>
        </is>
      </c>
      <c r="G1353" t="inlineStr">
        <is>
          <t>ÖRNSKÖLDSVIK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13907-2025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45737</v>
      </c>
      <c r="E1354" s="1" t="n">
        <v>46286</v>
      </c>
      <c r="F1354" t="inlineStr">
        <is>
          <t>VÄSTERNORRLANDS LÄN</t>
        </is>
      </c>
      <c r="G1354" t="inlineStr">
        <is>
          <t>ÖRNSKÖLDSVIK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10821-2025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45722</v>
      </c>
      <c r="E1355" s="1" t="n">
        <v>46286</v>
      </c>
      <c r="F1355" t="inlineStr">
        <is>
          <t>VÄSTERNORRLANDS LÄN</t>
        </is>
      </c>
      <c r="G1355" t="inlineStr">
        <is>
          <t>ÖRNSKÖLDSVIK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57505-2022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44896</v>
      </c>
      <c r="E1356" s="1" t="n">
        <v>46286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61918-2025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46003</v>
      </c>
      <c r="E1357" s="1" t="n">
        <v>46286</v>
      </c>
      <c r="F1357" t="inlineStr">
        <is>
          <t>VÄSTERNORRLANDS LÄN</t>
        </is>
      </c>
      <c r="G1357" t="inlineStr">
        <is>
          <t>ÖRNSKÖLDSVIK</t>
        </is>
      </c>
      <c r="I1357" t="n">
        <v>6.1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61943-2025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46003</v>
      </c>
      <c r="E1358" s="1" t="n">
        <v>46286</v>
      </c>
      <c r="F1358" t="inlineStr">
        <is>
          <t>VÄSTERNORRLANDS LÄN</t>
        </is>
      </c>
      <c r="G1358" t="inlineStr">
        <is>
          <t>ÖRNSKÖLDSVIK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21704-2022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44707</v>
      </c>
      <c r="E1359" s="1" t="n">
        <v>46286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SCA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21707-2022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44707</v>
      </c>
      <c r="E1360" s="1" t="n">
        <v>46286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SCA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38118-2022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44811</v>
      </c>
      <c r="E1361" s="1" t="n">
        <v>46286</v>
      </c>
      <c r="F1361" t="inlineStr">
        <is>
          <t>VÄSTERNORRLANDS LÄN</t>
        </is>
      </c>
      <c r="G1361" t="inlineStr">
        <is>
          <t>ÖRNSKÖLDSVIK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23732-2026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46164</v>
      </c>
      <c r="E1362" s="1" t="n">
        <v>46286</v>
      </c>
      <c r="F1362" t="inlineStr">
        <is>
          <t>VÄSTERNORRLANDS LÄN</t>
        </is>
      </c>
      <c r="G1362" t="inlineStr">
        <is>
          <t>ÖRNSKÖLDSVIK</t>
        </is>
      </c>
      <c r="I1362" t="n">
        <v>10.8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23670-2026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46164</v>
      </c>
      <c r="E1363" s="1" t="n">
        <v>46286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47016-2024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45586</v>
      </c>
      <c r="E1364" s="1" t="n">
        <v>46286</v>
      </c>
      <c r="F1364" t="inlineStr">
        <is>
          <t>VÄSTERNORRLANDS LÄN</t>
        </is>
      </c>
      <c r="G1364" t="inlineStr">
        <is>
          <t>ÖRNSKÖLDSVIK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24007-2026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46167</v>
      </c>
      <c r="E1365" s="1" t="n">
        <v>46286</v>
      </c>
      <c r="F1365" t="inlineStr">
        <is>
          <t>VÄSTERNORRLANDS LÄN</t>
        </is>
      </c>
      <c r="G1365" t="inlineStr">
        <is>
          <t>ÖRNSKÖLDSVIK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17778-2022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44682</v>
      </c>
      <c r="E1366" s="1" t="n">
        <v>46286</v>
      </c>
      <c r="F1366" t="inlineStr">
        <is>
          <t>VÄSTERNORRLANDS LÄN</t>
        </is>
      </c>
      <c r="G1366" t="inlineStr">
        <is>
          <t>ÖRNSKÖLDSVIK</t>
        </is>
      </c>
      <c r="I1366" t="n">
        <v>15.6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54200-2024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45616</v>
      </c>
      <c r="E1367" s="1" t="n">
        <v>46286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62308-2025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46006</v>
      </c>
      <c r="E1368" s="1" t="n">
        <v>46286</v>
      </c>
      <c r="F1368" t="inlineStr">
        <is>
          <t>VÄSTERNORRLANDS LÄN</t>
        </is>
      </c>
      <c r="G1368" t="inlineStr">
        <is>
          <t>ÖRNSKÖLDSVIK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62338-2025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46286</v>
      </c>
      <c r="F1369" t="inlineStr">
        <is>
          <t>VÄSTERNORRLANDS LÄN</t>
        </is>
      </c>
      <c r="G1369" t="inlineStr">
        <is>
          <t>ÖRNSKÖLDSVIK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23810-2026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46164</v>
      </c>
      <c r="E1370" s="1" t="n">
        <v>46286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62136-2025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46006</v>
      </c>
      <c r="E1371" s="1" t="n">
        <v>46286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7.7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61424-2024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45646</v>
      </c>
      <c r="E1372" s="1" t="n">
        <v>46286</v>
      </c>
      <c r="F1372" t="inlineStr">
        <is>
          <t>VÄSTERNORRLANDS LÄN</t>
        </is>
      </c>
      <c r="G1372" t="inlineStr">
        <is>
          <t>ÖRNSKÖLDSVIK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62204-2025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46006</v>
      </c>
      <c r="E1373" s="1" t="n">
        <v>46286</v>
      </c>
      <c r="F1373" t="inlineStr">
        <is>
          <t>VÄSTERNORRLANDS LÄN</t>
        </is>
      </c>
      <c r="G1373" t="inlineStr">
        <is>
          <t>ÖRNSKÖLDSVIK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23717-2026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46164</v>
      </c>
      <c r="E1374" s="1" t="n">
        <v>46286</v>
      </c>
      <c r="F1374" t="inlineStr">
        <is>
          <t>VÄSTERNORRLANDS LÄN</t>
        </is>
      </c>
      <c r="G1374" t="inlineStr">
        <is>
          <t>ÖRNSKÖLDSVIK</t>
        </is>
      </c>
      <c r="I1374" t="n">
        <v>13.3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35269-2022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44798</v>
      </c>
      <c r="E1375" s="1" t="n">
        <v>46286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Kyrkan</t>
        </is>
      </c>
      <c r="I1375" t="n">
        <v>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62069-2025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46286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46286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62140-2025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46006</v>
      </c>
      <c r="E1378" s="1" t="n">
        <v>46286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28788-2025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45820</v>
      </c>
      <c r="E1379" s="1" t="n">
        <v>46286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39635-2024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45552</v>
      </c>
      <c r="E1380" s="1" t="n">
        <v>46286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46989-2024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45586</v>
      </c>
      <c r="E1381" s="1" t="n">
        <v>46286</v>
      </c>
      <c r="F1381" t="inlineStr">
        <is>
          <t>VÄSTERNORRLANDS LÄN</t>
        </is>
      </c>
      <c r="G1381" t="inlineStr">
        <is>
          <t>ÖRNSKÖLDSVIK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62610-2025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46008</v>
      </c>
      <c r="E1382" s="1" t="n">
        <v>46286</v>
      </c>
      <c r="F1382" t="inlineStr">
        <is>
          <t>VÄSTERNORRLANDS LÄN</t>
        </is>
      </c>
      <c r="G1382" t="inlineStr">
        <is>
          <t>ÖRNSKÖLDSVIK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62866-2025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46008</v>
      </c>
      <c r="E1383" s="1" t="n">
        <v>46286</v>
      </c>
      <c r="F1383" t="inlineStr">
        <is>
          <t>VÄSTERNORRLANDS LÄN</t>
        </is>
      </c>
      <c r="G1383" t="inlineStr">
        <is>
          <t>ÖRNSKÖLDSVIK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63109-2025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46009</v>
      </c>
      <c r="E1384" s="1" t="n">
        <v>46286</v>
      </c>
      <c r="F1384" t="inlineStr">
        <is>
          <t>VÄSTERNORRLANDS LÄN</t>
        </is>
      </c>
      <c r="G1384" t="inlineStr">
        <is>
          <t>ÖRNSKÖLDSVIK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62771-2025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46008</v>
      </c>
      <c r="E1385" s="1" t="n">
        <v>46286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6.4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39379-2024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45551</v>
      </c>
      <c r="E1386" s="1" t="n">
        <v>46286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62649-2025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46008</v>
      </c>
      <c r="E1387" s="1" t="n">
        <v>46286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5.1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58702-2025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45986</v>
      </c>
      <c r="E1388" s="1" t="n">
        <v>46286</v>
      </c>
      <c r="F1388" t="inlineStr">
        <is>
          <t>VÄSTERNORRLANDS LÄN</t>
        </is>
      </c>
      <c r="G1388" t="inlineStr">
        <is>
          <t>ÖRNSKÖLDSVIK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62820-2025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46008</v>
      </c>
      <c r="E1389" s="1" t="n">
        <v>46286</v>
      </c>
      <c r="F1389" t="inlineStr">
        <is>
          <t>VÄSTERNORRLANDS LÄN</t>
        </is>
      </c>
      <c r="G1389" t="inlineStr">
        <is>
          <t>ÖRNSKÖLDSVIK</t>
        </is>
      </c>
      <c r="I1389" t="n">
        <v>10.4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66664-2021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44519</v>
      </c>
      <c r="E1390" s="1" t="n">
        <v>46286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Kommuner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20488-2023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45057</v>
      </c>
      <c r="E1391" s="1" t="n">
        <v>46286</v>
      </c>
      <c r="F1391" t="inlineStr">
        <is>
          <t>VÄSTERNORRLANDS LÄN</t>
        </is>
      </c>
      <c r="G1391" t="inlineStr">
        <is>
          <t>ÖRNSKÖLDSVIK</t>
        </is>
      </c>
      <c r="I1391" t="n">
        <v>8.800000000000001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36432-2023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45152</v>
      </c>
      <c r="E1392" s="1" t="n">
        <v>46286</v>
      </c>
      <c r="F1392" t="inlineStr">
        <is>
          <t>VÄSTERNORRLANDS LÄN</t>
        </is>
      </c>
      <c r="G1392" t="inlineStr">
        <is>
          <t>ÖRNSKÖLDSVIK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62651-2025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46008</v>
      </c>
      <c r="E1393" s="1" t="n">
        <v>46286</v>
      </c>
      <c r="F1393" t="inlineStr">
        <is>
          <t>VÄSTERNORRLANDS LÄN</t>
        </is>
      </c>
      <c r="G1393" t="inlineStr">
        <is>
          <t>ÖRNSKÖLDSVIK</t>
        </is>
      </c>
      <c r="I1393" t="n">
        <v>31.8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63097-2025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46009</v>
      </c>
      <c r="E1394" s="1" t="n">
        <v>46286</v>
      </c>
      <c r="F1394" t="inlineStr">
        <is>
          <t>VÄSTERNORRLANDS LÄN</t>
        </is>
      </c>
      <c r="G1394" t="inlineStr">
        <is>
          <t>ÖRNSKÖLDSVIK</t>
        </is>
      </c>
      <c r="I1394" t="n">
        <v>3.1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53976-2024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45616</v>
      </c>
      <c r="E1395" s="1" t="n">
        <v>46286</v>
      </c>
      <c r="F1395" t="inlineStr">
        <is>
          <t>VÄSTERNORRLANDS LÄN</t>
        </is>
      </c>
      <c r="G1395" t="inlineStr">
        <is>
          <t>ÖRNSKÖLDSVIK</t>
        </is>
      </c>
      <c r="I1395" t="n">
        <v>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53997-2024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45616</v>
      </c>
      <c r="E1396" s="1" t="n">
        <v>46286</v>
      </c>
      <c r="F1396" t="inlineStr">
        <is>
          <t>VÄSTERNORRLANDS LÄN</t>
        </is>
      </c>
      <c r="G1396" t="inlineStr">
        <is>
          <t>ÖRNSKÖLDSVIK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53074-2025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45958</v>
      </c>
      <c r="E1397" s="1" t="n">
        <v>46286</v>
      </c>
      <c r="F1397" t="inlineStr">
        <is>
          <t>VÄSTERNORRLANDS LÄN</t>
        </is>
      </c>
      <c r="G1397" t="inlineStr">
        <is>
          <t>ÖRNSKÖLDSVIK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63216-2025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46010</v>
      </c>
      <c r="E1398" s="1" t="n">
        <v>46286</v>
      </c>
      <c r="F1398" t="inlineStr">
        <is>
          <t>VÄSTERNORRLANDS LÄN</t>
        </is>
      </c>
      <c r="G1398" t="inlineStr">
        <is>
          <t>ÖRNSKÖLDSVIK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63257-2025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46010</v>
      </c>
      <c r="E1399" s="1" t="n">
        <v>46286</v>
      </c>
      <c r="F1399" t="inlineStr">
        <is>
          <t>VÄSTERNORRLANDS LÄN</t>
        </is>
      </c>
      <c r="G1399" t="inlineStr">
        <is>
          <t>ÖRNSKÖLDSVIK</t>
        </is>
      </c>
      <c r="I1399" t="n">
        <v>8.300000000000001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5392-2022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44594</v>
      </c>
      <c r="E1400" s="1" t="n">
        <v>46286</v>
      </c>
      <c r="F1400" t="inlineStr">
        <is>
          <t>VÄSTERNORRLANDS LÄN</t>
        </is>
      </c>
      <c r="G1400" t="inlineStr">
        <is>
          <t>ÖRNSKÖLDSVIK</t>
        </is>
      </c>
      <c r="I1400" t="n">
        <v>22.3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63300-2025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46010</v>
      </c>
      <c r="E1401" s="1" t="n">
        <v>46286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45250-2024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45576</v>
      </c>
      <c r="E1402" s="1" t="n">
        <v>46286</v>
      </c>
      <c r="F1402" t="inlineStr">
        <is>
          <t>VÄSTERNORRLANDS LÄN</t>
        </is>
      </c>
      <c r="G1402" t="inlineStr">
        <is>
          <t>ÖRNSKÖLDSVIK</t>
        </is>
      </c>
      <c r="I1402" t="n">
        <v>18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45269-2024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45576</v>
      </c>
      <c r="E1403" s="1" t="n">
        <v>46286</v>
      </c>
      <c r="F1403" t="inlineStr">
        <is>
          <t>VÄSTERNORRLANDS LÄN</t>
        </is>
      </c>
      <c r="G1403" t="inlineStr">
        <is>
          <t>ÖRNSKÖLDSVIK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61872-2021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44502</v>
      </c>
      <c r="E1404" s="1" t="n">
        <v>46286</v>
      </c>
      <c r="F1404" t="inlineStr">
        <is>
          <t>VÄSTERNORRLANDS LÄN</t>
        </is>
      </c>
      <c r="G1404" t="inlineStr">
        <is>
          <t>ÖRNSKÖLDSVIK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63311-2025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46010</v>
      </c>
      <c r="E1405" s="1" t="n">
        <v>46286</v>
      </c>
      <c r="F1405" t="inlineStr">
        <is>
          <t>VÄSTERNORRLANDS LÄN</t>
        </is>
      </c>
      <c r="G1405" t="inlineStr">
        <is>
          <t>ÖRNSKÖLDSVIK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43138-2024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45567</v>
      </c>
      <c r="E1406" s="1" t="n">
        <v>46286</v>
      </c>
      <c r="F1406" t="inlineStr">
        <is>
          <t>VÄSTERNORRLANDS LÄN</t>
        </is>
      </c>
      <c r="G1406" t="inlineStr">
        <is>
          <t>ÖRNSKÖLDSVIK</t>
        </is>
      </c>
      <c r="I1406" t="n">
        <v>4.1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63282-2025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46010</v>
      </c>
      <c r="E1407" s="1" t="n">
        <v>46286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63304-2025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46010</v>
      </c>
      <c r="E1408" s="1" t="n">
        <v>46286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63308-2025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46010</v>
      </c>
      <c r="E1409" s="1" t="n">
        <v>46286</v>
      </c>
      <c r="F1409" t="inlineStr">
        <is>
          <t>VÄSTERNORRLANDS LÄN</t>
        </is>
      </c>
      <c r="G1409" t="inlineStr">
        <is>
          <t>ÖRNSKÖLDSVIK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61362-2023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45264</v>
      </c>
      <c r="E1410" s="1" t="n">
        <v>46286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Övriga Aktiebolag</t>
        </is>
      </c>
      <c r="I1410" t="n">
        <v>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24252-2026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46168</v>
      </c>
      <c r="E1411" s="1" t="n">
        <v>46286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63274-2025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46010</v>
      </c>
      <c r="E1412" s="1" t="n">
        <v>46286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63281-2025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46010</v>
      </c>
      <c r="E1413" s="1" t="n">
        <v>46286</v>
      </c>
      <c r="F1413" t="inlineStr">
        <is>
          <t>VÄSTERNORRLANDS LÄN</t>
        </is>
      </c>
      <c r="G1413" t="inlineStr">
        <is>
          <t>ÖRNSKÖLDSVIK</t>
        </is>
      </c>
      <c r="I1413" t="n">
        <v>6.2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63513-2025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46013</v>
      </c>
      <c r="E1414" s="1" t="n">
        <v>46286</v>
      </c>
      <c r="F1414" t="inlineStr">
        <is>
          <t>VÄSTERNORRLANDS LÄN</t>
        </is>
      </c>
      <c r="G1414" t="inlineStr">
        <is>
          <t>ÖRNSKÖLDSVIK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24301-2026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46169</v>
      </c>
      <c r="E1415" s="1" t="n">
        <v>46286</v>
      </c>
      <c r="F1415" t="inlineStr">
        <is>
          <t>VÄSTERNORRLANDS LÄN</t>
        </is>
      </c>
      <c r="G1415" t="inlineStr">
        <is>
          <t>ÖRNSKÖLDSVIK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32756-2022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44783</v>
      </c>
      <c r="E1416" s="1" t="n">
        <v>46286</v>
      </c>
      <c r="F1416" t="inlineStr">
        <is>
          <t>VÄSTERNORRLANDS LÄN</t>
        </is>
      </c>
      <c r="G1416" t="inlineStr">
        <is>
          <t>ÖRNSKÖLDSVIK</t>
        </is>
      </c>
      <c r="I1416" t="n">
        <v>3.9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52326-2024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45609</v>
      </c>
      <c r="E1417" s="1" t="n">
        <v>46286</v>
      </c>
      <c r="F1417" t="inlineStr">
        <is>
          <t>VÄSTERNORRLANDS LÄN</t>
        </is>
      </c>
      <c r="G1417" t="inlineStr">
        <is>
          <t>ÖRNSKÖLDSVIK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63497-2025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46013</v>
      </c>
      <c r="E1418" s="1" t="n">
        <v>46286</v>
      </c>
      <c r="F1418" t="inlineStr">
        <is>
          <t>VÄSTERNORRLANDS LÄN</t>
        </is>
      </c>
      <c r="G1418" t="inlineStr">
        <is>
          <t>ÖRNSKÖLDSVIK</t>
        </is>
      </c>
      <c r="I1418" t="n">
        <v>4.4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63317-2025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46010</v>
      </c>
      <c r="E1419" s="1" t="n">
        <v>46286</v>
      </c>
      <c r="F1419" t="inlineStr">
        <is>
          <t>VÄSTERNORRLANDS LÄN</t>
        </is>
      </c>
      <c r="G1419" t="inlineStr">
        <is>
          <t>ÖRNSKÖLDSVIK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37150-2023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45155</v>
      </c>
      <c r="E1420" s="1" t="n">
        <v>46286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44631-2024</t>
        </is>
      </c>
      <c r="B1421" t="inlineStr">
        <is>
          <t>avverkningsanmälan</t>
        </is>
      </c>
      <c r="C1421" t="inlineStr">
        <is>
          <t>Avverkning för att bevara och utveckla /försöksver</t>
        </is>
      </c>
      <c r="D1421" s="1" t="n">
        <v>45574</v>
      </c>
      <c r="E1421" s="1" t="n">
        <v>46286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48202-2023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45205</v>
      </c>
      <c r="E1422" s="1" t="n">
        <v>46286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5.4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7739-2025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45706</v>
      </c>
      <c r="E1423" s="1" t="n">
        <v>46286</v>
      </c>
      <c r="F1423" t="inlineStr">
        <is>
          <t>VÄSTERNORRLANDS LÄN</t>
        </is>
      </c>
      <c r="G1423" t="inlineStr">
        <is>
          <t>ÖRNSKÖLDSVIK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30226-2024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45489</v>
      </c>
      <c r="E1424" s="1" t="n">
        <v>46286</v>
      </c>
      <c r="F1424" t="inlineStr">
        <is>
          <t>VÄSTERNORRLANDS LÄN</t>
        </is>
      </c>
      <c r="G1424" t="inlineStr">
        <is>
          <t>ÖRNSKÖLDSVIK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36255-2024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45534</v>
      </c>
      <c r="E1425" s="1" t="n">
        <v>46286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24078-2026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46168</v>
      </c>
      <c r="E1426" s="1" t="n">
        <v>46286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46014</v>
      </c>
      <c r="E1427" s="1" t="n">
        <v>46286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48441-2023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45205</v>
      </c>
      <c r="E1428" s="1" t="n">
        <v>46286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SCA</t>
        </is>
      </c>
      <c r="I1428" t="n">
        <v>7.7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24079-2026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46286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53259-2023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45229</v>
      </c>
      <c r="E1430" s="1" t="n">
        <v>46286</v>
      </c>
      <c r="F1430" t="inlineStr">
        <is>
          <t>VÄSTERNORRLANDS LÄN</t>
        </is>
      </c>
      <c r="G1430" t="inlineStr">
        <is>
          <t>ÖRNSKÖLDSVIK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10100-2023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44985</v>
      </c>
      <c r="E1431" s="1" t="n">
        <v>46286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57294-2023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45245</v>
      </c>
      <c r="E1432" s="1" t="n">
        <v>46286</v>
      </c>
      <c r="F1432" t="inlineStr">
        <is>
          <t>VÄSTERNORRLANDS LÄN</t>
        </is>
      </c>
      <c r="G1432" t="inlineStr">
        <is>
          <t>ÖRNSKÖLDSVIK</t>
        </is>
      </c>
      <c r="I1432" t="n">
        <v>0.4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24044-2026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46168</v>
      </c>
      <c r="E1433" s="1" t="n">
        <v>46286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3.5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24070-2026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46286</v>
      </c>
      <c r="F1434" t="inlineStr">
        <is>
          <t>VÄSTERNORRLANDS LÄN</t>
        </is>
      </c>
      <c r="G1434" t="inlineStr">
        <is>
          <t>ÖRNSKÖLDSVIK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24575-2026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46170</v>
      </c>
      <c r="E1435" s="1" t="n">
        <v>46286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44083-2022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44839</v>
      </c>
      <c r="E1436" s="1" t="n">
        <v>46286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66504-2021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44517</v>
      </c>
      <c r="E1437" s="1" t="n">
        <v>46286</v>
      </c>
      <c r="F1437" t="inlineStr">
        <is>
          <t>VÄSTERNORRLANDS LÄN</t>
        </is>
      </c>
      <c r="G1437" t="inlineStr">
        <is>
          <t>ÖRNSKÖLDSVIK</t>
        </is>
      </c>
      <c r="I1437" t="n">
        <v>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36726-2023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45153</v>
      </c>
      <c r="E1438" s="1" t="n">
        <v>46286</v>
      </c>
      <c r="F1438" t="inlineStr">
        <is>
          <t>VÄSTERNORRLANDS LÄN</t>
        </is>
      </c>
      <c r="G1438" t="inlineStr">
        <is>
          <t>ÖRNSKÖLDSVIK</t>
        </is>
      </c>
      <c r="I1438" t="n">
        <v>5.1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49056-2022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44860</v>
      </c>
      <c r="E1439" s="1" t="n">
        <v>46286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4.2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34013-2023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45124</v>
      </c>
      <c r="E1440" s="1" t="n">
        <v>46286</v>
      </c>
      <c r="F1440" t="inlineStr">
        <is>
          <t>VÄSTERNORRLANDS LÄN</t>
        </is>
      </c>
      <c r="G1440" t="inlineStr">
        <is>
          <t>ÖRNSKÖLDSVIK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24516-2026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46170</v>
      </c>
      <c r="E1441" s="1" t="n">
        <v>46286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24510-2026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46170</v>
      </c>
      <c r="E1442" s="1" t="n">
        <v>46286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4.2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25224-2026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46171</v>
      </c>
      <c r="E1443" s="1" t="n">
        <v>46286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1968-2023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44938</v>
      </c>
      <c r="E1444" s="1" t="n">
        <v>46286</v>
      </c>
      <c r="F1444" t="inlineStr">
        <is>
          <t>VÄSTERNORRLANDS LÄN</t>
        </is>
      </c>
      <c r="G1444" t="inlineStr">
        <is>
          <t>ÖRNSKÖLDSVIK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46027</v>
      </c>
      <c r="E1445" s="1" t="n">
        <v>46286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24867-2023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45085</v>
      </c>
      <c r="E1446" s="1" t="n">
        <v>46286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25210-2023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45079</v>
      </c>
      <c r="E1447" s="1" t="n">
        <v>46286</v>
      </c>
      <c r="F1447" t="inlineStr">
        <is>
          <t>VÄSTERNORRLANDS LÄN</t>
        </is>
      </c>
      <c r="G1447" t="inlineStr">
        <is>
          <t>ÖRNSKÖLDSVIK</t>
        </is>
      </c>
      <c r="I1447" t="n">
        <v>5.1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15702-2022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44663</v>
      </c>
      <c r="E1448" s="1" t="n">
        <v>46286</v>
      </c>
      <c r="F1448" t="inlineStr">
        <is>
          <t>VÄSTERNORRLANDS LÄN</t>
        </is>
      </c>
      <c r="G1448" t="inlineStr">
        <is>
          <t>ÖRNSKÖLDSVIK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46024</v>
      </c>
      <c r="E1449" s="1" t="n">
        <v>46286</v>
      </c>
      <c r="F1449" t="inlineStr">
        <is>
          <t>VÄSTERNORRLANDS LÄN</t>
        </is>
      </c>
      <c r="G1449" t="inlineStr">
        <is>
          <t>ÖRNSKÖLDSVIK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352-2022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44564</v>
      </c>
      <c r="E1450" s="1" t="n">
        <v>46286</v>
      </c>
      <c r="F1450" t="inlineStr">
        <is>
          <t>VÄSTERNORRLANDS LÄN</t>
        </is>
      </c>
      <c r="G1450" t="inlineStr">
        <is>
          <t>ÖRNSKÖLDSVIK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716-2026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46029</v>
      </c>
      <c r="E1451" s="1" t="n">
        <v>46286</v>
      </c>
      <c r="F1451" t="inlineStr">
        <is>
          <t>VÄSTERNORRLANDS LÄN</t>
        </is>
      </c>
      <c r="G1451" t="inlineStr">
        <is>
          <t>ÖRNSKÖLDSVIK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25308-2023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45086</v>
      </c>
      <c r="E1452" s="1" t="n">
        <v>46286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32406-2023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45110</v>
      </c>
      <c r="E1453" s="1" t="n">
        <v>46286</v>
      </c>
      <c r="F1453" t="inlineStr">
        <is>
          <t>VÄSTERNORRLANDS LÄN</t>
        </is>
      </c>
      <c r="G1453" t="inlineStr">
        <is>
          <t>ÖRNSKÖLDSVIK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2931-2025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45678</v>
      </c>
      <c r="E1454" s="1" t="n">
        <v>46286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723-2026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46029</v>
      </c>
      <c r="E1455" s="1" t="n">
        <v>46286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27163-2022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44741</v>
      </c>
      <c r="E1456" s="1" t="n">
        <v>46286</v>
      </c>
      <c r="F1456" t="inlineStr">
        <is>
          <t>VÄSTERNORRLANDS LÄN</t>
        </is>
      </c>
      <c r="G1456" t="inlineStr">
        <is>
          <t>ÖRNSKÖLDSVIK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15196-2024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45400</v>
      </c>
      <c r="E1457" s="1" t="n">
        <v>46286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1029-2026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46030</v>
      </c>
      <c r="E1458" s="1" t="n">
        <v>46286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1256-2026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46031</v>
      </c>
      <c r="E1459" s="1" t="n">
        <v>46286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56023-2022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44887</v>
      </c>
      <c r="E1460" s="1" t="n">
        <v>46286</v>
      </c>
      <c r="F1460" t="inlineStr">
        <is>
          <t>VÄSTERNORRLANDS LÄN</t>
        </is>
      </c>
      <c r="G1460" t="inlineStr">
        <is>
          <t>ÖRNSKÖLDSVIK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67448-2021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44524</v>
      </c>
      <c r="E1461" s="1" t="n">
        <v>46286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68315-2021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44526</v>
      </c>
      <c r="E1462" s="1" t="n">
        <v>46286</v>
      </c>
      <c r="F1462" t="inlineStr">
        <is>
          <t>VÄSTERNORRLANDS LÄN</t>
        </is>
      </c>
      <c r="G1462" t="inlineStr">
        <is>
          <t>ÖRNSKÖLDSVIK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25219-2026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46171</v>
      </c>
      <c r="E1463" s="1" t="n">
        <v>46286</v>
      </c>
      <c r="F1463" t="inlineStr">
        <is>
          <t>VÄSTERNORRLANDS LÄN</t>
        </is>
      </c>
      <c r="G1463" t="inlineStr">
        <is>
          <t>ÖRNSKÖLDSVIK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52996-2024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45611</v>
      </c>
      <c r="E1464" s="1" t="n">
        <v>46286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27938-2024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45476</v>
      </c>
      <c r="E1465" s="1" t="n">
        <v>46286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54599-2024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45617</v>
      </c>
      <c r="E1466" s="1" t="n">
        <v>46286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5.8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1833-2026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46035</v>
      </c>
      <c r="E1467" s="1" t="n">
        <v>46286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24881-2026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46286</v>
      </c>
      <c r="F1468" t="inlineStr">
        <is>
          <t>VÄSTERNORRLANDS LÄN</t>
        </is>
      </c>
      <c r="G1468" t="inlineStr">
        <is>
          <t>ÖRNSKÖLDSVIK</t>
        </is>
      </c>
      <c r="I1468" t="n">
        <v>3.6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62357-2022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44923</v>
      </c>
      <c r="E1469" s="1" t="n">
        <v>46286</v>
      </c>
      <c r="F1469" t="inlineStr">
        <is>
          <t>VÄSTERNORRLANDS LÄN</t>
        </is>
      </c>
      <c r="G1469" t="inlineStr">
        <is>
          <t>ÖRNSKÖLDSVIK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1563-2026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46034</v>
      </c>
      <c r="E1470" s="1" t="n">
        <v>46286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1807-2026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46035</v>
      </c>
      <c r="E1471" s="1" t="n">
        <v>46286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1526-2026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46034</v>
      </c>
      <c r="E1472" s="1" t="n">
        <v>46286</v>
      </c>
      <c r="F1472" t="inlineStr">
        <is>
          <t>VÄSTERNORRLANDS LÄN</t>
        </is>
      </c>
      <c r="G1472" t="inlineStr">
        <is>
          <t>ÖRNSKÖLDSVIK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12475-2022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44638</v>
      </c>
      <c r="E1473" s="1" t="n">
        <v>46286</v>
      </c>
      <c r="F1473" t="inlineStr">
        <is>
          <t>VÄSTERNORRLANDS LÄN</t>
        </is>
      </c>
      <c r="G1473" t="inlineStr">
        <is>
          <t>ÖRNSKÖLDSVIK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46215-2024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45581</v>
      </c>
      <c r="E1474" s="1" t="n">
        <v>46286</v>
      </c>
      <c r="F1474" t="inlineStr">
        <is>
          <t>VÄSTERNORRLANDS LÄN</t>
        </is>
      </c>
      <c r="G1474" t="inlineStr">
        <is>
          <t>ÖRNSKÖLDSVIK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1536-2026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46034</v>
      </c>
      <c r="E1475" s="1" t="n">
        <v>46286</v>
      </c>
      <c r="F1475" t="inlineStr">
        <is>
          <t>VÄSTERNORRLANDS LÄN</t>
        </is>
      </c>
      <c r="G1475" t="inlineStr">
        <is>
          <t>ÖRNSKÖLDSVIK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1527-2026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46034</v>
      </c>
      <c r="E1476" s="1" t="n">
        <v>46286</v>
      </c>
      <c r="F1476" t="inlineStr">
        <is>
          <t>VÄSTERNORRLANDS LÄN</t>
        </is>
      </c>
      <c r="G1476" t="inlineStr">
        <is>
          <t>ÖRNSKÖLDSVIK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25078-2026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46174</v>
      </c>
      <c r="E1477" s="1" t="n">
        <v>46286</v>
      </c>
      <c r="F1477" t="inlineStr">
        <is>
          <t>VÄSTERNORRLANDS LÄN</t>
        </is>
      </c>
      <c r="G1477" t="inlineStr">
        <is>
          <t>ÖRNSKÖLDSVIK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51070-2023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45218</v>
      </c>
      <c r="E1478" s="1" t="n">
        <v>46286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25050-2026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46174</v>
      </c>
      <c r="E1479" s="1" t="n">
        <v>46286</v>
      </c>
      <c r="F1479" t="inlineStr">
        <is>
          <t>VÄSTERNORRLANDS LÄN</t>
        </is>
      </c>
      <c r="G1479" t="inlineStr">
        <is>
          <t>ÖRNSKÖLDSVIK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2079-2026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46036</v>
      </c>
      <c r="E1480" s="1" t="n">
        <v>46286</v>
      </c>
      <c r="F1480" t="inlineStr">
        <is>
          <t>VÄSTERNORRLANDS LÄN</t>
        </is>
      </c>
      <c r="G1480" t="inlineStr">
        <is>
          <t>ÖRNSKÖLDSVIK</t>
        </is>
      </c>
      <c r="I1480" t="n">
        <v>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4808-2025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45688</v>
      </c>
      <c r="E1481" s="1" t="n">
        <v>46286</v>
      </c>
      <c r="F1481" t="inlineStr">
        <is>
          <t>VÄSTERNORRLANDS LÄN</t>
        </is>
      </c>
      <c r="G1481" t="inlineStr">
        <is>
          <t>ÖRNSKÖLDSVIK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47511-2023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45197</v>
      </c>
      <c r="E1482" s="1" t="n">
        <v>46286</v>
      </c>
      <c r="F1482" t="inlineStr">
        <is>
          <t>VÄSTERNORRLANDS LÄN</t>
        </is>
      </c>
      <c r="G1482" t="inlineStr">
        <is>
          <t>ÖRNSKÖLDSVIK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47514-2023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45197</v>
      </c>
      <c r="E1483" s="1" t="n">
        <v>46286</v>
      </c>
      <c r="F1483" t="inlineStr">
        <is>
          <t>VÄSTERNORRLANDS LÄN</t>
        </is>
      </c>
      <c r="G1483" t="inlineStr">
        <is>
          <t>ÖRNSKÖLDSVIK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54325-2022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44879</v>
      </c>
      <c r="E1484" s="1" t="n">
        <v>46286</v>
      </c>
      <c r="F1484" t="inlineStr">
        <is>
          <t>VÄSTERNORRLANDS LÄN</t>
        </is>
      </c>
      <c r="G1484" t="inlineStr">
        <is>
          <t>ÖRNSKÖLDSVIK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3212-2026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46041</v>
      </c>
      <c r="E1485" s="1" t="n">
        <v>46286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64911-2021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44512</v>
      </c>
      <c r="E1486" s="1" t="n">
        <v>46286</v>
      </c>
      <c r="F1486" t="inlineStr">
        <is>
          <t>VÄSTERNORRLANDS LÄN</t>
        </is>
      </c>
      <c r="G1486" t="inlineStr">
        <is>
          <t>ÖRNSKÖLDSVIK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3213-2026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46041</v>
      </c>
      <c r="E1487" s="1" t="n">
        <v>46286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3188-2026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46041</v>
      </c>
      <c r="E1488" s="1" t="n">
        <v>46286</v>
      </c>
      <c r="F1488" t="inlineStr">
        <is>
          <t>VÄSTERNORRLANDS LÄN</t>
        </is>
      </c>
      <c r="G1488" t="inlineStr">
        <is>
          <t>ÖRNSKÖLDSVIK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46041</v>
      </c>
      <c r="E1489" s="1" t="n">
        <v>46286</v>
      </c>
      <c r="F1489" t="inlineStr">
        <is>
          <t>VÄSTERNORRLANDS LÄN</t>
        </is>
      </c>
      <c r="G1489" t="inlineStr">
        <is>
          <t>ÖRNSKÖLDSVIK</t>
        </is>
      </c>
      <c r="I1489" t="n">
        <v>6.9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25052-2026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46174</v>
      </c>
      <c r="E1490" s="1" t="n">
        <v>46286</v>
      </c>
      <c r="F1490" t="inlineStr">
        <is>
          <t>VÄSTERNORRLANDS LÄN</t>
        </is>
      </c>
      <c r="G1490" t="inlineStr">
        <is>
          <t>ÖRNSKÖLDSVIK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25073-2026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46174</v>
      </c>
      <c r="E1491" s="1" t="n">
        <v>46286</v>
      </c>
      <c r="F1491" t="inlineStr">
        <is>
          <t>VÄSTERNORRLANDS LÄN</t>
        </is>
      </c>
      <c r="G1491" t="inlineStr">
        <is>
          <t>ÖRNSKÖLDSVIK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46041</v>
      </c>
      <c r="E1492" s="1" t="n">
        <v>46286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57924-2023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45247</v>
      </c>
      <c r="E1493" s="1" t="n">
        <v>46286</v>
      </c>
      <c r="F1493" t="inlineStr">
        <is>
          <t>VÄSTERNORRLANDS LÄN</t>
        </is>
      </c>
      <c r="G1493" t="inlineStr">
        <is>
          <t>ÖRNSKÖLDSVIK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3249-2026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46041</v>
      </c>
      <c r="E1494" s="1" t="n">
        <v>46286</v>
      </c>
      <c r="F1494" t="inlineStr">
        <is>
          <t>VÄSTERNORRLANDS LÄN</t>
        </is>
      </c>
      <c r="G1494" t="inlineStr">
        <is>
          <t>ÖRNSKÖLDSVIK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72642-2021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44545</v>
      </c>
      <c r="E1495" s="1" t="n">
        <v>46286</v>
      </c>
      <c r="F1495" t="inlineStr">
        <is>
          <t>VÄSTERNORRLANDS LÄN</t>
        </is>
      </c>
      <c r="G1495" t="inlineStr">
        <is>
          <t>ÖRNSKÖLDSVIK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48189-2023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45205</v>
      </c>
      <c r="E1496" s="1" t="n">
        <v>46286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46038</v>
      </c>
      <c r="E1497" s="1" t="n">
        <v>46286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11.4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17462-2025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45757</v>
      </c>
      <c r="E1498" s="1" t="n">
        <v>46286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2963-2026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46038</v>
      </c>
      <c r="E1499" s="1" t="n">
        <v>46286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2868-2026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46038</v>
      </c>
      <c r="E1500" s="1" t="n">
        <v>46286</v>
      </c>
      <c r="F1500" t="inlineStr">
        <is>
          <t>VÄSTERNORRLANDS LÄN</t>
        </is>
      </c>
      <c r="G1500" t="inlineStr">
        <is>
          <t>ÖRNSKÖLDSVIK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3839-2026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46043</v>
      </c>
      <c r="E1501" s="1" t="n">
        <v>46286</v>
      </c>
      <c r="F1501" t="inlineStr">
        <is>
          <t>VÄSTERNORRLANDS LÄN</t>
        </is>
      </c>
      <c r="G1501" t="inlineStr">
        <is>
          <t>ÖRNSKÖLDSVIK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24883-2026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46174</v>
      </c>
      <c r="E1502" s="1" t="n">
        <v>46286</v>
      </c>
      <c r="F1502" t="inlineStr">
        <is>
          <t>VÄSTERNORRLANDS LÄN</t>
        </is>
      </c>
      <c r="G1502" t="inlineStr">
        <is>
          <t>ÖRNSKÖLDSVIK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24855-2026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46174</v>
      </c>
      <c r="E1503" s="1" t="n">
        <v>46286</v>
      </c>
      <c r="F1503" t="inlineStr">
        <is>
          <t>VÄSTERNORRLANDS LÄN</t>
        </is>
      </c>
      <c r="G1503" t="inlineStr">
        <is>
          <t>ÖRNSKÖLDSVIK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24878-2026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46174</v>
      </c>
      <c r="E1504" s="1" t="n">
        <v>46286</v>
      </c>
      <c r="F1504" t="inlineStr">
        <is>
          <t>VÄSTERNORRLANDS LÄN</t>
        </is>
      </c>
      <c r="G1504" t="inlineStr">
        <is>
          <t>ÖRNSKÖLDSVIK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58936-2024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45636</v>
      </c>
      <c r="E1505" s="1" t="n">
        <v>46286</v>
      </c>
      <c r="F1505" t="inlineStr">
        <is>
          <t>VÄSTERNORRLANDS LÄN</t>
        </is>
      </c>
      <c r="G1505" t="inlineStr">
        <is>
          <t>ÖRNSKÖLDSVIK</t>
        </is>
      </c>
      <c r="I1505" t="n">
        <v>7.3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51329-2022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44869</v>
      </c>
      <c r="E1506" s="1" t="n">
        <v>46286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7.5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3362-2026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46042</v>
      </c>
      <c r="E1507" s="1" t="n">
        <v>46286</v>
      </c>
      <c r="F1507" t="inlineStr">
        <is>
          <t>VÄSTERNORRLANDS LÄN</t>
        </is>
      </c>
      <c r="G1507" t="inlineStr">
        <is>
          <t>ÖRNSKÖLDSVIK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13668-2026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46094</v>
      </c>
      <c r="E1508" s="1" t="n">
        <v>46286</v>
      </c>
      <c r="F1508" t="inlineStr">
        <is>
          <t>VÄSTERNORRLANDS LÄN</t>
        </is>
      </c>
      <c r="G1508" t="inlineStr">
        <is>
          <t>ÖRNSKÖLDSVIK</t>
        </is>
      </c>
      <c r="I1508" t="n">
        <v>26.6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55533-2025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45971</v>
      </c>
      <c r="E1509" s="1" t="n">
        <v>46286</v>
      </c>
      <c r="F1509" t="inlineStr">
        <is>
          <t>VÄSTERNORRLANDS LÄN</t>
        </is>
      </c>
      <c r="G1509" t="inlineStr">
        <is>
          <t>ÖRNSKÖLDSVIK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37619-2022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44810</v>
      </c>
      <c r="E1510" s="1" t="n">
        <v>46286</v>
      </c>
      <c r="F1510" t="inlineStr">
        <is>
          <t>VÄSTERNORRLANDS LÄN</t>
        </is>
      </c>
      <c r="G1510" t="inlineStr">
        <is>
          <t>ÖRNSKÖLDSVIK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49260-2023</t>
        </is>
      </c>
      <c r="B1511" t="inlineStr">
        <is>
          <t>avverkningsanmälan</t>
        </is>
      </c>
      <c r="C1511" t="inlineStr">
        <is>
          <t>Avverkning för att bevara och utveckla /försöksver</t>
        </is>
      </c>
      <c r="D1511" s="1" t="n">
        <v>45210</v>
      </c>
      <c r="E1511" s="1" t="n">
        <v>46286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4404-2026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46045</v>
      </c>
      <c r="E1512" s="1" t="n">
        <v>46286</v>
      </c>
      <c r="F1512" t="inlineStr">
        <is>
          <t>VÄSTERNORRLANDS LÄN</t>
        </is>
      </c>
      <c r="G1512" t="inlineStr">
        <is>
          <t>ÖRNSKÖLDSVIK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4391-2026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46045</v>
      </c>
      <c r="E1513" s="1" t="n">
        <v>46286</v>
      </c>
      <c r="F1513" t="inlineStr">
        <is>
          <t>VÄSTERNORRLANDS LÄN</t>
        </is>
      </c>
      <c r="G1513" t="inlineStr">
        <is>
          <t>ÖRNSKÖLDSVIK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3981-2026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46044</v>
      </c>
      <c r="E1514" s="1" t="n">
        <v>46286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4721-2026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46045</v>
      </c>
      <c r="E1515" s="1" t="n">
        <v>46286</v>
      </c>
      <c r="F1515" t="inlineStr">
        <is>
          <t>VÄSTERNORRLANDS LÄN</t>
        </is>
      </c>
      <c r="G1515" t="inlineStr">
        <is>
          <t>ÖRNSKÖLDSVIK</t>
        </is>
      </c>
      <c r="I1515" t="n">
        <v>9.1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4726-2026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46045</v>
      </c>
      <c r="E1516" s="1" t="n">
        <v>46286</v>
      </c>
      <c r="F1516" t="inlineStr">
        <is>
          <t>VÄSTERNORRLANDS LÄN</t>
        </is>
      </c>
      <c r="G1516" t="inlineStr">
        <is>
          <t>ÖRNSKÖLDSVIK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24681-2026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46171</v>
      </c>
      <c r="E1517" s="1" t="n">
        <v>46286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16799-2023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45028</v>
      </c>
      <c r="E1518" s="1" t="n">
        <v>46286</v>
      </c>
      <c r="F1518" t="inlineStr">
        <is>
          <t>VÄSTERNORRLANDS LÄN</t>
        </is>
      </c>
      <c r="G1518" t="inlineStr">
        <is>
          <t>ÖRNSKÖLDSVIK</t>
        </is>
      </c>
      <c r="I1518" t="n">
        <v>0.3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24656-2026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46171</v>
      </c>
      <c r="E1519" s="1" t="n">
        <v>46286</v>
      </c>
      <c r="F1519" t="inlineStr">
        <is>
          <t>VÄSTERNORRLANDS LÄN</t>
        </is>
      </c>
      <c r="G1519" t="inlineStr">
        <is>
          <t>ÖRNSKÖLDSVIK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46068-2025</t>
        </is>
      </c>
      <c r="B1520" t="inlineStr">
        <is>
          <t>avverkningsanmälan</t>
        </is>
      </c>
      <c r="C1520" t="inlineStr">
        <is>
          <t>Avverkning för att bevara och utveckla /försöksver</t>
        </is>
      </c>
      <c r="D1520" s="1" t="n">
        <v>45924</v>
      </c>
      <c r="E1520" s="1" t="n">
        <v>46286</v>
      </c>
      <c r="F1520" t="inlineStr">
        <is>
          <t>VÄSTERNORRLANDS LÄN</t>
        </is>
      </c>
      <c r="G1520" t="inlineStr">
        <is>
          <t>ÖRNSKÖLDSVIK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18051-2024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45420</v>
      </c>
      <c r="E1521" s="1" t="n">
        <v>46286</v>
      </c>
      <c r="F1521" t="inlineStr">
        <is>
          <t>VÄSTERNORRLANDS LÄN</t>
        </is>
      </c>
      <c r="G1521" t="inlineStr">
        <is>
          <t>ÖRNSKÖLDSVIK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71547-2021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44540</v>
      </c>
      <c r="E1522" s="1" t="n">
        <v>46286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4.3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12980-2023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45002</v>
      </c>
      <c r="E1523" s="1" t="n">
        <v>46286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5.2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25084-2026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46175</v>
      </c>
      <c r="E1524" s="1" t="n">
        <v>46286</v>
      </c>
      <c r="F1524" t="inlineStr">
        <is>
          <t>VÄSTERNORRLANDS LÄN</t>
        </is>
      </c>
      <c r="G1524" t="inlineStr">
        <is>
          <t>ÖRNSKÖLDSVIK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25371-2026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46176</v>
      </c>
      <c r="E1525" s="1" t="n">
        <v>46286</v>
      </c>
      <c r="F1525" t="inlineStr">
        <is>
          <t>VÄSTERNORRLANDS LÄN</t>
        </is>
      </c>
      <c r="G1525" t="inlineStr">
        <is>
          <t>ÖRNSKÖLDSVIK</t>
        </is>
      </c>
      <c r="I1525" t="n">
        <v>8.5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55490-2023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45238</v>
      </c>
      <c r="E1526" s="1" t="n">
        <v>46286</v>
      </c>
      <c r="F1526" t="inlineStr">
        <is>
          <t>VÄSTERNORRLANDS LÄN</t>
        </is>
      </c>
      <c r="G1526" t="inlineStr">
        <is>
          <t>ÖRNSKÖLDSVIK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25083-2026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46175</v>
      </c>
      <c r="E1527" s="1" t="n">
        <v>46286</v>
      </c>
      <c r="F1527" t="inlineStr">
        <is>
          <t>VÄSTERNORRLANDS LÄN</t>
        </is>
      </c>
      <c r="G1527" t="inlineStr">
        <is>
          <t>ÖRNSKÖLDSVIK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49025-2022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44860</v>
      </c>
      <c r="E1528" s="1" t="n">
        <v>46286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10.3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33233-2023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45114</v>
      </c>
      <c r="E1529" s="1" t="n">
        <v>46286</v>
      </c>
      <c r="F1529" t="inlineStr">
        <is>
          <t>VÄSTERNORRLANDS LÄN</t>
        </is>
      </c>
      <c r="G1529" t="inlineStr">
        <is>
          <t>ÖRNSKÖLDSVIK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5109-2026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46049</v>
      </c>
      <c r="E1530" s="1" t="n">
        <v>46286</v>
      </c>
      <c r="F1530" t="inlineStr">
        <is>
          <t>VÄSTERNORRLANDS LÄN</t>
        </is>
      </c>
      <c r="G1530" t="inlineStr">
        <is>
          <t>ÖRNSKÖLDSVIK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31192-2023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45113</v>
      </c>
      <c r="E1531" s="1" t="n">
        <v>46286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5.3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61255-2024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45644</v>
      </c>
      <c r="E1532" s="1" t="n">
        <v>46286</v>
      </c>
      <c r="F1532" t="inlineStr">
        <is>
          <t>VÄSTERNORRLANDS LÄN</t>
        </is>
      </c>
      <c r="G1532" t="inlineStr">
        <is>
          <t>ÖRNSKÖLDSVIK</t>
        </is>
      </c>
      <c r="I1532" t="n">
        <v>2.8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47330-2023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45196</v>
      </c>
      <c r="E1533" s="1" t="n">
        <v>46286</v>
      </c>
      <c r="F1533" t="inlineStr">
        <is>
          <t>VÄSTERNORRLANDS LÄN</t>
        </is>
      </c>
      <c r="G1533" t="inlineStr">
        <is>
          <t>ÖRNSKÖLDSVIK</t>
        </is>
      </c>
      <c r="I1533" t="n">
        <v>12.7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25148-2026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46175</v>
      </c>
      <c r="E1534" s="1" t="n">
        <v>46286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33258-2023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45114</v>
      </c>
      <c r="E1535" s="1" t="n">
        <v>46286</v>
      </c>
      <c r="F1535" t="inlineStr">
        <is>
          <t>VÄSTERNORRLANDS LÄN</t>
        </is>
      </c>
      <c r="G1535" t="inlineStr">
        <is>
          <t>ÖRNSKÖLDSVIK</t>
        </is>
      </c>
      <c r="I1535" t="n">
        <v>2.7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33261-2023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45114</v>
      </c>
      <c r="E1536" s="1" t="n">
        <v>46286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33288-2023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45127</v>
      </c>
      <c r="E1537" s="1" t="n">
        <v>46286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25085-2026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46175</v>
      </c>
      <c r="E1538" s="1" t="n">
        <v>46286</v>
      </c>
      <c r="F1538" t="inlineStr">
        <is>
          <t>VÄSTERNORRLANDS LÄN</t>
        </is>
      </c>
      <c r="G1538" t="inlineStr">
        <is>
          <t>ÖRNSKÖLDSVIK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44522-2023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45189</v>
      </c>
      <c r="E1539" s="1" t="n">
        <v>46286</v>
      </c>
      <c r="F1539" t="inlineStr">
        <is>
          <t>VÄSTERNORRLANDS LÄN</t>
        </is>
      </c>
      <c r="G1539" t="inlineStr">
        <is>
          <t>ÖRNSKÖLDSVIK</t>
        </is>
      </c>
      <c r="I1539" t="n">
        <v>22.6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48896-2024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45594</v>
      </c>
      <c r="E1540" s="1" t="n">
        <v>46286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5.8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37584-2025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45880</v>
      </c>
      <c r="E1541" s="1" t="n">
        <v>46286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5769-2026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46051</v>
      </c>
      <c r="E1542" s="1" t="n">
        <v>46286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5432-2026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46050</v>
      </c>
      <c r="E1543" s="1" t="n">
        <v>46286</v>
      </c>
      <c r="F1543" t="inlineStr">
        <is>
          <t>VÄSTERNORRLANDS LÄN</t>
        </is>
      </c>
      <c r="G1543" t="inlineStr">
        <is>
          <t>ÖRNSKÖLDSVIK</t>
        </is>
      </c>
      <c r="I1543" t="n">
        <v>3.1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5437-2026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46050</v>
      </c>
      <c r="E1544" s="1" t="n">
        <v>46286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20.8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5628-2026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46051</v>
      </c>
      <c r="E1545" s="1" t="n">
        <v>46286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8.6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21479-2023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45063</v>
      </c>
      <c r="E1546" s="1" t="n">
        <v>46286</v>
      </c>
      <c r="F1546" t="inlineStr">
        <is>
          <t>VÄSTERNORRLANDS LÄN</t>
        </is>
      </c>
      <c r="G1546" t="inlineStr">
        <is>
          <t>ÖRNSKÖLDSVIK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32185-2023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45119</v>
      </c>
      <c r="E1547" s="1" t="n">
        <v>46286</v>
      </c>
      <c r="F1547" t="inlineStr">
        <is>
          <t>VÄSTERNORRLANDS LÄN</t>
        </is>
      </c>
      <c r="G1547" t="inlineStr">
        <is>
          <t>ÖRNSKÖLDSVIK</t>
        </is>
      </c>
      <c r="I1547" t="n">
        <v>3.8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12477-2024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45379</v>
      </c>
      <c r="E1548" s="1" t="n">
        <v>46286</v>
      </c>
      <c r="F1548" t="inlineStr">
        <is>
          <t>VÄSTERNORRLANDS LÄN</t>
        </is>
      </c>
      <c r="G1548" t="inlineStr">
        <is>
          <t>ÖRNSKÖLDSVIK</t>
        </is>
      </c>
      <c r="I1548" t="n">
        <v>7.5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25244-2026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46175</v>
      </c>
      <c r="E1549" s="1" t="n">
        <v>46286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SCA</t>
        </is>
      </c>
      <c r="I1549" t="n">
        <v>4.8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61392-2022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44915</v>
      </c>
      <c r="E1550" s="1" t="n">
        <v>46286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6.8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10160-2025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45719</v>
      </c>
      <c r="E1551" s="1" t="n">
        <v>46286</v>
      </c>
      <c r="F1551" t="inlineStr">
        <is>
          <t>VÄSTERNORRLANDS LÄN</t>
        </is>
      </c>
      <c r="G1551" t="inlineStr">
        <is>
          <t>ÖRNSKÖLDSVIK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34545-2022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44793</v>
      </c>
      <c r="E1552" s="1" t="n">
        <v>46286</v>
      </c>
      <c r="F1552" t="inlineStr">
        <is>
          <t>VÄSTERNORRLANDS LÄN</t>
        </is>
      </c>
      <c r="G1552" t="inlineStr">
        <is>
          <t>ÖRNSKÖLDSVIK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5918-2026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46052</v>
      </c>
      <c r="E1553" s="1" t="n">
        <v>46286</v>
      </c>
      <c r="F1553" t="inlineStr">
        <is>
          <t>VÄSTERNORRLANDS LÄN</t>
        </is>
      </c>
      <c r="G1553" t="inlineStr">
        <is>
          <t>ÖRNSKÖLDSVIK</t>
        </is>
      </c>
      <c r="I1553" t="n">
        <v>9.1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21324-2024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45440</v>
      </c>
      <c r="E1554" s="1" t="n">
        <v>46286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26236-2026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46181</v>
      </c>
      <c r="E1555" s="1" t="n">
        <v>46286</v>
      </c>
      <c r="F1555" t="inlineStr">
        <is>
          <t>VÄSTERNORRLANDS LÄN</t>
        </is>
      </c>
      <c r="G1555" t="inlineStr">
        <is>
          <t>ÖRNSKÖLDSVIK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26270-2026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46181</v>
      </c>
      <c r="E1556" s="1" t="n">
        <v>46286</v>
      </c>
      <c r="F1556" t="inlineStr">
        <is>
          <t>VÄSTERNORRLANDS LÄN</t>
        </is>
      </c>
      <c r="G1556" t="inlineStr">
        <is>
          <t>ÖRNSKÖLDSVIK</t>
        </is>
      </c>
      <c r="I1556" t="n">
        <v>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27854-2024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45475</v>
      </c>
      <c r="E1557" s="1" t="n">
        <v>46286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6514-2026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46052</v>
      </c>
      <c r="E1558" s="1" t="n">
        <v>46286</v>
      </c>
      <c r="F1558" t="inlineStr">
        <is>
          <t>VÄSTERNORRLANDS LÄN</t>
        </is>
      </c>
      <c r="G1558" t="inlineStr">
        <is>
          <t>ÖRNSKÖLDSVIK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6402-2026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46055</v>
      </c>
      <c r="E1559" s="1" t="n">
        <v>46286</v>
      </c>
      <c r="F1559" t="inlineStr">
        <is>
          <t>VÄSTERNORRLANDS LÄN</t>
        </is>
      </c>
      <c r="G1559" t="inlineStr">
        <is>
          <t>ÖRNSKÖLDSVIK</t>
        </is>
      </c>
      <c r="I1559" t="n">
        <v>13.9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25889-2026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46178</v>
      </c>
      <c r="E1560" s="1" t="n">
        <v>46286</v>
      </c>
      <c r="F1560" t="inlineStr">
        <is>
          <t>VÄSTERNORRLANDS LÄN</t>
        </is>
      </c>
      <c r="G1560" t="inlineStr">
        <is>
          <t>ÖRNSKÖLDSVIK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6173-2026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46055</v>
      </c>
      <c r="E1561" s="1" t="n">
        <v>46286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10.9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22519-2024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45447</v>
      </c>
      <c r="E1562" s="1" t="n">
        <v>46286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63729-2023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45276</v>
      </c>
      <c r="E1563" s="1" t="n">
        <v>46286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6051-2026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46052</v>
      </c>
      <c r="E1564" s="1" t="n">
        <v>46286</v>
      </c>
      <c r="F1564" t="inlineStr">
        <is>
          <t>VÄSTERNORRLANDS LÄN</t>
        </is>
      </c>
      <c r="G1564" t="inlineStr">
        <is>
          <t>ÖRNSKÖLDSVIK</t>
        </is>
      </c>
      <c r="I1564" t="n">
        <v>12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63750-2023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45277</v>
      </c>
      <c r="E1565" s="1" t="n">
        <v>46286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Övriga Aktiebolag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62342-2022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44916</v>
      </c>
      <c r="E1566" s="1" t="n">
        <v>46286</v>
      </c>
      <c r="F1566" t="inlineStr">
        <is>
          <t>VÄSTERNORRLANDS LÄN</t>
        </is>
      </c>
      <c r="G1566" t="inlineStr">
        <is>
          <t>ÖRNSKÖLDSVIK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6670-2026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46056</v>
      </c>
      <c r="E1567" s="1" t="n">
        <v>46286</v>
      </c>
      <c r="F1567" t="inlineStr">
        <is>
          <t>VÄSTERNORRLANDS LÄN</t>
        </is>
      </c>
      <c r="G1567" t="inlineStr">
        <is>
          <t>ÖRNSKÖLDSVIK</t>
        </is>
      </c>
      <c r="I1567" t="n">
        <v>6.2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35555-2023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45146</v>
      </c>
      <c r="E1568" s="1" t="n">
        <v>46286</v>
      </c>
      <c r="F1568" t="inlineStr">
        <is>
          <t>VÄSTERNORRLANDS LÄN</t>
        </is>
      </c>
      <c r="G1568" t="inlineStr">
        <is>
          <t>ÖRNSKÖLDSVIK</t>
        </is>
      </c>
      <c r="I1568" t="n">
        <v>4.7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26101-2026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46178</v>
      </c>
      <c r="E1569" s="1" t="n">
        <v>46286</v>
      </c>
      <c r="F1569" t="inlineStr">
        <is>
          <t>VÄSTERNORRLANDS LÄN</t>
        </is>
      </c>
      <c r="G1569" t="inlineStr">
        <is>
          <t>ÖRNSKÖLDSVIK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26706-2024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45470</v>
      </c>
      <c r="E1570" s="1" t="n">
        <v>46286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25446-2026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46177</v>
      </c>
      <c r="E1571" s="1" t="n">
        <v>46286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40342-2024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45555</v>
      </c>
      <c r="E1572" s="1" t="n">
        <v>46286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25596-2026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46177</v>
      </c>
      <c r="E1573" s="1" t="n">
        <v>46286</v>
      </c>
      <c r="F1573" t="inlineStr">
        <is>
          <t>VÄSTERNORRLANDS LÄN</t>
        </is>
      </c>
      <c r="G1573" t="inlineStr">
        <is>
          <t>ÖRNSKÖLDSVIK</t>
        </is>
      </c>
      <c r="I1573" t="n">
        <v>9.699999999999999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6869-2026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46057</v>
      </c>
      <c r="E1574" s="1" t="n">
        <v>46286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25614-2026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46177</v>
      </c>
      <c r="E1575" s="1" t="n">
        <v>46286</v>
      </c>
      <c r="F1575" t="inlineStr">
        <is>
          <t>VÄSTERNORRLANDS LÄN</t>
        </is>
      </c>
      <c r="G1575" t="inlineStr">
        <is>
          <t>ÖRNSKÖLDSVIK</t>
        </is>
      </c>
      <c r="I1575" t="n">
        <v>14.3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38374-2022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44812</v>
      </c>
      <c r="E1576" s="1" t="n">
        <v>46286</v>
      </c>
      <c r="F1576" t="inlineStr">
        <is>
          <t>VÄSTERNORRLANDS LÄN</t>
        </is>
      </c>
      <c r="G1576" t="inlineStr">
        <is>
          <t>ÖRNSKÖLDSVIK</t>
        </is>
      </c>
      <c r="I1576" t="n">
        <v>3.2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46826-2024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45583</v>
      </c>
      <c r="E1577" s="1" t="n">
        <v>46286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62091-2022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44919</v>
      </c>
      <c r="E1578" s="1" t="n">
        <v>46286</v>
      </c>
      <c r="F1578" t="inlineStr">
        <is>
          <t>VÄSTERNORRLANDS LÄN</t>
        </is>
      </c>
      <c r="G1578" t="inlineStr">
        <is>
          <t>ÖRNSKÖLDSVIK</t>
        </is>
      </c>
      <c r="I1578" t="n">
        <v>44.3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7290-2026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46058</v>
      </c>
      <c r="E1579" s="1" t="n">
        <v>46286</v>
      </c>
      <c r="F1579" t="inlineStr">
        <is>
          <t>VÄSTERNORRLANDS LÄN</t>
        </is>
      </c>
      <c r="G1579" t="inlineStr">
        <is>
          <t>ÖRNSKÖLDSVIK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7291-2026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46058</v>
      </c>
      <c r="E1580" s="1" t="n">
        <v>46286</v>
      </c>
      <c r="F1580" t="inlineStr">
        <is>
          <t>VÄSTERNORRLANDS LÄN</t>
        </is>
      </c>
      <c r="G1580" t="inlineStr">
        <is>
          <t>ÖRNSKÖLDSVIK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58481-2024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45635</v>
      </c>
      <c r="E1581" s="1" t="n">
        <v>46286</v>
      </c>
      <c r="F1581" t="inlineStr">
        <is>
          <t>VÄSTERNORRLANDS LÄN</t>
        </is>
      </c>
      <c r="G1581" t="inlineStr">
        <is>
          <t>ÖRNSKÖLDSVIK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7106-2026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46058</v>
      </c>
      <c r="E1582" s="1" t="n">
        <v>46286</v>
      </c>
      <c r="F1582" t="inlineStr">
        <is>
          <t>VÄSTERNORRLANDS LÄN</t>
        </is>
      </c>
      <c r="G1582" t="inlineStr">
        <is>
          <t>ÖRNSKÖLDSVIK</t>
        </is>
      </c>
      <c r="I1582" t="n">
        <v>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7289-2026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46058</v>
      </c>
      <c r="E1583" s="1" t="n">
        <v>46286</v>
      </c>
      <c r="F1583" t="inlineStr">
        <is>
          <t>VÄSTERNORRLANDS LÄN</t>
        </is>
      </c>
      <c r="G1583" t="inlineStr">
        <is>
          <t>ÖRNSKÖLDSVIK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26776-2024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45470</v>
      </c>
      <c r="E1584" s="1" t="n">
        <v>46286</v>
      </c>
      <c r="F1584" t="inlineStr">
        <is>
          <t>VÄSTERNORRLANDS LÄN</t>
        </is>
      </c>
      <c r="G1584" t="inlineStr">
        <is>
          <t>ÖRNSKÖLDSVIK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63785-2025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46019</v>
      </c>
      <c r="E1585" s="1" t="n">
        <v>46286</v>
      </c>
      <c r="F1585" t="inlineStr">
        <is>
          <t>VÄSTERNORRLANDS LÄN</t>
        </is>
      </c>
      <c r="G1585" t="inlineStr">
        <is>
          <t>ÖRNSKÖLDSVIK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11804-2024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45375</v>
      </c>
      <c r="E1586" s="1" t="n">
        <v>46286</v>
      </c>
      <c r="F1586" t="inlineStr">
        <is>
          <t>VÄSTERNORRLANDS LÄN</t>
        </is>
      </c>
      <c r="G1586" t="inlineStr">
        <is>
          <t>ÖRNSKÖLDSVIK</t>
        </is>
      </c>
      <c r="I1586" t="n">
        <v>0.2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25779-2026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46178</v>
      </c>
      <c r="E1587" s="1" t="n">
        <v>46286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64987-2021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44514</v>
      </c>
      <c r="E1588" s="1" t="n">
        <v>46286</v>
      </c>
      <c r="F1588" t="inlineStr">
        <is>
          <t>VÄSTERNORRLANDS LÄN</t>
        </is>
      </c>
      <c r="G1588" t="inlineStr">
        <is>
          <t>ÖRNSKÖLDSVIK</t>
        </is>
      </c>
      <c r="I1588" t="n">
        <v>4.2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37177-2024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45539</v>
      </c>
      <c r="E1589" s="1" t="n">
        <v>46286</v>
      </c>
      <c r="F1589" t="inlineStr">
        <is>
          <t>VÄSTERNORRLANDS LÄN</t>
        </is>
      </c>
      <c r="G1589" t="inlineStr">
        <is>
          <t>ÖRNSKÖLDSVIK</t>
        </is>
      </c>
      <c r="I1589" t="n">
        <v>5.8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7756-2026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46062</v>
      </c>
      <c r="E1590" s="1" t="n">
        <v>46286</v>
      </c>
      <c r="F1590" t="inlineStr">
        <is>
          <t>VÄSTERNORRLANDS LÄN</t>
        </is>
      </c>
      <c r="G1590" t="inlineStr">
        <is>
          <t>ÖRNSKÖLDSVIK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7751-2026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46062</v>
      </c>
      <c r="E1591" s="1" t="n">
        <v>46286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60161-2024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45642</v>
      </c>
      <c r="E1592" s="1" t="n">
        <v>46286</v>
      </c>
      <c r="F1592" t="inlineStr">
        <is>
          <t>VÄSTERNORRLANDS LÄN</t>
        </is>
      </c>
      <c r="G1592" t="inlineStr">
        <is>
          <t>ÖRNSKÖLDSVIK</t>
        </is>
      </c>
      <c r="I1592" t="n">
        <v>4.7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8523-2024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45351</v>
      </c>
      <c r="E1593" s="1" t="n">
        <v>46286</v>
      </c>
      <c r="F1593" t="inlineStr">
        <is>
          <t>VÄSTERNORRLANDS LÄN</t>
        </is>
      </c>
      <c r="G1593" t="inlineStr">
        <is>
          <t>ÖRNSKÖLDSVIK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8022-2026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46063</v>
      </c>
      <c r="E1594" s="1" t="n">
        <v>46286</v>
      </c>
      <c r="F1594" t="inlineStr">
        <is>
          <t>VÄSTERNORRLANDS LÄN</t>
        </is>
      </c>
      <c r="G1594" t="inlineStr">
        <is>
          <t>ÖRNSKÖLDSVIK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42512-2024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45565</v>
      </c>
      <c r="E1595" s="1" t="n">
        <v>46286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8479-2026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46065</v>
      </c>
      <c r="E1596" s="1" t="n">
        <v>46286</v>
      </c>
      <c r="F1596" t="inlineStr">
        <is>
          <t>VÄSTERNORRLANDS LÄN</t>
        </is>
      </c>
      <c r="G1596" t="inlineStr">
        <is>
          <t>ÖRNSKÖLDSVIK</t>
        </is>
      </c>
      <c r="I1596" t="n">
        <v>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25621-2026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46177</v>
      </c>
      <c r="E1597" s="1" t="n">
        <v>46286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25278-2024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45462</v>
      </c>
      <c r="E1598" s="1" t="n">
        <v>46286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6273-2024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45337</v>
      </c>
      <c r="E1599" s="1" t="n">
        <v>46286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9.1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25619-2026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46177</v>
      </c>
      <c r="E1600" s="1" t="n">
        <v>46286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20571-2025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45775</v>
      </c>
      <c r="E1601" s="1" t="n">
        <v>46286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26344-2026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46182</v>
      </c>
      <c r="E1602" s="1" t="n">
        <v>46286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2.3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8922-2026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46069</v>
      </c>
      <c r="E1603" s="1" t="n">
        <v>46286</v>
      </c>
      <c r="F1603" t="inlineStr">
        <is>
          <t>VÄSTERNORRLANDS LÄN</t>
        </is>
      </c>
      <c r="G1603" t="inlineStr">
        <is>
          <t>ÖRNSKÖLDSVIK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25939-2026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46181</v>
      </c>
      <c r="E1604" s="1" t="n">
        <v>46286</v>
      </c>
      <c r="F1604" t="inlineStr">
        <is>
          <t>VÄSTERNORRLANDS LÄN</t>
        </is>
      </c>
      <c r="G1604" t="inlineStr">
        <is>
          <t>ÖRNSKÖLDSVIK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29151-2023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45105</v>
      </c>
      <c r="E1605" s="1" t="n">
        <v>46286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5.3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26180-2026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46182</v>
      </c>
      <c r="E1606" s="1" t="n">
        <v>46286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15.9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9477-2026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46071</v>
      </c>
      <c r="E1607" s="1" t="n">
        <v>46286</v>
      </c>
      <c r="F1607" t="inlineStr">
        <is>
          <t>VÄSTERNORRLANDS LÄN</t>
        </is>
      </c>
      <c r="G1607" t="inlineStr">
        <is>
          <t>ÖRNSKÖLDSVIK</t>
        </is>
      </c>
      <c r="I1607" t="n">
        <v>2.5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9475-2026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46071</v>
      </c>
      <c r="E1608" s="1" t="n">
        <v>46286</v>
      </c>
      <c r="F1608" t="inlineStr">
        <is>
          <t>VÄSTERNORRLANDS LÄN</t>
        </is>
      </c>
      <c r="G1608" t="inlineStr">
        <is>
          <t>ÖRNSKÖLDSVIK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9476-2026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46071</v>
      </c>
      <c r="E1609" s="1" t="n">
        <v>46286</v>
      </c>
      <c r="F1609" t="inlineStr">
        <is>
          <t>VÄSTERNORRLANDS LÄN</t>
        </is>
      </c>
      <c r="G1609" t="inlineStr">
        <is>
          <t>ÖRNSKÖLDSVIK</t>
        </is>
      </c>
      <c r="I1609" t="n">
        <v>3.4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26263-2026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46182</v>
      </c>
      <c r="E1610" s="1" t="n">
        <v>46286</v>
      </c>
      <c r="F1610" t="inlineStr">
        <is>
          <t>VÄSTERNORRLANDS LÄN</t>
        </is>
      </c>
      <c r="G1610" t="inlineStr">
        <is>
          <t>ÖRNSKÖLDSVIK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38811-2022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44816</v>
      </c>
      <c r="E1611" s="1" t="n">
        <v>46286</v>
      </c>
      <c r="F1611" t="inlineStr">
        <is>
          <t>VÄSTERNORRLANDS LÄN</t>
        </is>
      </c>
      <c r="G1611" t="inlineStr">
        <is>
          <t>ÖRNSKÖLDSVIK</t>
        </is>
      </c>
      <c r="I1611" t="n">
        <v>1.3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46307-2023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45197</v>
      </c>
      <c r="E1612" s="1" t="n">
        <v>46286</v>
      </c>
      <c r="F1612" t="inlineStr">
        <is>
          <t>VÄSTERNORRLANDS LÄN</t>
        </is>
      </c>
      <c r="G1612" t="inlineStr">
        <is>
          <t>ÖRNSKÖLDSVIK</t>
        </is>
      </c>
      <c r="I1612" t="n">
        <v>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1531-2025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45670</v>
      </c>
      <c r="E1613" s="1" t="n">
        <v>46286</v>
      </c>
      <c r="F1613" t="inlineStr">
        <is>
          <t>VÄSTERNORRLANDS LÄN</t>
        </is>
      </c>
      <c r="G1613" t="inlineStr">
        <is>
          <t>ÖRNSKÖLDSVIK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26266-2026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46182</v>
      </c>
      <c r="E1614" s="1" t="n">
        <v>46286</v>
      </c>
      <c r="F1614" t="inlineStr">
        <is>
          <t>VÄSTERNORRLANDS LÄN</t>
        </is>
      </c>
      <c r="G1614" t="inlineStr">
        <is>
          <t>ÖRNSKÖLDSVIK</t>
        </is>
      </c>
      <c r="I1614" t="n">
        <v>1.9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26277-2026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46182</v>
      </c>
      <c r="E1615" s="1" t="n">
        <v>46286</v>
      </c>
      <c r="F1615" t="inlineStr">
        <is>
          <t>VÄSTERNORRLANDS LÄN</t>
        </is>
      </c>
      <c r="G1615" t="inlineStr">
        <is>
          <t>ÖRNSKÖLDSVIK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33187-2024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45518</v>
      </c>
      <c r="E1616" s="1" t="n">
        <v>46286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9754-2026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46072</v>
      </c>
      <c r="E1617" s="1" t="n">
        <v>46286</v>
      </c>
      <c r="F1617" t="inlineStr">
        <is>
          <t>VÄSTERNORRLANDS LÄN</t>
        </is>
      </c>
      <c r="G1617" t="inlineStr">
        <is>
          <t>ÖRNSKÖLDSVIK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26220-2026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46286</v>
      </c>
      <c r="F1618" t="inlineStr">
        <is>
          <t>VÄSTERNORRLANDS LÄN</t>
        </is>
      </c>
      <c r="G1618" t="inlineStr">
        <is>
          <t>ÖRNSKÖLDSVIK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32515-2024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45513</v>
      </c>
      <c r="E1619" s="1" t="n">
        <v>46286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25950-2026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46181</v>
      </c>
      <c r="E1620" s="1" t="n">
        <v>46286</v>
      </c>
      <c r="F1620" t="inlineStr">
        <is>
          <t>VÄSTERNORRLANDS LÄN</t>
        </is>
      </c>
      <c r="G1620" t="inlineStr">
        <is>
          <t>ÖRNSKÖLDSVIK</t>
        </is>
      </c>
      <c r="I1620" t="n">
        <v>0.2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26366-2026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46286</v>
      </c>
      <c r="F1621" t="inlineStr">
        <is>
          <t>VÄSTERNORRLANDS LÄN</t>
        </is>
      </c>
      <c r="G1621" t="inlineStr">
        <is>
          <t>ÖRNSKÖLDSVIK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9831-2026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46072</v>
      </c>
      <c r="E1622" s="1" t="n">
        <v>46286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22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46977-2024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45586</v>
      </c>
      <c r="E1623" s="1" t="n">
        <v>46286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28711-2024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45478</v>
      </c>
      <c r="E1624" s="1" t="n">
        <v>46286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26441-2026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46183</v>
      </c>
      <c r="E1625" s="1" t="n">
        <v>46286</v>
      </c>
      <c r="F1625" t="inlineStr">
        <is>
          <t>VÄSTERNORRLANDS LÄN</t>
        </is>
      </c>
      <c r="G1625" t="inlineStr">
        <is>
          <t>ÖRNSKÖLDSVIK</t>
        </is>
      </c>
      <c r="I1625" t="n">
        <v>2.2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26383-2026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46183</v>
      </c>
      <c r="E1626" s="1" t="n">
        <v>46286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4.5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18178-2024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45420</v>
      </c>
      <c r="E1627" s="1" t="n">
        <v>46286</v>
      </c>
      <c r="F1627" t="inlineStr">
        <is>
          <t>VÄSTERNORRLANDS LÄN</t>
        </is>
      </c>
      <c r="G1627" t="inlineStr">
        <is>
          <t>ÖRNSKÖLDSVIK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29498-2023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45106</v>
      </c>
      <c r="E1628" s="1" t="n">
        <v>46286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10460-2026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46077</v>
      </c>
      <c r="E1629" s="1" t="n">
        <v>46286</v>
      </c>
      <c r="F1629" t="inlineStr">
        <is>
          <t>VÄSTERNORRLANDS LÄN</t>
        </is>
      </c>
      <c r="G1629" t="inlineStr">
        <is>
          <t>ÖRNSKÖLDSVIK</t>
        </is>
      </c>
      <c r="I1629" t="n">
        <v>17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10423-2026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46077</v>
      </c>
      <c r="E1630" s="1" t="n">
        <v>46286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25.4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63039-2021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44505</v>
      </c>
      <c r="E1631" s="1" t="n">
        <v>46286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26532-2026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46183</v>
      </c>
      <c r="E1632" s="1" t="n">
        <v>46286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4.1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52467-2022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44874</v>
      </c>
      <c r="E1633" s="1" t="n">
        <v>46286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4.5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10723-2026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46078</v>
      </c>
      <c r="E1634" s="1" t="n">
        <v>46286</v>
      </c>
      <c r="F1634" t="inlineStr">
        <is>
          <t>VÄSTERNORRLANDS LÄN</t>
        </is>
      </c>
      <c r="G1634" t="inlineStr">
        <is>
          <t>ÖRNSKÖLDSVIK</t>
        </is>
      </c>
      <c r="I1634" t="n">
        <v>6.3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26617-2026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46184</v>
      </c>
      <c r="E1635" s="1" t="n">
        <v>46286</v>
      </c>
      <c r="F1635" t="inlineStr">
        <is>
          <t>VÄSTERNORRLANDS LÄN</t>
        </is>
      </c>
      <c r="G1635" t="inlineStr">
        <is>
          <t>ÖRNSKÖLDSVIK</t>
        </is>
      </c>
      <c r="I1635" t="n">
        <v>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57157-2024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45629</v>
      </c>
      <c r="E1636" s="1" t="n">
        <v>46286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10463-2026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46077</v>
      </c>
      <c r="E1637" s="1" t="n">
        <v>46286</v>
      </c>
      <c r="F1637" t="inlineStr">
        <is>
          <t>VÄSTERNORRLANDS LÄN</t>
        </is>
      </c>
      <c r="G1637" t="inlineStr">
        <is>
          <t>ÖRNSKÖLDSVIK</t>
        </is>
      </c>
      <c r="I1637" t="n">
        <v>3.9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26445-2026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46183</v>
      </c>
      <c r="E1638" s="1" t="n">
        <v>46286</v>
      </c>
      <c r="F1638" t="inlineStr">
        <is>
          <t>VÄSTERNORRLANDS LÄN</t>
        </is>
      </c>
      <c r="G1638" t="inlineStr">
        <is>
          <t>ÖRNSKÖLDSVIK</t>
        </is>
      </c>
      <c r="I1638" t="n">
        <v>0.4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10396-2026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46077</v>
      </c>
      <c r="E1639" s="1" t="n">
        <v>46286</v>
      </c>
      <c r="F1639" t="inlineStr">
        <is>
          <t>VÄSTERNORRLANDS LÄN</t>
        </is>
      </c>
      <c r="G1639" t="inlineStr">
        <is>
          <t>ÖRNSKÖLDSVIK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10392-2026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46077</v>
      </c>
      <c r="E1640" s="1" t="n">
        <v>46286</v>
      </c>
      <c r="F1640" t="inlineStr">
        <is>
          <t>VÄSTERNORRLANDS LÄN</t>
        </is>
      </c>
      <c r="G1640" t="inlineStr">
        <is>
          <t>ÖRNSKÖLDSVIK</t>
        </is>
      </c>
      <c r="I1640" t="n">
        <v>1.3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10278-2026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46076</v>
      </c>
      <c r="E1641" s="1" t="n">
        <v>46286</v>
      </c>
      <c r="F1641" t="inlineStr">
        <is>
          <t>VÄSTERNORRLANDS LÄN</t>
        </is>
      </c>
      <c r="G1641" t="inlineStr">
        <is>
          <t>ÖRNSKÖLDSVIK</t>
        </is>
      </c>
      <c r="I1641" t="n">
        <v>8.800000000000001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26420-2026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46183</v>
      </c>
      <c r="E1642" s="1" t="n">
        <v>46286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26422-2026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46183</v>
      </c>
      <c r="E1643" s="1" t="n">
        <v>46286</v>
      </c>
      <c r="F1643" t="inlineStr">
        <is>
          <t>VÄSTERNORRLANDS LÄN</t>
        </is>
      </c>
      <c r="G1643" t="inlineStr">
        <is>
          <t>ÖRNSKÖLDSVIK</t>
        </is>
      </c>
      <c r="I1643" t="n">
        <v>11.7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26566-2026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46183</v>
      </c>
      <c r="E1644" s="1" t="n">
        <v>46286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441-2024</t>
        </is>
      </c>
      <c r="B1645" t="inlineStr">
        <is>
          <t>avverkningsanmälan</t>
        </is>
      </c>
      <c r="C1645" t="inlineStr">
        <is>
          <t>Avverkning för att bevara och utveckla /försöksver</t>
        </is>
      </c>
      <c r="D1645" s="1" t="n">
        <v>45296</v>
      </c>
      <c r="E1645" s="1" t="n">
        <v>46286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11160-2026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46080</v>
      </c>
      <c r="E1646" s="1" t="n">
        <v>46286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26460-2026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46183</v>
      </c>
      <c r="E1647" s="1" t="n">
        <v>46286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26737-2026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46184</v>
      </c>
      <c r="E1648" s="1" t="n">
        <v>46286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3.4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26738-2026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46184</v>
      </c>
      <c r="E1649" s="1" t="n">
        <v>46286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1.4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26771-2026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46184</v>
      </c>
      <c r="E1650" s="1" t="n">
        <v>46286</v>
      </c>
      <c r="F1650" t="inlineStr">
        <is>
          <t>VÄSTERNORRLANDS LÄN</t>
        </is>
      </c>
      <c r="G1650" t="inlineStr">
        <is>
          <t>ÖRNSKÖLDSVIK</t>
        </is>
      </c>
      <c r="I1650" t="n">
        <v>8.5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26541-2026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46183</v>
      </c>
      <c r="E1651" s="1" t="n">
        <v>46286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2.7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26543-2026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46183</v>
      </c>
      <c r="E1652" s="1" t="n">
        <v>46286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26556-2026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46183</v>
      </c>
      <c r="E1653" s="1" t="n">
        <v>46286</v>
      </c>
      <c r="F1653" t="inlineStr">
        <is>
          <t>VÄSTERNORRLANDS LÄN</t>
        </is>
      </c>
      <c r="G1653" t="inlineStr">
        <is>
          <t>ÖRNSKÖLDSVIK</t>
        </is>
      </c>
      <c r="I1653" t="n">
        <v>3.8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26377-2026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46183</v>
      </c>
      <c r="E1654" s="1" t="n">
        <v>46286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Kommuner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26381-2026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46183</v>
      </c>
      <c r="E1655" s="1" t="n">
        <v>46286</v>
      </c>
      <c r="F1655" t="inlineStr">
        <is>
          <t>VÄSTERNORRLANDS LÄN</t>
        </is>
      </c>
      <c r="G1655" t="inlineStr">
        <is>
          <t>ÖRNSKÖLDSVIK</t>
        </is>
      </c>
      <c r="I1655" t="n">
        <v>2.5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26421-2026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46286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SCA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11196-2026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46080</v>
      </c>
      <c r="E1657" s="1" t="n">
        <v>46286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28827-2023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45104</v>
      </c>
      <c r="E1658" s="1" t="n">
        <v>46286</v>
      </c>
      <c r="F1658" t="inlineStr">
        <is>
          <t>VÄSTERNORRLANDS LÄN</t>
        </is>
      </c>
      <c r="G1658" t="inlineStr">
        <is>
          <t>ÖRNSKÖLDSVIK</t>
        </is>
      </c>
      <c r="I1658" t="n">
        <v>0.9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26651-2026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46184</v>
      </c>
      <c r="E1659" s="1" t="n">
        <v>46286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42603-2023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45181</v>
      </c>
      <c r="E1660" s="1" t="n">
        <v>46286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26431-2026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46286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26620-2026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46184</v>
      </c>
      <c r="E1662" s="1" t="n">
        <v>46286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59222-2022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44904</v>
      </c>
      <c r="E1663" s="1" t="n">
        <v>46286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7.4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13815-2023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45007</v>
      </c>
      <c r="E1664" s="1" t="n">
        <v>46286</v>
      </c>
      <c r="F1664" t="inlineStr">
        <is>
          <t>VÄSTERNORRLANDS LÄN</t>
        </is>
      </c>
      <c r="G1664" t="inlineStr">
        <is>
          <t>ÖRNSKÖLDSVIK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27095-2026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46188</v>
      </c>
      <c r="E1665" s="1" t="n">
        <v>46286</v>
      </c>
      <c r="F1665" t="inlineStr">
        <is>
          <t>VÄSTERNORRLANDS LÄN</t>
        </is>
      </c>
      <c r="G1665" t="inlineStr">
        <is>
          <t>ÖRNSKÖLDSVIK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30453-2023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45111</v>
      </c>
      <c r="E1666" s="1" t="n">
        <v>46286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29184-2023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45105</v>
      </c>
      <c r="E1667" s="1" t="n">
        <v>46286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29200-2023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45105</v>
      </c>
      <c r="E1668" s="1" t="n">
        <v>46286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27270-2026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46188</v>
      </c>
      <c r="E1669" s="1" t="n">
        <v>46286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27798-2026</t>
        </is>
      </c>
      <c r="B1670" t="inlineStr">
        <is>
          <t>avverkningsanmälan</t>
        </is>
      </c>
      <c r="C1670" t="inlineStr">
        <is>
          <t>Avverkning för annat ändamål</t>
        </is>
      </c>
      <c r="D1670" s="1" t="n">
        <v>46189</v>
      </c>
      <c r="E1670" s="1" t="n">
        <v>46286</v>
      </c>
      <c r="F1670" t="inlineStr">
        <is>
          <t>VÄSTERNORRLANDS LÄN</t>
        </is>
      </c>
      <c r="G1670" t="inlineStr">
        <is>
          <t>ÖRNSKÖLDSVIK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12170-2026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46086</v>
      </c>
      <c r="E1671" s="1" t="n">
        <v>46286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SCA</t>
        </is>
      </c>
      <c r="I1671" t="n">
        <v>3.6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27132-2026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46188</v>
      </c>
      <c r="E1672" s="1" t="n">
        <v>46286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3.5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11845-2026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46085</v>
      </c>
      <c r="E1673" s="1" t="n">
        <v>46286</v>
      </c>
      <c r="F1673" t="inlineStr">
        <is>
          <t>VÄSTERNORRLANDS LÄN</t>
        </is>
      </c>
      <c r="G1673" t="inlineStr">
        <is>
          <t>ÖRNSKÖLDSVIK</t>
        </is>
      </c>
      <c r="I1673" t="n">
        <v>0.4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22417-2024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45446</v>
      </c>
      <c r="E1674" s="1" t="n">
        <v>46286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17219-2022</t>
        </is>
      </c>
      <c r="B1675" t="inlineStr">
        <is>
          <t>avverkningsanmälan</t>
        </is>
      </c>
      <c r="C1675" t="inlineStr">
        <is>
          <t>Avverkning för att bevara och utveckla /försöksver</t>
        </is>
      </c>
      <c r="D1675" s="1" t="n">
        <v>44677</v>
      </c>
      <c r="E1675" s="1" t="n">
        <v>46286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8.6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62544-2021</t>
        </is>
      </c>
      <c r="B1676" t="inlineStr">
        <is>
          <t>avverkningsanmälan</t>
        </is>
      </c>
      <c r="C1676" t="inlineStr">
        <is>
          <t>Avverkning för att bevara och utveckla /försöksver</t>
        </is>
      </c>
      <c r="D1676" s="1" t="n">
        <v>44503</v>
      </c>
      <c r="E1676" s="1" t="n">
        <v>46286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45826-2024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45579</v>
      </c>
      <c r="E1677" s="1" t="n">
        <v>46286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39268-2023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45162</v>
      </c>
      <c r="E1678" s="1" t="n">
        <v>46286</v>
      </c>
      <c r="F1678" t="inlineStr">
        <is>
          <t>VÄSTERNORRLANDS LÄN</t>
        </is>
      </c>
      <c r="G1678" t="inlineStr">
        <is>
          <t>ÖRNSKÖLDSVIK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12500-2026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46090</v>
      </c>
      <c r="E1679" s="1" t="n">
        <v>46286</v>
      </c>
      <c r="F1679" t="inlineStr">
        <is>
          <t>VÄSTERNORRLANDS LÄN</t>
        </is>
      </c>
      <c r="G1679" t="inlineStr">
        <is>
          <t>ÖRNSKÖLDSVIK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26899-2026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46185</v>
      </c>
      <c r="E1680" s="1" t="n">
        <v>46286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27178-2026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46188</v>
      </c>
      <c r="E1681" s="1" t="n">
        <v>46286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27222-2026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46188</v>
      </c>
      <c r="E1682" s="1" t="n">
        <v>46286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2.7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27091-2026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46188</v>
      </c>
      <c r="E1683" s="1" t="n">
        <v>46286</v>
      </c>
      <c r="F1683" t="inlineStr">
        <is>
          <t>VÄSTERNORRLANDS LÄN</t>
        </is>
      </c>
      <c r="G1683" t="inlineStr">
        <is>
          <t>ÖRNSKÖLDSVIK</t>
        </is>
      </c>
      <c r="I1683" t="n">
        <v>2.7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45945-2023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45195</v>
      </c>
      <c r="E1684" s="1" t="n">
        <v>46286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4.9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12228-2026</t>
        </is>
      </c>
      <c r="B1685" t="inlineStr">
        <is>
          <t>avverkningsanmälan</t>
        </is>
      </c>
      <c r="C1685" t="inlineStr">
        <is>
          <t>Avverkning för att bevara och utveckla /försöksver</t>
        </is>
      </c>
      <c r="D1685" s="1" t="n">
        <v>46087</v>
      </c>
      <c r="E1685" s="1" t="n">
        <v>46286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26898-2026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46185</v>
      </c>
      <c r="E1686" s="1" t="n">
        <v>46286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25107-2024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45462</v>
      </c>
      <c r="E1687" s="1" t="n">
        <v>46286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26837-2026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46185</v>
      </c>
      <c r="E1688" s="1" t="n">
        <v>46286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10153-2025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45719</v>
      </c>
      <c r="E1689" s="1" t="n">
        <v>46286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27198-2026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46188</v>
      </c>
      <c r="E1690" s="1" t="n">
        <v>46286</v>
      </c>
      <c r="F1690" t="inlineStr">
        <is>
          <t>VÄSTERNORRLANDS LÄN</t>
        </is>
      </c>
      <c r="G1690" t="inlineStr">
        <is>
          <t>ÖRNSKÖLDSVIK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27212-2026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46188</v>
      </c>
      <c r="E1691" s="1" t="n">
        <v>46286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27214-2026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46188</v>
      </c>
      <c r="E1692" s="1" t="n">
        <v>46286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0.9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26915-2026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46185</v>
      </c>
      <c r="E1693" s="1" t="n">
        <v>46286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5.4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38745-2024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45547</v>
      </c>
      <c r="E1694" s="1" t="n">
        <v>46286</v>
      </c>
      <c r="F1694" t="inlineStr">
        <is>
          <t>VÄSTERNORRLANDS LÄN</t>
        </is>
      </c>
      <c r="G1694" t="inlineStr">
        <is>
          <t>ÖRNSKÖLDSVIK</t>
        </is>
      </c>
      <c r="I1694" t="n">
        <v>4.8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26811-2026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46185</v>
      </c>
      <c r="E1695" s="1" t="n">
        <v>46286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6.5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26658-2023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45092</v>
      </c>
      <c r="E1696" s="1" t="n">
        <v>46286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4.5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27297-2026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46188</v>
      </c>
      <c r="E1697" s="1" t="n">
        <v>46286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27245-2026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46188</v>
      </c>
      <c r="E1698" s="1" t="n">
        <v>46286</v>
      </c>
      <c r="F1698" t="inlineStr">
        <is>
          <t>VÄSTERNORRLANDS LÄN</t>
        </is>
      </c>
      <c r="G1698" t="inlineStr">
        <is>
          <t>ÖRNSKÖLDSVIK</t>
        </is>
      </c>
      <c r="I1698" t="n">
        <v>5.2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34132-2024</t>
        </is>
      </c>
      <c r="B1699" t="inlineStr">
        <is>
          <t>avverkningsanmälan</t>
        </is>
      </c>
      <c r="C1699" t="inlineStr">
        <is>
          <t>Avverkning för annat ändamål</t>
        </is>
      </c>
      <c r="D1699" s="1" t="n">
        <v>45524</v>
      </c>
      <c r="E1699" s="1" t="n">
        <v>46286</v>
      </c>
      <c r="F1699" t="inlineStr">
        <is>
          <t>VÄSTERNORRLANDS LÄN</t>
        </is>
      </c>
      <c r="G1699" t="inlineStr">
        <is>
          <t>ÖRNSKÖLDSVIK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26895-2026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46185</v>
      </c>
      <c r="E1700" s="1" t="n">
        <v>46286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18944-2026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46129</v>
      </c>
      <c r="E1701" s="1" t="n">
        <v>46286</v>
      </c>
      <c r="F1701" t="inlineStr">
        <is>
          <t>VÄSTERNORRLANDS LÄN</t>
        </is>
      </c>
      <c r="G1701" t="inlineStr">
        <is>
          <t>ÖRNSKÖLDSVIK</t>
        </is>
      </c>
      <c r="I1701" t="n">
        <v>16.9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26896-2026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46185</v>
      </c>
      <c r="E1702" s="1" t="n">
        <v>46286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3.1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27090-2026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46188</v>
      </c>
      <c r="E1703" s="1" t="n">
        <v>46286</v>
      </c>
      <c r="F1703" t="inlineStr">
        <is>
          <t>VÄSTERNORRLANDS LÄN</t>
        </is>
      </c>
      <c r="G1703" t="inlineStr">
        <is>
          <t>ÖRNSKÖLDSVIK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26809-2026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46185</v>
      </c>
      <c r="E1704" s="1" t="n">
        <v>46286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27174-2026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46188</v>
      </c>
      <c r="E1705" s="1" t="n">
        <v>46286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49831-2024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45597</v>
      </c>
      <c r="E1706" s="1" t="n">
        <v>46286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8664-2025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45712</v>
      </c>
      <c r="E1707" s="1" t="n">
        <v>46286</v>
      </c>
      <c r="F1707" t="inlineStr">
        <is>
          <t>VÄSTERNORRLANDS LÄN</t>
        </is>
      </c>
      <c r="G1707" t="inlineStr">
        <is>
          <t>ÖRNSKÖLDSVIK</t>
        </is>
      </c>
      <c r="I1707" t="n">
        <v>13.3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24487-2023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45082</v>
      </c>
      <c r="E1708" s="1" t="n">
        <v>46286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13787-2022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44649</v>
      </c>
      <c r="E1709" s="1" t="n">
        <v>46286</v>
      </c>
      <c r="F1709" t="inlineStr">
        <is>
          <t>VÄSTERNORRLANDS LÄN</t>
        </is>
      </c>
      <c r="G1709" t="inlineStr">
        <is>
          <t>ÖRNSKÖLDSVIK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27599-2026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46190</v>
      </c>
      <c r="E1710" s="1" t="n">
        <v>46286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27452-2026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46189</v>
      </c>
      <c r="E1711" s="1" t="n">
        <v>46286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SCA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27509-2022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44742</v>
      </c>
      <c r="E1712" s="1" t="n">
        <v>46286</v>
      </c>
      <c r="F1712" t="inlineStr">
        <is>
          <t>VÄSTERNORRLANDS LÄN</t>
        </is>
      </c>
      <c r="G1712" t="inlineStr">
        <is>
          <t>ÖRNSKÖLDSVIK</t>
        </is>
      </c>
      <c r="I1712" t="n">
        <v>2.8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863-2024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45301</v>
      </c>
      <c r="E1713" s="1" t="n">
        <v>46286</v>
      </c>
      <c r="F1713" t="inlineStr">
        <is>
          <t>VÄSTERNORRLANDS LÄN</t>
        </is>
      </c>
      <c r="G1713" t="inlineStr">
        <is>
          <t>ÖRNSKÖLDSVIK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31693-2024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45507</v>
      </c>
      <c r="E1714" s="1" t="n">
        <v>46286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8.9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12906-2026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46092</v>
      </c>
      <c r="E1715" s="1" t="n">
        <v>46286</v>
      </c>
      <c r="F1715" t="inlineStr">
        <is>
          <t>VÄSTERNORRLANDS LÄN</t>
        </is>
      </c>
      <c r="G1715" t="inlineStr">
        <is>
          <t>ÖRNSKÖLDSVIK</t>
        </is>
      </c>
      <c r="I1715" t="n">
        <v>0.4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12908-2026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46092</v>
      </c>
      <c r="E1716" s="1" t="n">
        <v>46286</v>
      </c>
      <c r="F1716" t="inlineStr">
        <is>
          <t>VÄSTERNORRLANDS LÄN</t>
        </is>
      </c>
      <c r="G1716" t="inlineStr">
        <is>
          <t>ÖRNSKÖLDSVIK</t>
        </is>
      </c>
      <c r="I1716" t="n">
        <v>7.6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21398-2026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46146</v>
      </c>
      <c r="E1717" s="1" t="n">
        <v>46286</v>
      </c>
      <c r="F1717" t="inlineStr">
        <is>
          <t>VÄSTERNORRLANDS LÄN</t>
        </is>
      </c>
      <c r="G1717" t="inlineStr">
        <is>
          <t>ÖRNSKÖLDSVIK</t>
        </is>
      </c>
      <c r="I1717" t="n">
        <v>8.300000000000001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12907-2026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46092</v>
      </c>
      <c r="E1718" s="1" t="n">
        <v>46286</v>
      </c>
      <c r="F1718" t="inlineStr">
        <is>
          <t>VÄSTERNORRLANDS LÄN</t>
        </is>
      </c>
      <c r="G1718" t="inlineStr">
        <is>
          <t>ÖRNSKÖLDSVIK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12946-2026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46092</v>
      </c>
      <c r="E1719" s="1" t="n">
        <v>46286</v>
      </c>
      <c r="F1719" t="inlineStr">
        <is>
          <t>VÄSTERNORRLANDS LÄN</t>
        </is>
      </c>
      <c r="G1719" t="inlineStr">
        <is>
          <t>ÖRNSKÖLDSVIK</t>
        </is>
      </c>
      <c r="I1719" t="n">
        <v>10.6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27408-2026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46189</v>
      </c>
      <c r="E1720" s="1" t="n">
        <v>46286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27538-2026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46190</v>
      </c>
      <c r="E1721" s="1" t="n">
        <v>46286</v>
      </c>
      <c r="F1721" t="inlineStr">
        <is>
          <t>VÄSTERNORRLANDS LÄN</t>
        </is>
      </c>
      <c r="G1721" t="inlineStr">
        <is>
          <t>ÖRNSKÖLDSVIK</t>
        </is>
      </c>
      <c r="I1721" t="n">
        <v>3.6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61324-2023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45261</v>
      </c>
      <c r="E1722" s="1" t="n">
        <v>46286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27565-2026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46190</v>
      </c>
      <c r="E1723" s="1" t="n">
        <v>46286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17.7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13178-2026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46093</v>
      </c>
      <c r="E1724" s="1" t="n">
        <v>46286</v>
      </c>
      <c r="F1724" t="inlineStr">
        <is>
          <t>VÄSTERNORRLANDS LÄN</t>
        </is>
      </c>
      <c r="G1724" t="inlineStr">
        <is>
          <t>ÖRNSKÖLDSVIK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10480-2025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45721</v>
      </c>
      <c r="E1725" s="1" t="n">
        <v>46286</v>
      </c>
      <c r="F1725" t="inlineStr">
        <is>
          <t>VÄSTERNORRLANDS LÄN</t>
        </is>
      </c>
      <c r="G1725" t="inlineStr">
        <is>
          <t>ÖRNSKÖLDSVIK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31256-2023</t>
        </is>
      </c>
      <c r="B1726" t="inlineStr">
        <is>
          <t>avverkningsanmälan</t>
        </is>
      </c>
      <c r="C1726" t="inlineStr">
        <is>
          <t>Avverkning för att bevara och utveckla /försöksver</t>
        </is>
      </c>
      <c r="D1726" s="1" t="n">
        <v>45114</v>
      </c>
      <c r="E1726" s="1" t="n">
        <v>46286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24994-2023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45085</v>
      </c>
      <c r="E1727" s="1" t="n">
        <v>46286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27407-2026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46189</v>
      </c>
      <c r="E1728" s="1" t="n">
        <v>46286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57469-2023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45240</v>
      </c>
      <c r="E1729" s="1" t="n">
        <v>46286</v>
      </c>
      <c r="F1729" t="inlineStr">
        <is>
          <t>VÄSTERNORRLANDS LÄN</t>
        </is>
      </c>
      <c r="G1729" t="inlineStr">
        <is>
          <t>ÖRNSKÖLDSVIK</t>
        </is>
      </c>
      <c r="I1729" t="n">
        <v>0.4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57480-2023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45240</v>
      </c>
      <c r="E1730" s="1" t="n">
        <v>46286</v>
      </c>
      <c r="F1730" t="inlineStr">
        <is>
          <t>VÄSTERNORRLANDS LÄN</t>
        </is>
      </c>
      <c r="G1730" t="inlineStr">
        <is>
          <t>ÖRNSKÖLDSVIK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13183-2026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46093</v>
      </c>
      <c r="E1731" s="1" t="n">
        <v>46286</v>
      </c>
      <c r="F1731" t="inlineStr">
        <is>
          <t>VÄSTERNORRLANDS LÄN</t>
        </is>
      </c>
      <c r="G1731" t="inlineStr">
        <is>
          <t>ÖRNSKÖLDSVIK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27413-2026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46189</v>
      </c>
      <c r="E1732" s="1" t="n">
        <v>46286</v>
      </c>
      <c r="F1732" t="inlineStr">
        <is>
          <t>VÄSTERNORRLANDS LÄN</t>
        </is>
      </c>
      <c r="G1732" t="inlineStr">
        <is>
          <t>ÖRNSKÖLDSVIK</t>
        </is>
      </c>
      <c r="I1732" t="n">
        <v>9.199999999999999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27396-2026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46189</v>
      </c>
      <c r="E1733" s="1" t="n">
        <v>46286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27412-2026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46189</v>
      </c>
      <c r="E1734" s="1" t="n">
        <v>46286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35379-2023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45145</v>
      </c>
      <c r="E1735" s="1" t="n">
        <v>46286</v>
      </c>
      <c r="F1735" t="inlineStr">
        <is>
          <t>VÄSTERNORRLANDS LÄN</t>
        </is>
      </c>
      <c r="G1735" t="inlineStr">
        <is>
          <t>ÖRNSKÖLDSVIK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27548-2026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46190</v>
      </c>
      <c r="E1736" s="1" t="n">
        <v>46286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13672-2026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46097</v>
      </c>
      <c r="E1737" s="1" t="n">
        <v>46286</v>
      </c>
      <c r="F1737" t="inlineStr">
        <is>
          <t>VÄSTERNORRLANDS LÄN</t>
        </is>
      </c>
      <c r="G1737" t="inlineStr">
        <is>
          <t>ÖRNSKÖLDSVIK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13828-2026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46098</v>
      </c>
      <c r="E1738" s="1" t="n">
        <v>46286</v>
      </c>
      <c r="F1738" t="inlineStr">
        <is>
          <t>VÄSTERNORRLANDS LÄN</t>
        </is>
      </c>
      <c r="G1738" t="inlineStr">
        <is>
          <t>ÖRNSKÖLDSVIK</t>
        </is>
      </c>
      <c r="I1738" t="n">
        <v>1.9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13776-2026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46097</v>
      </c>
      <c r="E1739" s="1" t="n">
        <v>46286</v>
      </c>
      <c r="F1739" t="inlineStr">
        <is>
          <t>VÄSTERNORRLANDS LÄN</t>
        </is>
      </c>
      <c r="G1739" t="inlineStr">
        <is>
          <t>ÖRNSKÖLDSVIK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13872-2026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46286</v>
      </c>
      <c r="F1740" t="inlineStr">
        <is>
          <t>VÄSTERNORRLANDS LÄN</t>
        </is>
      </c>
      <c r="G1740" t="inlineStr">
        <is>
          <t>ÖRNSKÖLDSVIK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13874-2026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46098</v>
      </c>
      <c r="E1741" s="1" t="n">
        <v>46286</v>
      </c>
      <c r="F1741" t="inlineStr">
        <is>
          <t>VÄSTERNORRLANDS LÄN</t>
        </is>
      </c>
      <c r="G1741" t="inlineStr">
        <is>
          <t>ÖRNSKÖLDSVIK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27719-2026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46191</v>
      </c>
      <c r="E1742" s="1" t="n">
        <v>46286</v>
      </c>
      <c r="F1742" t="inlineStr">
        <is>
          <t>VÄSTERNORRLANDS LÄN</t>
        </is>
      </c>
      <c r="G1742" t="inlineStr">
        <is>
          <t>ÖRNSKÖLDSVIK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47582-2023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45197</v>
      </c>
      <c r="E1743" s="1" t="n">
        <v>46286</v>
      </c>
      <c r="F1743" t="inlineStr">
        <is>
          <t>VÄSTERNORRLANDS LÄN</t>
        </is>
      </c>
      <c r="G1743" t="inlineStr">
        <is>
          <t>ÖRNSKÖLDSVIK</t>
        </is>
      </c>
      <c r="I1743" t="n">
        <v>1.9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34800-2024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45526</v>
      </c>
      <c r="E1744" s="1" t="n">
        <v>46286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13868-2026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46098</v>
      </c>
      <c r="E1745" s="1" t="n">
        <v>46286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27721-2026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46191</v>
      </c>
      <c r="E1746" s="1" t="n">
        <v>46286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27845-2026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46191</v>
      </c>
      <c r="E1747" s="1" t="n">
        <v>46286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27949-2026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46192</v>
      </c>
      <c r="E1748" s="1" t="n">
        <v>46286</v>
      </c>
      <c r="F1748" t="inlineStr">
        <is>
          <t>VÄSTERNORRLANDS LÄN</t>
        </is>
      </c>
      <c r="G1748" t="inlineStr">
        <is>
          <t>ÖRNSKÖLDSVIK</t>
        </is>
      </c>
      <c r="I1748" t="n">
        <v>2.5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27931-2026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46191</v>
      </c>
      <c r="E1749" s="1" t="n">
        <v>46286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28356-2026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46196</v>
      </c>
      <c r="E1750" s="1" t="n">
        <v>46286</v>
      </c>
      <c r="F1750" t="inlineStr">
        <is>
          <t>VÄSTERNORRLANDS LÄN</t>
        </is>
      </c>
      <c r="G1750" t="inlineStr">
        <is>
          <t>ÖRNSKÖLDSVIK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27986-2026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46195</v>
      </c>
      <c r="E1751" s="1" t="n">
        <v>46286</v>
      </c>
      <c r="F1751" t="inlineStr">
        <is>
          <t>VÄSTERNORRLANDS LÄN</t>
        </is>
      </c>
      <c r="G1751" t="inlineStr">
        <is>
          <t>ÖRNSKÖLDSVIK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44345-2024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45573</v>
      </c>
      <c r="E1752" s="1" t="n">
        <v>46286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46204-2024</t>
        </is>
      </c>
      <c r="B1753" t="inlineStr">
        <is>
          <t>avverkningsanmälan</t>
        </is>
      </c>
      <c r="C1753" t="inlineStr">
        <is>
          <t>Avverkning för annat ändamål</t>
        </is>
      </c>
      <c r="D1753" s="1" t="n">
        <v>45581</v>
      </c>
      <c r="E1753" s="1" t="n">
        <v>46286</v>
      </c>
      <c r="F1753" t="inlineStr">
        <is>
          <t>VÄSTERNORRLANDS LÄN</t>
        </is>
      </c>
      <c r="G1753" t="inlineStr">
        <is>
          <t>ÖRNSKÖLDSVIK</t>
        </is>
      </c>
      <c r="I1753" t="n">
        <v>0.2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14524-2026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46100</v>
      </c>
      <c r="E1754" s="1" t="n">
        <v>46286</v>
      </c>
      <c r="F1754" t="inlineStr">
        <is>
          <t>VÄSTERNORRLANDS LÄN</t>
        </is>
      </c>
      <c r="G1754" t="inlineStr">
        <is>
          <t>ÖRNSKÖLDSVIK</t>
        </is>
      </c>
      <c r="I1754" t="n">
        <v>2.5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50217-2022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44865</v>
      </c>
      <c r="E1755" s="1" t="n">
        <v>46286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24.6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39550-2024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45552</v>
      </c>
      <c r="E1756" s="1" t="n">
        <v>46286</v>
      </c>
      <c r="F1756" t="inlineStr">
        <is>
          <t>VÄSTERNORRLANDS LÄN</t>
        </is>
      </c>
      <c r="G1756" t="inlineStr">
        <is>
          <t>ÖRNSKÖLDSVIK</t>
        </is>
      </c>
      <c r="I1756" t="n">
        <v>2.6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42366-2022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44831</v>
      </c>
      <c r="E1757" s="1" t="n">
        <v>46286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14075-2026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46099</v>
      </c>
      <c r="E1758" s="1" t="n">
        <v>46286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28395-2026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46196</v>
      </c>
      <c r="E1759" s="1" t="n">
        <v>46286</v>
      </c>
      <c r="F1759" t="inlineStr">
        <is>
          <t>VÄSTERNORRLANDS LÄN</t>
        </is>
      </c>
      <c r="G1759" t="inlineStr">
        <is>
          <t>ÖRNSKÖLDSVIK</t>
        </is>
      </c>
      <c r="I1759" t="n">
        <v>12.3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28089-2026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46195</v>
      </c>
      <c r="E1760" s="1" t="n">
        <v>46286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28109-2026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46195</v>
      </c>
      <c r="E1761" s="1" t="n">
        <v>46286</v>
      </c>
      <c r="F1761" t="inlineStr">
        <is>
          <t>VÄSTERNORRLANDS LÄN</t>
        </is>
      </c>
      <c r="G1761" t="inlineStr">
        <is>
          <t>ÖRNSKÖLDSVIK</t>
        </is>
      </c>
      <c r="I1761" t="n">
        <v>8.5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27983-2026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46195</v>
      </c>
      <c r="E1762" s="1" t="n">
        <v>46286</v>
      </c>
      <c r="F1762" t="inlineStr">
        <is>
          <t>VÄSTERNORRLANDS LÄN</t>
        </is>
      </c>
      <c r="G1762" t="inlineStr">
        <is>
          <t>ÖRNSKÖLDSVIK</t>
        </is>
      </c>
      <c r="I1762" t="n">
        <v>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27988-2026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46195</v>
      </c>
      <c r="E1763" s="1" t="n">
        <v>46286</v>
      </c>
      <c r="F1763" t="inlineStr">
        <is>
          <t>VÄSTERNORRLANDS LÄN</t>
        </is>
      </c>
      <c r="G1763" t="inlineStr">
        <is>
          <t>ÖRNSKÖLDSVIK</t>
        </is>
      </c>
      <c r="I1763" t="n">
        <v>8.5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37920-2023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45160</v>
      </c>
      <c r="E1764" s="1" t="n">
        <v>46286</v>
      </c>
      <c r="F1764" t="inlineStr">
        <is>
          <t>VÄSTERNORRLANDS LÄN</t>
        </is>
      </c>
      <c r="G1764" t="inlineStr">
        <is>
          <t>ÖRNSKÖLDSVIK</t>
        </is>
      </c>
      <c r="I1764" t="n">
        <v>6.8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28197-2026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46196</v>
      </c>
      <c r="E1765" s="1" t="n">
        <v>46286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14631-2026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46101</v>
      </c>
      <c r="E1766" s="1" t="n">
        <v>46286</v>
      </c>
      <c r="F1766" t="inlineStr">
        <is>
          <t>VÄSTERNORRLANDS LÄN</t>
        </is>
      </c>
      <c r="G1766" t="inlineStr">
        <is>
          <t>ÖRNSKÖLDSVIK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14623-2026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46101</v>
      </c>
      <c r="E1767" s="1" t="n">
        <v>46286</v>
      </c>
      <c r="F1767" t="inlineStr">
        <is>
          <t>VÄSTERNORRLANDS LÄN</t>
        </is>
      </c>
      <c r="G1767" t="inlineStr">
        <is>
          <t>ÖRNSKÖLDSVIK</t>
        </is>
      </c>
      <c r="I1767" t="n">
        <v>10.5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27971-2026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46195</v>
      </c>
      <c r="E1768" s="1" t="n">
        <v>46286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28091-2026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46195</v>
      </c>
      <c r="E1769" s="1" t="n">
        <v>46286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28145-2026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46195</v>
      </c>
      <c r="E1770" s="1" t="n">
        <v>46286</v>
      </c>
      <c r="F1770" t="inlineStr">
        <is>
          <t>VÄSTERNORRLANDS LÄN</t>
        </is>
      </c>
      <c r="G1770" t="inlineStr">
        <is>
          <t>ÖRNSKÖLDSVIK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28151-2026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46195</v>
      </c>
      <c r="E1771" s="1" t="n">
        <v>46286</v>
      </c>
      <c r="F1771" t="inlineStr">
        <is>
          <t>VÄSTERNORRLANDS LÄN</t>
        </is>
      </c>
      <c r="G1771" t="inlineStr">
        <is>
          <t>ÖRNSKÖLDSVIK</t>
        </is>
      </c>
      <c r="I1771" t="n">
        <v>26.1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48605-2024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45593</v>
      </c>
      <c r="E1772" s="1" t="n">
        <v>46286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3.5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28199-2026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46196</v>
      </c>
      <c r="E1773" s="1" t="n">
        <v>46286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28205-2026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46196</v>
      </c>
      <c r="E1774" s="1" t="n">
        <v>46286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28213-2026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46196</v>
      </c>
      <c r="E1775" s="1" t="n">
        <v>46286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28208-2026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46196</v>
      </c>
      <c r="E1776" s="1" t="n">
        <v>46286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3.1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28214-2026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46196</v>
      </c>
      <c r="E1777" s="1" t="n">
        <v>46286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14705-2026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46101</v>
      </c>
      <c r="E1778" s="1" t="n">
        <v>46286</v>
      </c>
      <c r="F1778" t="inlineStr">
        <is>
          <t>VÄSTERNORRLANDS LÄN</t>
        </is>
      </c>
      <c r="G1778" t="inlineStr">
        <is>
          <t>ÖRNSKÖLDSVIK</t>
        </is>
      </c>
      <c r="I1778" t="n">
        <v>2.7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14677-2026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46101</v>
      </c>
      <c r="E1779" s="1" t="n">
        <v>46286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60324-2023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45258</v>
      </c>
      <c r="E1780" s="1" t="n">
        <v>46286</v>
      </c>
      <c r="F1780" t="inlineStr">
        <is>
          <t>VÄSTERNORRLANDS LÄN</t>
        </is>
      </c>
      <c r="G1780" t="inlineStr">
        <is>
          <t>ÖRNSKÖLDSVIK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28676-2026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46198</v>
      </c>
      <c r="E1781" s="1" t="n">
        <v>46286</v>
      </c>
      <c r="F1781" t="inlineStr">
        <is>
          <t>VÄSTERNORRLANDS LÄN</t>
        </is>
      </c>
      <c r="G1781" t="inlineStr">
        <is>
          <t>ÖRNSKÖLDSVIK</t>
        </is>
      </c>
      <c r="I1781" t="n">
        <v>3.9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26378-2024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45469</v>
      </c>
      <c r="E1782" s="1" t="n">
        <v>46286</v>
      </c>
      <c r="F1782" t="inlineStr">
        <is>
          <t>VÄSTERNORRLANDS LÄN</t>
        </is>
      </c>
      <c r="G1782" t="inlineStr">
        <is>
          <t>ÖRNSKÖLDSVIK</t>
        </is>
      </c>
      <c r="I1782" t="n">
        <v>1.9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35416-2022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44798</v>
      </c>
      <c r="E1783" s="1" t="n">
        <v>46286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15215-2026</t>
        </is>
      </c>
      <c r="B1784" t="inlineStr">
        <is>
          <t>avverkningsanmälan</t>
        </is>
      </c>
      <c r="C1784" t="inlineStr">
        <is>
          <t>Avverkning för annat ändamål</t>
        </is>
      </c>
      <c r="D1784" s="1" t="n">
        <v>46105</v>
      </c>
      <c r="E1784" s="1" t="n">
        <v>46286</v>
      </c>
      <c r="F1784" t="inlineStr">
        <is>
          <t>VÄSTERNORRLANDS LÄN</t>
        </is>
      </c>
      <c r="G1784" t="inlineStr">
        <is>
          <t>ÖRNSKÖLDSVIK</t>
        </is>
      </c>
      <c r="I1784" t="n">
        <v>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28759-2026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46198</v>
      </c>
      <c r="E1785" s="1" t="n">
        <v>46286</v>
      </c>
      <c r="F1785" t="inlineStr">
        <is>
          <t>VÄSTERNORRLANDS LÄN</t>
        </is>
      </c>
      <c r="G1785" t="inlineStr">
        <is>
          <t>ÖRNSKÖLDSVIK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69296-2021</t>
        </is>
      </c>
      <c r="B1786" t="inlineStr">
        <is>
          <t>avverkningsanmälan</t>
        </is>
      </c>
      <c r="C1786" t="inlineStr">
        <is>
          <t>Avverkning för att bevara och utveckla /försöksver</t>
        </is>
      </c>
      <c r="D1786" s="1" t="n">
        <v>44531</v>
      </c>
      <c r="E1786" s="1" t="n">
        <v>46286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3.1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28621-2026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46198</v>
      </c>
      <c r="E1787" s="1" t="n">
        <v>46286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41520-2024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45560</v>
      </c>
      <c r="E1788" s="1" t="n">
        <v>46286</v>
      </c>
      <c r="F1788" t="inlineStr">
        <is>
          <t>VÄSTERNORRLANDS LÄN</t>
        </is>
      </c>
      <c r="G1788" t="inlineStr">
        <is>
          <t>ÖRNSKÖLDSVIK</t>
        </is>
      </c>
      <c r="I1788" t="n">
        <v>0.3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28499-2026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46197</v>
      </c>
      <c r="E1789" s="1" t="n">
        <v>46286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28558-2026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46197</v>
      </c>
      <c r="E1790" s="1" t="n">
        <v>46286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14.1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28552-2026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46197</v>
      </c>
      <c r="E1791" s="1" t="n">
        <v>46286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21533-2024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45441</v>
      </c>
      <c r="E1792" s="1" t="n">
        <v>46286</v>
      </c>
      <c r="F1792" t="inlineStr">
        <is>
          <t>VÄSTERNORRLANDS LÄN</t>
        </is>
      </c>
      <c r="G1792" t="inlineStr">
        <is>
          <t>ÖRNSKÖLDSVIK</t>
        </is>
      </c>
      <c r="I1792" t="n">
        <v>1.8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15937-2026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46107</v>
      </c>
      <c r="E1793" s="1" t="n">
        <v>46286</v>
      </c>
      <c r="F1793" t="inlineStr">
        <is>
          <t>VÄSTERNORRLANDS LÄN</t>
        </is>
      </c>
      <c r="G1793" t="inlineStr">
        <is>
          <t>ÖRNSKÖLDSVIK</t>
        </is>
      </c>
      <c r="I1793" t="n">
        <v>2.9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58055-2023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45247</v>
      </c>
      <c r="E1794" s="1" t="n">
        <v>46286</v>
      </c>
      <c r="F1794" t="inlineStr">
        <is>
          <t>VÄSTERNORRLANDS LÄN</t>
        </is>
      </c>
      <c r="G1794" t="inlineStr">
        <is>
          <t>ÖRNSKÖLDSVIK</t>
        </is>
      </c>
      <c r="I1794" t="n">
        <v>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15606-2024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45401</v>
      </c>
      <c r="E1795" s="1" t="n">
        <v>46286</v>
      </c>
      <c r="F1795" t="inlineStr">
        <is>
          <t>VÄSTERNORRLANDS LÄN</t>
        </is>
      </c>
      <c r="G1795" t="inlineStr">
        <is>
          <t>ÖRNSKÖLDSVIK</t>
        </is>
      </c>
      <c r="I1795" t="n">
        <v>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14117-2024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45392</v>
      </c>
      <c r="E1796" s="1" t="n">
        <v>46286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4.4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14124-2024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45392</v>
      </c>
      <c r="E1797" s="1" t="n">
        <v>46286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5.5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56979-2024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45628</v>
      </c>
      <c r="E1798" s="1" t="n">
        <v>46286</v>
      </c>
      <c r="F1798" t="inlineStr">
        <is>
          <t>VÄSTERNORRLANDS LÄN</t>
        </is>
      </c>
      <c r="G1798" t="inlineStr">
        <is>
          <t>ÖRNSKÖLDSVIK</t>
        </is>
      </c>
      <c r="I1798" t="n">
        <v>11.6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53371-2023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45229</v>
      </c>
      <c r="E1799" s="1" t="n">
        <v>46286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16022-2026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46108</v>
      </c>
      <c r="E1800" s="1" t="n">
        <v>46286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6.6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15936-2026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46107</v>
      </c>
      <c r="E1801" s="1" t="n">
        <v>46286</v>
      </c>
      <c r="F1801" t="inlineStr">
        <is>
          <t>VÄSTERNORRLANDS LÄN</t>
        </is>
      </c>
      <c r="G1801" t="inlineStr">
        <is>
          <t>ÖRNSKÖLDSVIK</t>
        </is>
      </c>
      <c r="I1801" t="n">
        <v>1.3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60462-2022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44904</v>
      </c>
      <c r="E1802" s="1" t="n">
        <v>46286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Kyrkan</t>
        </is>
      </c>
      <c r="I1802" t="n">
        <v>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61085-2022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44915</v>
      </c>
      <c r="E1803" s="1" t="n">
        <v>46286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61090-2022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44915</v>
      </c>
      <c r="E1804" s="1" t="n">
        <v>46286</v>
      </c>
      <c r="F1804" t="inlineStr">
        <is>
          <t>VÄSTERNORRLANDS LÄN</t>
        </is>
      </c>
      <c r="G1804" t="inlineStr">
        <is>
          <t>ÖRNSKÖLDSVIK</t>
        </is>
      </c>
      <c r="I1804" t="n">
        <v>0.3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28701-2026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46198</v>
      </c>
      <c r="E1805" s="1" t="n">
        <v>46286</v>
      </c>
      <c r="F1805" t="inlineStr">
        <is>
          <t>VÄSTERNORRLANDS LÄN</t>
        </is>
      </c>
      <c r="G1805" t="inlineStr">
        <is>
          <t>ÖRNSKÖLDSVIK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25926-2024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45467</v>
      </c>
      <c r="E1806" s="1" t="n">
        <v>46286</v>
      </c>
      <c r="F1806" t="inlineStr">
        <is>
          <t>VÄSTERNORRLANDS LÄN</t>
        </is>
      </c>
      <c r="G1806" t="inlineStr">
        <is>
          <t>ÖRNSKÖLDSVIK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28396-2026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46197</v>
      </c>
      <c r="E1807" s="1" t="n">
        <v>46286</v>
      </c>
      <c r="F1807" t="inlineStr">
        <is>
          <t>VÄSTERNORRLANDS LÄN</t>
        </is>
      </c>
      <c r="G1807" t="inlineStr">
        <is>
          <t>ÖRNSKÖLDSVIK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28405-2026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46197</v>
      </c>
      <c r="E1808" s="1" t="n">
        <v>46286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28502-2026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46197</v>
      </c>
      <c r="E1809" s="1" t="n">
        <v>46286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28514-2026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46197</v>
      </c>
      <c r="E1810" s="1" t="n">
        <v>46286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19977-2023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45054</v>
      </c>
      <c r="E1811" s="1" t="n">
        <v>46286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32850-2022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44784</v>
      </c>
      <c r="E1812" s="1" t="n">
        <v>46286</v>
      </c>
      <c r="F1812" t="inlineStr">
        <is>
          <t>VÄSTERNORRLANDS LÄN</t>
        </is>
      </c>
      <c r="G1812" t="inlineStr">
        <is>
          <t>ÖRNSKÖLDSVIK</t>
        </is>
      </c>
      <c r="I1812" t="n">
        <v>5.5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59771-2024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45638</v>
      </c>
      <c r="E1813" s="1" t="n">
        <v>46286</v>
      </c>
      <c r="F1813" t="inlineStr">
        <is>
          <t>VÄSTERNORRLANDS LÄN</t>
        </is>
      </c>
      <c r="G1813" t="inlineStr">
        <is>
          <t>ÖRNSKÖLDSVIK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28519-2026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46197</v>
      </c>
      <c r="E1814" s="1" t="n">
        <v>46286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6.3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21234-2023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45058</v>
      </c>
      <c r="E1815" s="1" t="n">
        <v>46286</v>
      </c>
      <c r="F1815" t="inlineStr">
        <is>
          <t>VÄSTERNORRLANDS LÄN</t>
        </is>
      </c>
      <c r="G1815" t="inlineStr">
        <is>
          <t>ÖRNSKÖLDSVIK</t>
        </is>
      </c>
      <c r="I1815" t="n">
        <v>1.3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20551-2024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45436</v>
      </c>
      <c r="E1816" s="1" t="n">
        <v>46286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0.3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28555-2026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46197</v>
      </c>
      <c r="E1817" s="1" t="n">
        <v>46286</v>
      </c>
      <c r="F1817" t="inlineStr">
        <is>
          <t>VÄSTERNORRLANDS LÄN</t>
        </is>
      </c>
      <c r="G1817" t="inlineStr">
        <is>
          <t>ÖRNSKÖLDSVIK</t>
        </is>
      </c>
      <c r="I1817" t="n">
        <v>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28570-2026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46197</v>
      </c>
      <c r="E1818" s="1" t="n">
        <v>46286</v>
      </c>
      <c r="F1818" t="inlineStr">
        <is>
          <t>VÄSTERNORRLANDS LÄN</t>
        </is>
      </c>
      <c r="G1818" t="inlineStr">
        <is>
          <t>ÖRNSKÖLDSVIK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16394-2026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46111</v>
      </c>
      <c r="E1819" s="1" t="n">
        <v>46286</v>
      </c>
      <c r="F1819" t="inlineStr">
        <is>
          <t>VÄSTERNORRLANDS LÄN</t>
        </is>
      </c>
      <c r="G1819" t="inlineStr">
        <is>
          <t>ÖRNSKÖLDSVIK</t>
        </is>
      </c>
      <c r="I1819" t="n">
        <v>4.9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28622-2026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46198</v>
      </c>
      <c r="E1820" s="1" t="n">
        <v>46286</v>
      </c>
      <c r="F1820" t="inlineStr">
        <is>
          <t>VÄSTERNORRLANDS LÄN</t>
        </is>
      </c>
      <c r="G1820" t="inlineStr">
        <is>
          <t>ÖRNSKÖLDSVIK</t>
        </is>
      </c>
      <c r="I1820" t="n">
        <v>2.7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16252-2026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46111</v>
      </c>
      <c r="E1821" s="1" t="n">
        <v>46286</v>
      </c>
      <c r="F1821" t="inlineStr">
        <is>
          <t>VÄSTERNORRLANDS LÄN</t>
        </is>
      </c>
      <c r="G1821" t="inlineStr">
        <is>
          <t>ÖRNSKÖLDSVIK</t>
        </is>
      </c>
      <c r="I1821" t="n">
        <v>2.5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34904-2022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44796</v>
      </c>
      <c r="E1822" s="1" t="n">
        <v>46286</v>
      </c>
      <c r="F1822" t="inlineStr">
        <is>
          <t>VÄSTERNORRLANDS LÄN</t>
        </is>
      </c>
      <c r="G1822" t="inlineStr">
        <is>
          <t>ÖRNSKÖLDSVIK</t>
        </is>
      </c>
      <c r="I1822" t="n">
        <v>9.699999999999999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28649-2026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46198</v>
      </c>
      <c r="E1823" s="1" t="n">
        <v>46286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6.7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16240-2026</t>
        </is>
      </c>
      <c r="B1824" t="inlineStr">
        <is>
          <t>avverkningsanmälan</t>
        </is>
      </c>
      <c r="C1824" t="inlineStr">
        <is>
          <t>Avverkning för att bevara och utveckla /försöksver</t>
        </is>
      </c>
      <c r="D1824" s="1" t="n">
        <v>46111</v>
      </c>
      <c r="E1824" s="1" t="n">
        <v>46286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28467-2023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45103</v>
      </c>
      <c r="E1825" s="1" t="n">
        <v>46286</v>
      </c>
      <c r="F1825" t="inlineStr">
        <is>
          <t>VÄSTERNORRLANDS LÄN</t>
        </is>
      </c>
      <c r="G1825" t="inlineStr">
        <is>
          <t>ÖRNSKÖLDSVIK</t>
        </is>
      </c>
      <c r="I1825" t="n">
        <v>8.1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32925-2026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46244</v>
      </c>
      <c r="E1826" s="1" t="n">
        <v>46286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23094-2024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45450</v>
      </c>
      <c r="E1827" s="1" t="n">
        <v>46286</v>
      </c>
      <c r="F1827" t="inlineStr">
        <is>
          <t>VÄSTERNORRLANDS LÄN</t>
        </is>
      </c>
      <c r="G1827" t="inlineStr">
        <is>
          <t>ÖRNSKÖLDSVIK</t>
        </is>
      </c>
      <c r="I1827" t="n">
        <v>1.9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23097-2024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45450</v>
      </c>
      <c r="E1828" s="1" t="n">
        <v>46286</v>
      </c>
      <c r="F1828" t="inlineStr">
        <is>
          <t>VÄSTERNORRLANDS LÄN</t>
        </is>
      </c>
      <c r="G1828" t="inlineStr">
        <is>
          <t>ÖRNSKÖLDSVIK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18199-2023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45041</v>
      </c>
      <c r="E1829" s="1" t="n">
        <v>46286</v>
      </c>
      <c r="F1829" t="inlineStr">
        <is>
          <t>VÄSTERNORRLANDS LÄN</t>
        </is>
      </c>
      <c r="G1829" t="inlineStr">
        <is>
          <t>ÖRNSKÖLDSVIK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10296-2023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44986</v>
      </c>
      <c r="E1830" s="1" t="n">
        <v>46286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9.4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29199-2026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46202</v>
      </c>
      <c r="E1831" s="1" t="n">
        <v>46286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5.5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25068-2024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45462</v>
      </c>
      <c r="E1832" s="1" t="n">
        <v>46286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29159-2026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46202</v>
      </c>
      <c r="E1833" s="1" t="n">
        <v>46286</v>
      </c>
      <c r="F1833" t="inlineStr">
        <is>
          <t>VÄSTERNORRLANDS LÄN</t>
        </is>
      </c>
      <c r="G1833" t="inlineStr">
        <is>
          <t>ÖRNSKÖLDSVIK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29168-2026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46202</v>
      </c>
      <c r="E1834" s="1" t="n">
        <v>46286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5.5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53806-2023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45231</v>
      </c>
      <c r="E1835" s="1" t="n">
        <v>46286</v>
      </c>
      <c r="F1835" t="inlineStr">
        <is>
          <t>VÄSTERNORRLANDS LÄN</t>
        </is>
      </c>
      <c r="G1835" t="inlineStr">
        <is>
          <t>ÖRNSKÖLDSVIK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16336-2024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45407</v>
      </c>
      <c r="E1836" s="1" t="n">
        <v>46286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58342-2024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45632</v>
      </c>
      <c r="E1837" s="1" t="n">
        <v>46286</v>
      </c>
      <c r="F1837" t="inlineStr">
        <is>
          <t>VÄSTERNORRLANDS LÄN</t>
        </is>
      </c>
      <c r="G1837" t="inlineStr">
        <is>
          <t>ÖRNSKÖLDSVIK</t>
        </is>
      </c>
      <c r="I1837" t="n">
        <v>2.9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28281-2024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45477</v>
      </c>
      <c r="E1838" s="1" t="n">
        <v>46286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29322-2026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46286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4.3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29312-2026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46202</v>
      </c>
      <c r="E1840" s="1" t="n">
        <v>46286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2.9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29318-2026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46202</v>
      </c>
      <c r="E1841" s="1" t="n">
        <v>46286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29995-2026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46202</v>
      </c>
      <c r="E1842" s="1" t="n">
        <v>46286</v>
      </c>
      <c r="F1842" t="inlineStr">
        <is>
          <t>VÄSTERNORRLANDS LÄN</t>
        </is>
      </c>
      <c r="G1842" t="inlineStr">
        <is>
          <t>ÖRNSKÖLDSVIK</t>
        </is>
      </c>
      <c r="I1842" t="n">
        <v>6.8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29307-2026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46202</v>
      </c>
      <c r="E1843" s="1" t="n">
        <v>46286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7.4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18417-2023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45042</v>
      </c>
      <c r="E1844" s="1" t="n">
        <v>46286</v>
      </c>
      <c r="F1844" t="inlineStr">
        <is>
          <t>VÄSTERNORRLANDS LÄN</t>
        </is>
      </c>
      <c r="G1844" t="inlineStr">
        <is>
          <t>ÖRNSKÖLDSVIK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33014-2026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46244</v>
      </c>
      <c r="E1845" s="1" t="n">
        <v>46286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15590-2026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46106</v>
      </c>
      <c r="E1846" s="1" t="n">
        <v>46286</v>
      </c>
      <c r="F1846" t="inlineStr">
        <is>
          <t>VÄSTERNORRLANDS LÄN</t>
        </is>
      </c>
      <c r="G1846" t="inlineStr">
        <is>
          <t>ÖRNSKÖLDSVIK</t>
        </is>
      </c>
      <c r="I1846" t="n">
        <v>11.4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17075-2026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46114</v>
      </c>
      <c r="E1847" s="1" t="n">
        <v>46286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3.9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11468-2024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45372</v>
      </c>
      <c r="E1848" s="1" t="n">
        <v>46286</v>
      </c>
      <c r="F1848" t="inlineStr">
        <is>
          <t>VÄSTERNORRLANDS LÄN</t>
        </is>
      </c>
      <c r="G1848" t="inlineStr">
        <is>
          <t>ÖRNSKÖLDSVIK</t>
        </is>
      </c>
      <c r="I1848" t="n">
        <v>2.1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45295</v>
      </c>
      <c r="E1849" s="1" t="n">
        <v>46286</v>
      </c>
      <c r="F1849" t="inlineStr">
        <is>
          <t>VÄSTERNORRLANDS LÄN</t>
        </is>
      </c>
      <c r="G1849" t="inlineStr">
        <is>
          <t>ÖRNSKÖLDSVIK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32915-2026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46244</v>
      </c>
      <c r="E1850" s="1" t="n">
        <v>46286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4.6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36323-2023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45152</v>
      </c>
      <c r="E1851" s="1" t="n">
        <v>46286</v>
      </c>
      <c r="F1851" t="inlineStr">
        <is>
          <t>VÄSTERNORRLANDS LÄN</t>
        </is>
      </c>
      <c r="G1851" t="inlineStr">
        <is>
          <t>ÖRNSKÖLDSVIK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36326-2023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45152</v>
      </c>
      <c r="E1852" s="1" t="n">
        <v>46286</v>
      </c>
      <c r="F1852" t="inlineStr">
        <is>
          <t>VÄSTERNORRLANDS LÄN</t>
        </is>
      </c>
      <c r="G1852" t="inlineStr">
        <is>
          <t>ÖRNSKÖLDSVIK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28896-2026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46199</v>
      </c>
      <c r="E1853" s="1" t="n">
        <v>46286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6.4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17502-2026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46119</v>
      </c>
      <c r="E1854" s="1" t="n">
        <v>46286</v>
      </c>
      <c r="F1854" t="inlineStr">
        <is>
          <t>VÄSTERNORRLANDS LÄN</t>
        </is>
      </c>
      <c r="G1854" t="inlineStr">
        <is>
          <t>ÖRNSKÖLDSVIK</t>
        </is>
      </c>
      <c r="I1854" t="n">
        <v>3.7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3966-2023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44952</v>
      </c>
      <c r="E1855" s="1" t="n">
        <v>46286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17510-2026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46119</v>
      </c>
      <c r="E1856" s="1" t="n">
        <v>46286</v>
      </c>
      <c r="F1856" t="inlineStr">
        <is>
          <t>VÄSTERNORRLANDS LÄN</t>
        </is>
      </c>
      <c r="G1856" t="inlineStr">
        <is>
          <t>ÖRNSKÖLDSVIK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4575-2024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45327</v>
      </c>
      <c r="E1857" s="1" t="n">
        <v>46286</v>
      </c>
      <c r="F1857" t="inlineStr">
        <is>
          <t>VÄSTERNORRLANDS LÄN</t>
        </is>
      </c>
      <c r="G1857" t="inlineStr">
        <is>
          <t>ÖRNSKÖLDSVIK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17523-2026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46120</v>
      </c>
      <c r="E1858" s="1" t="n">
        <v>46286</v>
      </c>
      <c r="F1858" t="inlineStr">
        <is>
          <t>VÄSTERNORRLANDS LÄN</t>
        </is>
      </c>
      <c r="G1858" t="inlineStr">
        <is>
          <t>ÖRNSKÖLDSVIK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32592-2024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45513</v>
      </c>
      <c r="E1859" s="1" t="n">
        <v>46286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55165-2023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45237</v>
      </c>
      <c r="E1860" s="1" t="n">
        <v>46286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10369-2023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44980</v>
      </c>
      <c r="E1861" s="1" t="n">
        <v>46286</v>
      </c>
      <c r="F1861" t="inlineStr">
        <is>
          <t>VÄSTERNORRLANDS LÄN</t>
        </is>
      </c>
      <c r="G1861" t="inlineStr">
        <is>
          <t>ÖRNSKÖLDSVIK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41174-2023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45174</v>
      </c>
      <c r="E1862" s="1" t="n">
        <v>46286</v>
      </c>
      <c r="F1862" t="inlineStr">
        <is>
          <t>VÄSTERNORRLANDS LÄN</t>
        </is>
      </c>
      <c r="G1862" t="inlineStr">
        <is>
          <t>ÖRNSKÖLDSVIK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39920-2023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45168</v>
      </c>
      <c r="E1863" s="1" t="n">
        <v>46286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3.5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20529-2024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45435</v>
      </c>
      <c r="E1864" s="1" t="n">
        <v>46286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17612-2026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46121</v>
      </c>
      <c r="E1865" s="1" t="n">
        <v>46286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17875-2026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46122</v>
      </c>
      <c r="E1866" s="1" t="n">
        <v>46286</v>
      </c>
      <c r="F1866" t="inlineStr">
        <is>
          <t>VÄSTERNORRLANDS LÄN</t>
        </is>
      </c>
      <c r="G1866" t="inlineStr">
        <is>
          <t>ÖRNSKÖLDSVIK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250-2024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45294</v>
      </c>
      <c r="E1867" s="1" t="n">
        <v>46286</v>
      </c>
      <c r="F1867" t="inlineStr">
        <is>
          <t>VÄSTERNORRLANDS LÄN</t>
        </is>
      </c>
      <c r="G1867" t="inlineStr">
        <is>
          <t>ÖRNSKÖLDSVIK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17622-2026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46121</v>
      </c>
      <c r="E1868" s="1" t="n">
        <v>46286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17636-2026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46121</v>
      </c>
      <c r="E1869" s="1" t="n">
        <v>46286</v>
      </c>
      <c r="F1869" t="inlineStr">
        <is>
          <t>VÄSTERNORRLANDS LÄN</t>
        </is>
      </c>
      <c r="G1869" t="inlineStr">
        <is>
          <t>ÖRNSKÖLDSVIK</t>
        </is>
      </c>
      <c r="I1869" t="n">
        <v>3.2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32845-2026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46244</v>
      </c>
      <c r="E1870" s="1" t="n">
        <v>46286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32886-2026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46244</v>
      </c>
      <c r="E1871" s="1" t="n">
        <v>46286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5.1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35602-2023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45147</v>
      </c>
      <c r="E1872" s="1" t="n">
        <v>46286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35624-2023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45147</v>
      </c>
      <c r="E1873" s="1" t="n">
        <v>46286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17704-2026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46121</v>
      </c>
      <c r="E1874" s="1" t="n">
        <v>46286</v>
      </c>
      <c r="F1874" t="inlineStr">
        <is>
          <t>VÄSTERNORRLANDS LÄN</t>
        </is>
      </c>
      <c r="G1874" t="inlineStr">
        <is>
          <t>ÖRNSKÖLDSVIK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29166-2026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46202</v>
      </c>
      <c r="E1875" s="1" t="n">
        <v>46286</v>
      </c>
      <c r="F1875" t="inlineStr">
        <is>
          <t>VÄSTERNORRLANDS LÄN</t>
        </is>
      </c>
      <c r="G1875" t="inlineStr">
        <is>
          <t>ÖRNSKÖLDSVIK</t>
        </is>
      </c>
      <c r="I1875" t="n">
        <v>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17634-2026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46121</v>
      </c>
      <c r="E1876" s="1" t="n">
        <v>46286</v>
      </c>
      <c r="F1876" t="inlineStr">
        <is>
          <t>VÄSTERNORRLANDS LÄN</t>
        </is>
      </c>
      <c r="G1876" t="inlineStr">
        <is>
          <t>ÖRNSKÖLDSVIK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33045-2026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46245</v>
      </c>
      <c r="E1877" s="1" t="n">
        <v>46286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12.1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48010-2023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45204</v>
      </c>
      <c r="E1878" s="1" t="n">
        <v>46286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18026-2026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46125</v>
      </c>
      <c r="E1879" s="1" t="n">
        <v>46286</v>
      </c>
      <c r="F1879" t="inlineStr">
        <is>
          <t>VÄSTERNORRLANDS LÄN</t>
        </is>
      </c>
      <c r="G1879" t="inlineStr">
        <is>
          <t>ÖRNSKÖLDSVIK</t>
        </is>
      </c>
      <c r="I1879" t="n">
        <v>2.5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33062-2026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46245</v>
      </c>
      <c r="E1880" s="1" t="n">
        <v>46286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3.2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32850-2026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46244</v>
      </c>
      <c r="E1881" s="1" t="n">
        <v>46286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4.6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32863-2026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46244</v>
      </c>
      <c r="E1882" s="1" t="n">
        <v>46286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18014-2026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46125</v>
      </c>
      <c r="E1883" s="1" t="n">
        <v>46286</v>
      </c>
      <c r="F1883" t="inlineStr">
        <is>
          <t>VÄSTERNORRLANDS LÄN</t>
        </is>
      </c>
      <c r="G1883" t="inlineStr">
        <is>
          <t>ÖRNSKÖLDSVIK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60720-2024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45638</v>
      </c>
      <c r="E1884" s="1" t="n">
        <v>46286</v>
      </c>
      <c r="F1884" t="inlineStr">
        <is>
          <t>VÄSTERNORRLANDS LÄN</t>
        </is>
      </c>
      <c r="G1884" t="inlineStr">
        <is>
          <t>ÖRNSKÖLDSVIK</t>
        </is>
      </c>
      <c r="I1884" t="n">
        <v>0.6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18028-2026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46125</v>
      </c>
      <c r="E1885" s="1" t="n">
        <v>46286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18009-2026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46125</v>
      </c>
      <c r="E1886" s="1" t="n">
        <v>46286</v>
      </c>
      <c r="F1886" t="inlineStr">
        <is>
          <t>VÄSTERNORRLANDS LÄN</t>
        </is>
      </c>
      <c r="G1886" t="inlineStr">
        <is>
          <t>ÖRNSKÖLDSVIK</t>
        </is>
      </c>
      <c r="I1886" t="n">
        <v>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56485-2022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44887</v>
      </c>
      <c r="E1887" s="1" t="n">
        <v>46286</v>
      </c>
      <c r="F1887" t="inlineStr">
        <is>
          <t>VÄSTERNORRLANDS LÄN</t>
        </is>
      </c>
      <c r="G1887" t="inlineStr">
        <is>
          <t>ÖRNSKÖLDSVIK</t>
        </is>
      </c>
      <c r="I1887" t="n">
        <v>4.5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29302-2026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46202</v>
      </c>
      <c r="E1888" s="1" t="n">
        <v>46286</v>
      </c>
      <c r="F1888" t="inlineStr">
        <is>
          <t>VÄSTERNORRLANDS LÄN</t>
        </is>
      </c>
      <c r="G1888" t="inlineStr">
        <is>
          <t>ÖRNSKÖLDSVIK</t>
        </is>
      </c>
      <c r="I1888" t="n">
        <v>0.4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18363-2026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46125</v>
      </c>
      <c r="E1889" s="1" t="n">
        <v>46286</v>
      </c>
      <c r="F1889" t="inlineStr">
        <is>
          <t>VÄSTERNORRLANDS LÄN</t>
        </is>
      </c>
      <c r="G1889" t="inlineStr">
        <is>
          <t>ÖRNSKÖLDSVIK</t>
        </is>
      </c>
      <c r="I1889" t="n">
        <v>3.9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18370-2026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46125</v>
      </c>
      <c r="E1890" s="1" t="n">
        <v>46286</v>
      </c>
      <c r="F1890" t="inlineStr">
        <is>
          <t>VÄSTERNORRLANDS LÄN</t>
        </is>
      </c>
      <c r="G1890" t="inlineStr">
        <is>
          <t>ÖRNSKÖLDSVIK</t>
        </is>
      </c>
      <c r="I1890" t="n">
        <v>10.9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29236-2026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46202</v>
      </c>
      <c r="E1891" s="1" t="n">
        <v>46286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7.4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18953-2026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46127</v>
      </c>
      <c r="E1892" s="1" t="n">
        <v>46286</v>
      </c>
      <c r="F1892" t="inlineStr">
        <is>
          <t>VÄSTERNORRLANDS LÄN</t>
        </is>
      </c>
      <c r="G1892" t="inlineStr">
        <is>
          <t>ÖRNSKÖLDSVIK</t>
        </is>
      </c>
      <c r="I1892" t="n">
        <v>13.4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29003-2026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46199</v>
      </c>
      <c r="E1893" s="1" t="n">
        <v>46286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7.8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29242-2026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46202</v>
      </c>
      <c r="E1894" s="1" t="n">
        <v>46286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4.1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436-2024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45296</v>
      </c>
      <c r="E1895" s="1" t="n">
        <v>46286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4.1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18861-2026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46129</v>
      </c>
      <c r="E1896" s="1" t="n">
        <v>46286</v>
      </c>
      <c r="F1896" t="inlineStr">
        <is>
          <t>VÄSTERNORRLANDS LÄN</t>
        </is>
      </c>
      <c r="G1896" t="inlineStr">
        <is>
          <t>ÖRNSKÖLDSVIK</t>
        </is>
      </c>
      <c r="I1896" t="n">
        <v>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18860-2026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46129</v>
      </c>
      <c r="E1897" s="1" t="n">
        <v>46286</v>
      </c>
      <c r="F1897" t="inlineStr">
        <is>
          <t>VÄSTERNORRLANDS LÄN</t>
        </is>
      </c>
      <c r="G1897" t="inlineStr">
        <is>
          <t>ÖRNSKÖLDSVIK</t>
        </is>
      </c>
      <c r="I1897" t="n">
        <v>1.5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18906-2026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46129</v>
      </c>
      <c r="E1898" s="1" t="n">
        <v>46286</v>
      </c>
      <c r="F1898" t="inlineStr">
        <is>
          <t>VÄSTERNORRLANDS LÄN</t>
        </is>
      </c>
      <c r="G1898" t="inlineStr">
        <is>
          <t>ÖRNSKÖLDSVIK</t>
        </is>
      </c>
      <c r="I1898" t="n">
        <v>2.1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33057-2026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46245</v>
      </c>
      <c r="E1899" s="1" t="n">
        <v>46286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61120-2024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45645</v>
      </c>
      <c r="E1900" s="1" t="n">
        <v>46286</v>
      </c>
      <c r="F1900" t="inlineStr">
        <is>
          <t>VÄSTERNORRLANDS LÄN</t>
        </is>
      </c>
      <c r="G1900" t="inlineStr">
        <is>
          <t>ÖRNSKÖLDSVIK</t>
        </is>
      </c>
      <c r="I1900" t="n">
        <v>2.7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68866-2021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44529</v>
      </c>
      <c r="E1901" s="1" t="n">
        <v>46286</v>
      </c>
      <c r="F1901" t="inlineStr">
        <is>
          <t>VÄSTERNORRLANDS LÄN</t>
        </is>
      </c>
      <c r="G1901" t="inlineStr">
        <is>
          <t>ÖRNSKÖLDSVIK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18630-2026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46127</v>
      </c>
      <c r="E1902" s="1" t="n">
        <v>46286</v>
      </c>
      <c r="F1902" t="inlineStr">
        <is>
          <t>VÄSTERNORRLANDS LÄN</t>
        </is>
      </c>
      <c r="G1902" t="inlineStr">
        <is>
          <t>ÖRNSKÖLDSVIK</t>
        </is>
      </c>
      <c r="I1902" t="n">
        <v>5.8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8266-2025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45708</v>
      </c>
      <c r="E1903" s="1" t="n">
        <v>46286</v>
      </c>
      <c r="F1903" t="inlineStr">
        <is>
          <t>VÄSTERNORRLANDS LÄN</t>
        </is>
      </c>
      <c r="G1903" t="inlineStr">
        <is>
          <t>ÖRNSKÖLDSVIK</t>
        </is>
      </c>
      <c r="I1903" t="n">
        <v>2.9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20286-2024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45435</v>
      </c>
      <c r="E1904" s="1" t="n">
        <v>46286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18641-2026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46128</v>
      </c>
      <c r="E1905" s="1" t="n">
        <v>46286</v>
      </c>
      <c r="F1905" t="inlineStr">
        <is>
          <t>VÄSTERNORRLANDS LÄN</t>
        </is>
      </c>
      <c r="G1905" t="inlineStr">
        <is>
          <t>ÖRNSKÖLDSVIK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33583-2024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45520</v>
      </c>
      <c r="E1906" s="1" t="n">
        <v>46286</v>
      </c>
      <c r="F1906" t="inlineStr">
        <is>
          <t>VÄSTERNORRLANDS LÄN</t>
        </is>
      </c>
      <c r="G1906" t="inlineStr">
        <is>
          <t>ÖRNSKÖLDSVIK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18715-2026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46128</v>
      </c>
      <c r="E1907" s="1" t="n">
        <v>46286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5.7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28885-2026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46199</v>
      </c>
      <c r="E1908" s="1" t="n">
        <v>46286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SCA</t>
        </is>
      </c>
      <c r="I1908" t="n">
        <v>8.4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18862-2026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46129</v>
      </c>
      <c r="E1909" s="1" t="n">
        <v>46286</v>
      </c>
      <c r="F1909" t="inlineStr">
        <is>
          <t>VÄSTERNORRLANDS LÄN</t>
        </is>
      </c>
      <c r="G1909" t="inlineStr">
        <is>
          <t>ÖRNSKÖLDSVIK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18933-2026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46129</v>
      </c>
      <c r="E1910" s="1" t="n">
        <v>46286</v>
      </c>
      <c r="F1910" t="inlineStr">
        <is>
          <t>VÄSTERNORRLANDS LÄN</t>
        </is>
      </c>
      <c r="G1910" t="inlineStr">
        <is>
          <t>ÖRNSKÖLDSVIK</t>
        </is>
      </c>
      <c r="I1910" t="n">
        <v>23.2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48704-2023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45208</v>
      </c>
      <c r="E1911" s="1" t="n">
        <v>46286</v>
      </c>
      <c r="F1911" t="inlineStr">
        <is>
          <t>VÄSTERNORRLANDS LÄN</t>
        </is>
      </c>
      <c r="G1911" t="inlineStr">
        <is>
          <t>ÖRNSKÖLDSVIK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45215-2024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45575</v>
      </c>
      <c r="E1912" s="1" t="n">
        <v>46286</v>
      </c>
      <c r="F1912" t="inlineStr">
        <is>
          <t>VÄSTERNORRLANDS LÄN</t>
        </is>
      </c>
      <c r="G1912" t="inlineStr">
        <is>
          <t>ÖRNSKÖLDSVIK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54613-2024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45617</v>
      </c>
      <c r="E1913" s="1" t="n">
        <v>46286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3.2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33757-2022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44789</v>
      </c>
      <c r="E1914" s="1" t="n">
        <v>46286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Kyrkan</t>
        </is>
      </c>
      <c r="I1914" t="n">
        <v>21.6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58710-2024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45635</v>
      </c>
      <c r="E1915" s="1" t="n">
        <v>46286</v>
      </c>
      <c r="F1915" t="inlineStr">
        <is>
          <t>VÄSTERNORRLANDS LÄN</t>
        </is>
      </c>
      <c r="G1915" t="inlineStr">
        <is>
          <t>ÖRNSKÖLDSVIK</t>
        </is>
      </c>
      <c r="I1915" t="n">
        <v>2.3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37087-2023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45154</v>
      </c>
      <c r="E1916" s="1" t="n">
        <v>46286</v>
      </c>
      <c r="F1916" t="inlineStr">
        <is>
          <t>VÄSTERNORRLANDS LÄN</t>
        </is>
      </c>
      <c r="G1916" t="inlineStr">
        <is>
          <t>ÖRNSKÖLDSVIK</t>
        </is>
      </c>
      <c r="I1916" t="n">
        <v>4.7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33188-2026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46246</v>
      </c>
      <c r="E1917" s="1" t="n">
        <v>46286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7.7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52416-2023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45225</v>
      </c>
      <c r="E1918" s="1" t="n">
        <v>46286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57888-2023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45247</v>
      </c>
      <c r="E1919" s="1" t="n">
        <v>46286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29501-2026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46203</v>
      </c>
      <c r="E1920" s="1" t="n">
        <v>46286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34014-2023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45124</v>
      </c>
      <c r="E1921" s="1" t="n">
        <v>46286</v>
      </c>
      <c r="F1921" t="inlineStr">
        <is>
          <t>VÄSTERNORRLANDS LÄN</t>
        </is>
      </c>
      <c r="G1921" t="inlineStr">
        <is>
          <t>ÖRNSKÖLDSVIK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34406-2024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45525</v>
      </c>
      <c r="E1922" s="1" t="n">
        <v>46286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33276-2026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46246</v>
      </c>
      <c r="E1923" s="1" t="n">
        <v>46286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29390-2026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46203</v>
      </c>
      <c r="E1924" s="1" t="n">
        <v>46286</v>
      </c>
      <c r="F1924" t="inlineStr">
        <is>
          <t>VÄSTERNORRLANDS LÄN</t>
        </is>
      </c>
      <c r="G1924" t="inlineStr">
        <is>
          <t>ÖRNSKÖLDSVIK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63660-2023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45275</v>
      </c>
      <c r="E1925" s="1" t="n">
        <v>46286</v>
      </c>
      <c r="F1925" t="inlineStr">
        <is>
          <t>VÄSTERNORRLANDS LÄN</t>
        </is>
      </c>
      <c r="G1925" t="inlineStr">
        <is>
          <t>ÖRNSKÖLDSVIK</t>
        </is>
      </c>
      <c r="I1925" t="n">
        <v>16.3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44490-2022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44840</v>
      </c>
      <c r="E1926" s="1" t="n">
        <v>46286</v>
      </c>
      <c r="F1926" t="inlineStr">
        <is>
          <t>VÄSTERNORRLANDS LÄN</t>
        </is>
      </c>
      <c r="G1926" t="inlineStr">
        <is>
          <t>ÖRNSKÖLDSVIK</t>
        </is>
      </c>
      <c r="I1926" t="n">
        <v>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31785-2024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45509</v>
      </c>
      <c r="E1927" s="1" t="n">
        <v>46286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31786-2024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45509</v>
      </c>
      <c r="E1928" s="1" t="n">
        <v>46286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29348-2026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46203</v>
      </c>
      <c r="E1929" s="1" t="n">
        <v>46286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22861-2023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45070</v>
      </c>
      <c r="E1930" s="1" t="n">
        <v>46286</v>
      </c>
      <c r="F1930" t="inlineStr">
        <is>
          <t>VÄSTERNORRLANDS LÄN</t>
        </is>
      </c>
      <c r="G1930" t="inlineStr">
        <is>
          <t>ÖRNSKÖLDSVIK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29357-2026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46286</v>
      </c>
      <c r="F1931" t="inlineStr">
        <is>
          <t>VÄSTERNORRLANDS LÄN</t>
        </is>
      </c>
      <c r="G1931" t="inlineStr">
        <is>
          <t>ÖRNSKÖLDSVIK</t>
        </is>
      </c>
      <c r="I1931" t="n">
        <v>2.5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19651-2026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46134</v>
      </c>
      <c r="E1932" s="1" t="n">
        <v>46286</v>
      </c>
      <c r="F1932" t="inlineStr">
        <is>
          <t>VÄSTERNORRLANDS LÄN</t>
        </is>
      </c>
      <c r="G1932" t="inlineStr">
        <is>
          <t>ÖRNSKÖLDSVIK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39636-2024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45552</v>
      </c>
      <c r="E1933" s="1" t="n">
        <v>46286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6.5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38981-2025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45888</v>
      </c>
      <c r="E1934" s="1" t="n">
        <v>46286</v>
      </c>
      <c r="F1934" t="inlineStr">
        <is>
          <t>VÄSTERNORRLANDS LÄN</t>
        </is>
      </c>
      <c r="G1934" t="inlineStr">
        <is>
          <t>ÖRNSKÖLDSVIK</t>
        </is>
      </c>
      <c r="I1934" t="n">
        <v>1.3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51755-2024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45607</v>
      </c>
      <c r="E1935" s="1" t="n">
        <v>46286</v>
      </c>
      <c r="F1935" t="inlineStr">
        <is>
          <t>VÄSTERNORRLANDS LÄN</t>
        </is>
      </c>
      <c r="G1935" t="inlineStr">
        <is>
          <t>ÖRNSKÖLDSVIK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19655-2026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46134</v>
      </c>
      <c r="E1936" s="1" t="n">
        <v>46286</v>
      </c>
      <c r="F1936" t="inlineStr">
        <is>
          <t>VÄSTERNORRLANDS LÄN</t>
        </is>
      </c>
      <c r="G1936" t="inlineStr">
        <is>
          <t>ÖRNSKÖLDSVIK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30530-2026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46204</v>
      </c>
      <c r="E1937" s="1" t="n">
        <v>46286</v>
      </c>
      <c r="F1937" t="inlineStr">
        <is>
          <t>VÄSTERNORRLANDS LÄN</t>
        </is>
      </c>
      <c r="G1937" t="inlineStr">
        <is>
          <t>ÖRNSKÖLDSVIK</t>
        </is>
      </c>
      <c r="I1937" t="n">
        <v>7.5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30551-2026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46286</v>
      </c>
      <c r="F1938" t="inlineStr">
        <is>
          <t>VÄSTERNORRLANDS LÄN</t>
        </is>
      </c>
      <c r="G1938" t="inlineStr">
        <is>
          <t>ÖRNSKÖLDSVIK</t>
        </is>
      </c>
      <c r="I1938" t="n">
        <v>10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30556-2026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46204</v>
      </c>
      <c r="E1939" s="1" t="n">
        <v>46286</v>
      </c>
      <c r="F1939" t="inlineStr">
        <is>
          <t>VÄSTERNORRLANDS LÄN</t>
        </is>
      </c>
      <c r="G1939" t="inlineStr">
        <is>
          <t>ÖRNSKÖLDSVIK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55023-2023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45237</v>
      </c>
      <c r="E1940" s="1" t="n">
        <v>46286</v>
      </c>
      <c r="F1940" t="inlineStr">
        <is>
          <t>VÄSTERNORRLANDS LÄN</t>
        </is>
      </c>
      <c r="G1940" t="inlineStr">
        <is>
          <t>ÖRNSKÖLDSVIK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19490-2026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46134</v>
      </c>
      <c r="E1941" s="1" t="n">
        <v>46286</v>
      </c>
      <c r="F1941" t="inlineStr">
        <is>
          <t>VÄSTERNORRLANDS LÄN</t>
        </is>
      </c>
      <c r="G1941" t="inlineStr">
        <is>
          <t>ÖRNSKÖLDSVIK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37048-2024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45539</v>
      </c>
      <c r="E1942" s="1" t="n">
        <v>46286</v>
      </c>
      <c r="F1942" t="inlineStr">
        <is>
          <t>VÄSTERNORRLANDS LÄN</t>
        </is>
      </c>
      <c r="G1942" t="inlineStr">
        <is>
          <t>ÖRNSKÖLDSVIK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56991-2024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45628</v>
      </c>
      <c r="E1943" s="1" t="n">
        <v>46286</v>
      </c>
      <c r="F1943" t="inlineStr">
        <is>
          <t>VÄSTERNORRLANDS LÄN</t>
        </is>
      </c>
      <c r="G1943" t="inlineStr">
        <is>
          <t>ÖRNSKÖLDSVIK</t>
        </is>
      </c>
      <c r="I1943" t="n">
        <v>4.9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19492-2026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46134</v>
      </c>
      <c r="E1944" s="1" t="n">
        <v>46286</v>
      </c>
      <c r="F1944" t="inlineStr">
        <is>
          <t>VÄSTERNORRLANDS LÄN</t>
        </is>
      </c>
      <c r="G1944" t="inlineStr">
        <is>
          <t>ÖRNSKÖLDSVIK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19493-2026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46134</v>
      </c>
      <c r="E1945" s="1" t="n">
        <v>46286</v>
      </c>
      <c r="F1945" t="inlineStr">
        <is>
          <t>VÄSTERNORRLANDS LÄN</t>
        </is>
      </c>
      <c r="G1945" t="inlineStr">
        <is>
          <t>ÖRNSKÖLDSVIK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19658-2026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46134</v>
      </c>
      <c r="E1946" s="1" t="n">
        <v>46286</v>
      </c>
      <c r="F1946" t="inlineStr">
        <is>
          <t>VÄSTERNORRLANDS LÄN</t>
        </is>
      </c>
      <c r="G1946" t="inlineStr">
        <is>
          <t>ÖRNSKÖLDSVIK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38296-2024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45545</v>
      </c>
      <c r="E1947" s="1" t="n">
        <v>46286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63044-2023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45272</v>
      </c>
      <c r="E1948" s="1" t="n">
        <v>46286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Övriga Aktiebolag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63916-2023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45278</v>
      </c>
      <c r="E1949" s="1" t="n">
        <v>46286</v>
      </c>
      <c r="F1949" t="inlineStr">
        <is>
          <t>VÄSTERNORRLANDS LÄN</t>
        </is>
      </c>
      <c r="G1949" t="inlineStr">
        <is>
          <t>ÖRNSKÖLDSVIK</t>
        </is>
      </c>
      <c r="I1949" t="n">
        <v>2.5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42566-2024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45565</v>
      </c>
      <c r="E1950" s="1" t="n">
        <v>46286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2.8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19657-2026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46134</v>
      </c>
      <c r="E1951" s="1" t="n">
        <v>46286</v>
      </c>
      <c r="F1951" t="inlineStr">
        <is>
          <t>VÄSTERNORRLANDS LÄN</t>
        </is>
      </c>
      <c r="G1951" t="inlineStr">
        <is>
          <t>ÖRNSKÖLDSVIK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19660-2026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46134</v>
      </c>
      <c r="E1952" s="1" t="n">
        <v>46286</v>
      </c>
      <c r="F1952" t="inlineStr">
        <is>
          <t>VÄSTERNORRLANDS LÄN</t>
        </is>
      </c>
      <c r="G1952" t="inlineStr">
        <is>
          <t>ÖRNSKÖLDSVIK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37524-2024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45541</v>
      </c>
      <c r="E1953" s="1" t="n">
        <v>46286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2.4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19121-2024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45427</v>
      </c>
      <c r="E1954" s="1" t="n">
        <v>46286</v>
      </c>
      <c r="F1954" t="inlineStr">
        <is>
          <t>VÄSTERNORRLANDS LÄN</t>
        </is>
      </c>
      <c r="G1954" t="inlineStr">
        <is>
          <t>ÖRNSKÖLDSVIK</t>
        </is>
      </c>
      <c r="I1954" t="n">
        <v>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37338-2023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45156</v>
      </c>
      <c r="E1955" s="1" t="n">
        <v>46286</v>
      </c>
      <c r="F1955" t="inlineStr">
        <is>
          <t>VÄSTERNORRLANDS LÄN</t>
        </is>
      </c>
      <c r="G1955" t="inlineStr">
        <is>
          <t>ÖRNSKÖLDSVIK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42035-2025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45903</v>
      </c>
      <c r="E1956" s="1" t="n">
        <v>46286</v>
      </c>
      <c r="F1956" t="inlineStr">
        <is>
          <t>VÄSTERNORRLANDS LÄN</t>
        </is>
      </c>
      <c r="G1956" t="inlineStr">
        <is>
          <t>ÖRNSKÖLDSVIK</t>
        </is>
      </c>
      <c r="I1956" t="n">
        <v>6.8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30534-2026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46204</v>
      </c>
      <c r="E1957" s="1" t="n">
        <v>46286</v>
      </c>
      <c r="F1957" t="inlineStr">
        <is>
          <t>VÄSTERNORRLANDS LÄN</t>
        </is>
      </c>
      <c r="G1957" t="inlineStr">
        <is>
          <t>ÖRNSKÖLDSVIK</t>
        </is>
      </c>
      <c r="I1957" t="n">
        <v>3.1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30546-2026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46204</v>
      </c>
      <c r="E1958" s="1" t="n">
        <v>46286</v>
      </c>
      <c r="F1958" t="inlineStr">
        <is>
          <t>VÄSTERNORRLANDS LÄN</t>
        </is>
      </c>
      <c r="G1958" t="inlineStr">
        <is>
          <t>ÖRNSKÖLDSVIK</t>
        </is>
      </c>
      <c r="I1958" t="n">
        <v>17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30558-2026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46286</v>
      </c>
      <c r="F1959" t="inlineStr">
        <is>
          <t>VÄSTERNORRLANDS LÄN</t>
        </is>
      </c>
      <c r="G1959" t="inlineStr">
        <is>
          <t>ÖRNSKÖLDSVIK</t>
        </is>
      </c>
      <c r="I1959" t="n">
        <v>4.4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33415-2026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46247</v>
      </c>
      <c r="E1960" s="1" t="n">
        <v>46286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196-2025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45659</v>
      </c>
      <c r="E1961" s="1" t="n">
        <v>46286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22289-2024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45446</v>
      </c>
      <c r="E1962" s="1" t="n">
        <v>46286</v>
      </c>
      <c r="F1962" t="inlineStr">
        <is>
          <t>VÄSTERNORRLANDS LÄN</t>
        </is>
      </c>
      <c r="G1962" t="inlineStr">
        <is>
          <t>ÖRNSKÖLDSVIK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27800-2024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45475</v>
      </c>
      <c r="E1963" s="1" t="n">
        <v>46286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29663-2026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46204</v>
      </c>
      <c r="E1964" s="1" t="n">
        <v>46286</v>
      </c>
      <c r="F1964" t="inlineStr">
        <is>
          <t>VÄSTERNORRLANDS LÄN</t>
        </is>
      </c>
      <c r="G1964" t="inlineStr">
        <is>
          <t>ÖRNSKÖLDSVIK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29510-2026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46203</v>
      </c>
      <c r="E1965" s="1" t="n">
        <v>46286</v>
      </c>
      <c r="F1965" t="inlineStr">
        <is>
          <t>VÄSTERNORRLANDS LÄN</t>
        </is>
      </c>
      <c r="G1965" t="inlineStr">
        <is>
          <t>ÖRNSKÖLDSVIK</t>
        </is>
      </c>
      <c r="I1965" t="n">
        <v>3.8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20325-2026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46139</v>
      </c>
      <c r="E1966" s="1" t="n">
        <v>46286</v>
      </c>
      <c r="F1966" t="inlineStr">
        <is>
          <t>VÄSTERNORRLANDS LÄN</t>
        </is>
      </c>
      <c r="G1966" t="inlineStr">
        <is>
          <t>ÖRNSKÖLDSVIK</t>
        </is>
      </c>
      <c r="I1966" t="n">
        <v>3.5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24648-2026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46171</v>
      </c>
      <c r="E1967" s="1" t="n">
        <v>46286</v>
      </c>
      <c r="F1967" t="inlineStr">
        <is>
          <t>VÄSTERNORRLANDS LÄN</t>
        </is>
      </c>
      <c r="G1967" t="inlineStr">
        <is>
          <t>ÖRNSKÖLDSVIK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29684-2026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46204</v>
      </c>
      <c r="E1968" s="1" t="n">
        <v>46286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4103-2024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45323</v>
      </c>
      <c r="E1969" s="1" t="n">
        <v>46286</v>
      </c>
      <c r="F1969" t="inlineStr">
        <is>
          <t>VÄSTERNORRLANDS LÄN</t>
        </is>
      </c>
      <c r="G1969" t="inlineStr">
        <is>
          <t>ÖRNSKÖLDSVIK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29779-2026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46204</v>
      </c>
      <c r="E1970" s="1" t="n">
        <v>46286</v>
      </c>
      <c r="F1970" t="inlineStr">
        <is>
          <t>VÄSTERNORRLANDS LÄN</t>
        </is>
      </c>
      <c r="G1970" t="inlineStr">
        <is>
          <t>ÖRNSKÖLDSVIK</t>
        </is>
      </c>
      <c r="I1970" t="n">
        <v>3.5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29669-2026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46204</v>
      </c>
      <c r="E1971" s="1" t="n">
        <v>46286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25002-2024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45461</v>
      </c>
      <c r="E1972" s="1" t="n">
        <v>46286</v>
      </c>
      <c r="F1972" t="inlineStr">
        <is>
          <t>VÄSTERNORRLANDS LÄN</t>
        </is>
      </c>
      <c r="G1972" t="inlineStr">
        <is>
          <t>ÖRNSKÖLDSVIK</t>
        </is>
      </c>
      <c r="I1972" t="n">
        <v>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30207-2024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45488</v>
      </c>
      <c r="E1973" s="1" t="n">
        <v>46286</v>
      </c>
      <c r="F1973" t="inlineStr">
        <is>
          <t>VÄSTERNORRLANDS LÄN</t>
        </is>
      </c>
      <c r="G1973" t="inlineStr">
        <is>
          <t>ÖRNSKÖLDSVIK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30209-2024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45488</v>
      </c>
      <c r="E1974" s="1" t="n">
        <v>46286</v>
      </c>
      <c r="F1974" t="inlineStr">
        <is>
          <t>VÄSTERNORRLANDS LÄN</t>
        </is>
      </c>
      <c r="G1974" t="inlineStr">
        <is>
          <t>ÖRNSKÖLDSVIK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20294-2026</t>
        </is>
      </c>
      <c r="B1975" t="inlineStr">
        <is>
          <t>avverkningsanmälan</t>
        </is>
      </c>
      <c r="C1975" t="inlineStr">
        <is>
          <t>Avverkning för att bevara och utveckla /försöksver</t>
        </is>
      </c>
      <c r="D1975" s="1" t="n">
        <v>46139</v>
      </c>
      <c r="E1975" s="1" t="n">
        <v>46286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29685-2026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46204</v>
      </c>
      <c r="E1976" s="1" t="n">
        <v>46286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20217-2023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45054</v>
      </c>
      <c r="E1977" s="1" t="n">
        <v>46286</v>
      </c>
      <c r="F1977" t="inlineStr">
        <is>
          <t>VÄSTERNORRLANDS LÄN</t>
        </is>
      </c>
      <c r="G1977" t="inlineStr">
        <is>
          <t>ÖRNSKÖLDSVIK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16692-2024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45408</v>
      </c>
      <c r="E1978" s="1" t="n">
        <v>46286</v>
      </c>
      <c r="F1978" t="inlineStr">
        <is>
          <t>VÄSTERNORRLANDS LÄN</t>
        </is>
      </c>
      <c r="G1978" t="inlineStr">
        <is>
          <t>ÖRNSKÖLDSVIK</t>
        </is>
      </c>
      <c r="I1978" t="n">
        <v>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62968-2021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44505</v>
      </c>
      <c r="E1979" s="1" t="n">
        <v>46286</v>
      </c>
      <c r="F1979" t="inlineStr">
        <is>
          <t>VÄSTERNORRLANDS LÄN</t>
        </is>
      </c>
      <c r="G1979" t="inlineStr">
        <is>
          <t>ÖRNSKÖLDSVIK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33378-2026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46247</v>
      </c>
      <c r="E1980" s="1" t="n">
        <v>46286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Kommuner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43928-2023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45182</v>
      </c>
      <c r="E1981" s="1" t="n">
        <v>46286</v>
      </c>
      <c r="F1981" t="inlineStr">
        <is>
          <t>VÄSTERNORRLANDS LÄN</t>
        </is>
      </c>
      <c r="G1981" t="inlineStr">
        <is>
          <t>ÖRNSKÖLDSVIK</t>
        </is>
      </c>
      <c r="I1981" t="n">
        <v>0.4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33332-2026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46246</v>
      </c>
      <c r="E1982" s="1" t="n">
        <v>46286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26723-2024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45470</v>
      </c>
      <c r="E1983" s="1" t="n">
        <v>46286</v>
      </c>
      <c r="F1983" t="inlineStr">
        <is>
          <t>VÄSTERNORRLANDS LÄN</t>
        </is>
      </c>
      <c r="G1983" t="inlineStr">
        <is>
          <t>ÖRNSKÖLDSVIK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21890-2023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45068</v>
      </c>
      <c r="E1984" s="1" t="n">
        <v>46286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Kyrkan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45671-2025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45923</v>
      </c>
      <c r="E1985" s="1" t="n">
        <v>46286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3.7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33410-2026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46247</v>
      </c>
      <c r="E1986" s="1" t="n">
        <v>46286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29391-2026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46203</v>
      </c>
      <c r="E1987" s="1" t="n">
        <v>46286</v>
      </c>
      <c r="F1987" t="inlineStr">
        <is>
          <t>VÄSTERNORRLANDS LÄN</t>
        </is>
      </c>
      <c r="G1987" t="inlineStr">
        <is>
          <t>ÖRNSKÖLDSVIK</t>
        </is>
      </c>
      <c r="I1987" t="n">
        <v>2.3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30263-2024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45489</v>
      </c>
      <c r="E1988" s="1" t="n">
        <v>46286</v>
      </c>
      <c r="F1988" t="inlineStr">
        <is>
          <t>VÄSTERNORRLANDS LÄN</t>
        </is>
      </c>
      <c r="G1988" t="inlineStr">
        <is>
          <t>ÖRNSKÖLDSVIK</t>
        </is>
      </c>
      <c r="I1988" t="n">
        <v>11.5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29392-2026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46203</v>
      </c>
      <c r="E1989" s="1" t="n">
        <v>46286</v>
      </c>
      <c r="F1989" t="inlineStr">
        <is>
          <t>VÄSTERNORRLANDS LÄN</t>
        </is>
      </c>
      <c r="G1989" t="inlineStr">
        <is>
          <t>ÖRNSKÖLDSVIK</t>
        </is>
      </c>
      <c r="I1989" t="n">
        <v>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29743-2026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46204</v>
      </c>
      <c r="E1990" s="1" t="n">
        <v>46286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2.3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29749-2026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46204</v>
      </c>
      <c r="E1991" s="1" t="n">
        <v>46286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62865-2025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46008</v>
      </c>
      <c r="E1992" s="1" t="n">
        <v>46286</v>
      </c>
      <c r="F1992" t="inlineStr">
        <is>
          <t>VÄSTERNORRLANDS LÄN</t>
        </is>
      </c>
      <c r="G1992" t="inlineStr">
        <is>
          <t>ÖRNSKÖLDSVIK</t>
        </is>
      </c>
      <c r="I1992" t="n">
        <v>11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44210-2023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45188</v>
      </c>
      <c r="E1993" s="1" t="n">
        <v>46286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29735-2026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46286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5.3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5437-2025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45692</v>
      </c>
      <c r="E1995" s="1" t="n">
        <v>46286</v>
      </c>
      <c r="F1995" t="inlineStr">
        <is>
          <t>VÄSTERNORRLANDS LÄN</t>
        </is>
      </c>
      <c r="G1995" t="inlineStr">
        <is>
          <t>ÖRNSKÖLDSVIK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51302-2024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45604</v>
      </c>
      <c r="E1996" s="1" t="n">
        <v>46286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43245-2023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45183</v>
      </c>
      <c r="E1997" s="1" t="n">
        <v>46286</v>
      </c>
      <c r="F1997" t="inlineStr">
        <is>
          <t>VÄSTERNORRLANDS LÄN</t>
        </is>
      </c>
      <c r="G1997" t="inlineStr">
        <is>
          <t>ÖRNSKÖLDSVIK</t>
        </is>
      </c>
      <c r="I1997" t="n">
        <v>3.2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33253-2026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46246</v>
      </c>
      <c r="E1998" s="1" t="n">
        <v>46286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33470-2026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46247</v>
      </c>
      <c r="E1999" s="1" t="n">
        <v>46286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3.8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33472-2026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46247</v>
      </c>
      <c r="E2000" s="1" t="n">
        <v>46286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29311-2026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46202</v>
      </c>
      <c r="E2001" s="1" t="n">
        <v>46286</v>
      </c>
      <c r="F2001" t="inlineStr">
        <is>
          <t>VÄSTERNORRLANDS LÄN</t>
        </is>
      </c>
      <c r="G2001" t="inlineStr">
        <is>
          <t>ÖRNSKÖLDSVIK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33218-2026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46246</v>
      </c>
      <c r="E2002" s="1" t="n">
        <v>46286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5.6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33381-2026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46247</v>
      </c>
      <c r="E2003" s="1" t="n">
        <v>46286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9.800000000000001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40590-2023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45170</v>
      </c>
      <c r="E2004" s="1" t="n">
        <v>46286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33481-2026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46247</v>
      </c>
      <c r="E2005" s="1" t="n">
        <v>46286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23141-2026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46161</v>
      </c>
      <c r="E2006" s="1" t="n">
        <v>46286</v>
      </c>
      <c r="F2006" t="inlineStr">
        <is>
          <t>VÄSTERNORRLANDS LÄN</t>
        </is>
      </c>
      <c r="G2006" t="inlineStr">
        <is>
          <t>ÖRNSKÖLDSVIK</t>
        </is>
      </c>
      <c r="I2006" t="n">
        <v>2.4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30544-2026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46286</v>
      </c>
      <c r="F2007" t="inlineStr">
        <is>
          <t>VÄSTERNORRLANDS LÄN</t>
        </is>
      </c>
      <c r="G2007" t="inlineStr">
        <is>
          <t>ÖRNSKÖLDSVIK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29740-2026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46204</v>
      </c>
      <c r="E2008" s="1" t="n">
        <v>46286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29750-2026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46286</v>
      </c>
      <c r="F2009" t="inlineStr">
        <is>
          <t>VÄSTERNORRLANDS LÄN</t>
        </is>
      </c>
      <c r="G2009" t="inlineStr">
        <is>
          <t>ÖRNSKÖLDSVIK</t>
        </is>
      </c>
      <c r="I2009" t="n">
        <v>11.1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29752-2026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46286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29780-2026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46204</v>
      </c>
      <c r="E2011" s="1" t="n">
        <v>46286</v>
      </c>
      <c r="F2011" t="inlineStr">
        <is>
          <t>VÄSTERNORRLANDS LÄN</t>
        </is>
      </c>
      <c r="G2011" t="inlineStr">
        <is>
          <t>ÖRNSKÖLDSVIK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51717-2024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45607</v>
      </c>
      <c r="E2012" s="1" t="n">
        <v>46286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33206-2026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46246</v>
      </c>
      <c r="E2013" s="1" t="n">
        <v>46286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19446-2025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45770</v>
      </c>
      <c r="E2014" s="1" t="n">
        <v>46286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11033-2025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45723</v>
      </c>
      <c r="E2015" s="1" t="n">
        <v>46286</v>
      </c>
      <c r="F2015" t="inlineStr">
        <is>
          <t>VÄSTERNORRLANDS LÄN</t>
        </is>
      </c>
      <c r="G2015" t="inlineStr">
        <is>
          <t>ÖRNSKÖLDSVIK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49494-2024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45596</v>
      </c>
      <c r="E2016" s="1" t="n">
        <v>46286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29692-2026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46204</v>
      </c>
      <c r="E2017" s="1" t="n">
        <v>46286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29325-2026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46286</v>
      </c>
      <c r="F2018" t="inlineStr">
        <is>
          <t>VÄSTERNORRLANDS LÄN</t>
        </is>
      </c>
      <c r="G2018" t="inlineStr">
        <is>
          <t>ÖRNSKÖLDSVIK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33353-2026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46247</v>
      </c>
      <c r="E2019" s="1" t="n">
        <v>46286</v>
      </c>
      <c r="F2019" t="inlineStr">
        <is>
          <t>VÄSTERNORRLANDS LÄN</t>
        </is>
      </c>
      <c r="G2019" t="inlineStr">
        <is>
          <t>ÖRNSKÖLDSVIK</t>
        </is>
      </c>
      <c r="I2019" t="n">
        <v>1.8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33476-2026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46247</v>
      </c>
      <c r="E2020" s="1" t="n">
        <v>46286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8983-2025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45713</v>
      </c>
      <c r="E2021" s="1" t="n">
        <v>46286</v>
      </c>
      <c r="F2021" t="inlineStr">
        <is>
          <t>VÄSTERNORRLANDS LÄN</t>
        </is>
      </c>
      <c r="G2021" t="inlineStr">
        <is>
          <t>ÖRNSKÖLDSVIK</t>
        </is>
      </c>
      <c r="I2021" t="n">
        <v>3.6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40153-2024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45554</v>
      </c>
      <c r="E2022" s="1" t="n">
        <v>46286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33720-2026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46251</v>
      </c>
      <c r="E2023" s="1" t="n">
        <v>46286</v>
      </c>
      <c r="F2023" t="inlineStr">
        <is>
          <t>VÄSTERNORRLANDS LÄN</t>
        </is>
      </c>
      <c r="G2023" t="inlineStr">
        <is>
          <t>ÖRNSKÖLDSVIK</t>
        </is>
      </c>
      <c r="I2023" t="n">
        <v>8.300000000000001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48609-2024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45593</v>
      </c>
      <c r="E2024" s="1" t="n">
        <v>46286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29788-2026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46205</v>
      </c>
      <c r="E2025" s="1" t="n">
        <v>46286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5765-2025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45694</v>
      </c>
      <c r="E2026" s="1" t="n">
        <v>46286</v>
      </c>
      <c r="F2026" t="inlineStr">
        <is>
          <t>VÄSTERNORRLANDS LÄN</t>
        </is>
      </c>
      <c r="G2026" t="inlineStr">
        <is>
          <t>ÖRNSKÖLDSVIK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37133-2024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45539</v>
      </c>
      <c r="E2027" s="1" t="n">
        <v>46286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29843-2026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46205</v>
      </c>
      <c r="E2028" s="1" t="n">
        <v>46286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6.2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29915-2026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46205</v>
      </c>
      <c r="E2029" s="1" t="n">
        <v>46286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6.1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52719-2024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45610</v>
      </c>
      <c r="E2030" s="1" t="n">
        <v>46286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33368-2024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45519</v>
      </c>
      <c r="E2031" s="1" t="n">
        <v>46286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33455-2026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46247</v>
      </c>
      <c r="E2032" s="1" t="n">
        <v>46286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Kommuner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47667-2023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45203</v>
      </c>
      <c r="E2033" s="1" t="n">
        <v>46286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41045-2024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45559</v>
      </c>
      <c r="E2034" s="1" t="n">
        <v>46286</v>
      </c>
      <c r="F2034" t="inlineStr">
        <is>
          <t>VÄSTERNORRLANDS LÄN</t>
        </is>
      </c>
      <c r="G2034" t="inlineStr">
        <is>
          <t>ÖRNSKÖLDSVIK</t>
        </is>
      </c>
      <c r="I2034" t="n">
        <v>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58530-2023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45251</v>
      </c>
      <c r="E2035" s="1" t="n">
        <v>46286</v>
      </c>
      <c r="F2035" t="inlineStr">
        <is>
          <t>VÄSTERNORRLANDS LÄN</t>
        </is>
      </c>
      <c r="G2035" t="inlineStr">
        <is>
          <t>ÖRNSKÖLDSVIK</t>
        </is>
      </c>
      <c r="I2035" t="n">
        <v>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30071-2026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46206</v>
      </c>
      <c r="E2036" s="1" t="n">
        <v>46286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7.9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29879-2026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46205</v>
      </c>
      <c r="E2037" s="1" t="n">
        <v>46286</v>
      </c>
      <c r="F2037" t="inlineStr">
        <is>
          <t>VÄSTERNORRLANDS LÄN</t>
        </is>
      </c>
      <c r="G2037" t="inlineStr">
        <is>
          <t>ÖRNSKÖLDSVIK</t>
        </is>
      </c>
      <c r="I2037" t="n">
        <v>11.4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29889-2026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46205</v>
      </c>
      <c r="E2038" s="1" t="n">
        <v>46286</v>
      </c>
      <c r="F2038" t="inlineStr">
        <is>
          <t>VÄSTERNORRLANDS LÄN</t>
        </is>
      </c>
      <c r="G2038" t="inlineStr">
        <is>
          <t>ÖRNSKÖLDSVIK</t>
        </is>
      </c>
      <c r="I2038" t="n">
        <v>4.3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29906-2026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46286</v>
      </c>
      <c r="F2039" t="inlineStr">
        <is>
          <t>VÄSTERNORRLANDS LÄN</t>
        </is>
      </c>
      <c r="G2039" t="inlineStr">
        <is>
          <t>ÖRNSKÖLDSVIK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29901-2026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46205</v>
      </c>
      <c r="E2040" s="1" t="n">
        <v>46286</v>
      </c>
      <c r="F2040" t="inlineStr">
        <is>
          <t>VÄSTERNORRLANDS LÄN</t>
        </is>
      </c>
      <c r="G2040" t="inlineStr">
        <is>
          <t>ÖRNSKÖLDSVIK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30313-2026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46206</v>
      </c>
      <c r="E2041" s="1" t="n">
        <v>46286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22.6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29787-2026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46205</v>
      </c>
      <c r="E2042" s="1" t="n">
        <v>46286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2.3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30014-2026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46206</v>
      </c>
      <c r="E2043" s="1" t="n">
        <v>46286</v>
      </c>
      <c r="F2043" t="inlineStr">
        <is>
          <t>VÄSTERNORRLANDS LÄN</t>
        </is>
      </c>
      <c r="G2043" t="inlineStr">
        <is>
          <t>ÖRNSKÖLDSVIK</t>
        </is>
      </c>
      <c r="I2043" t="n">
        <v>3.2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33814-2026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46251</v>
      </c>
      <c r="E2044" s="1" t="n">
        <v>46286</v>
      </c>
      <c r="F2044" t="inlineStr">
        <is>
          <t>VÄSTERNORRLANDS LÄN</t>
        </is>
      </c>
      <c r="G2044" t="inlineStr">
        <is>
          <t>ÖRNSKÖLDSVIK</t>
        </is>
      </c>
      <c r="I2044" t="n">
        <v>0.2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30308-2026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46206</v>
      </c>
      <c r="E2045" s="1" t="n">
        <v>46286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SCA</t>
        </is>
      </c>
      <c r="I2045" t="n">
        <v>3.5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33495-2026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46248</v>
      </c>
      <c r="E2046" s="1" t="n">
        <v>46286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1.9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33497-2026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46248</v>
      </c>
      <c r="E2047" s="1" t="n">
        <v>46286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33728-2026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46251</v>
      </c>
      <c r="E2048" s="1" t="n">
        <v>46286</v>
      </c>
      <c r="F2048" t="inlineStr">
        <is>
          <t>VÄSTERNORRLANDS LÄN</t>
        </is>
      </c>
      <c r="G2048" t="inlineStr">
        <is>
          <t>ÖRNSKÖLDSVIK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33743-2026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46251</v>
      </c>
      <c r="E2049" s="1" t="n">
        <v>46286</v>
      </c>
      <c r="F2049" t="inlineStr">
        <is>
          <t>VÄSTERNORRLANDS LÄN</t>
        </is>
      </c>
      <c r="G2049" t="inlineStr">
        <is>
          <t>ÖRNSKÖLDSVIK</t>
        </is>
      </c>
      <c r="I2049" t="n">
        <v>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33755-2026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46251</v>
      </c>
      <c r="E2050" s="1" t="n">
        <v>46286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30223-2026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46206</v>
      </c>
      <c r="E2051" s="1" t="n">
        <v>46286</v>
      </c>
      <c r="F2051" t="inlineStr">
        <is>
          <t>VÄSTERNORRLANDS LÄN</t>
        </is>
      </c>
      <c r="G2051" t="inlineStr">
        <is>
          <t>ÖRNSKÖLDSVIK</t>
        </is>
      </c>
      <c r="I2051" t="n">
        <v>3.5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14298-2025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45740</v>
      </c>
      <c r="E2052" s="1" t="n">
        <v>46286</v>
      </c>
      <c r="F2052" t="inlineStr">
        <is>
          <t>VÄSTERNORRLANDS LÄN</t>
        </is>
      </c>
      <c r="G2052" t="inlineStr">
        <is>
          <t>ÖRNSKÖLDSVIK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19532-2025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45770</v>
      </c>
      <c r="E2053" s="1" t="n">
        <v>46286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54714-2022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44881</v>
      </c>
      <c r="E2054" s="1" t="n">
        <v>46286</v>
      </c>
      <c r="F2054" t="inlineStr">
        <is>
          <t>VÄSTERNORRLANDS LÄN</t>
        </is>
      </c>
      <c r="G2054" t="inlineStr">
        <is>
          <t>ÖRNSKÖLDSVIK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30309-2026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46206</v>
      </c>
      <c r="E2055" s="1" t="n">
        <v>46286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27.1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33800-2026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46251</v>
      </c>
      <c r="E2056" s="1" t="n">
        <v>46286</v>
      </c>
      <c r="F2056" t="inlineStr">
        <is>
          <t>VÄSTERNORRLANDS LÄN</t>
        </is>
      </c>
      <c r="G2056" t="inlineStr">
        <is>
          <t>ÖRNSKÖLDSVIK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29809-2026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46205</v>
      </c>
      <c r="E2057" s="1" t="n">
        <v>46286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29818-2026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46205</v>
      </c>
      <c r="E2058" s="1" t="n">
        <v>46286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10.1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7820-2025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45706</v>
      </c>
      <c r="E2059" s="1" t="n">
        <v>46286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1795-2025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45670</v>
      </c>
      <c r="E2060" s="1" t="n">
        <v>46286</v>
      </c>
      <c r="F2060" t="inlineStr">
        <is>
          <t>VÄSTERNORRLANDS LÄN</t>
        </is>
      </c>
      <c r="G2060" t="inlineStr">
        <is>
          <t>ÖRNSKÖLDSVIK</t>
        </is>
      </c>
      <c r="I2060" t="n">
        <v>2.1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30306-2026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46206</v>
      </c>
      <c r="E2061" s="1" t="n">
        <v>46286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30307-2026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46206</v>
      </c>
      <c r="E2062" s="1" t="n">
        <v>46286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22.1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29786-2026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46205</v>
      </c>
      <c r="E2063" s="1" t="n">
        <v>46286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7.4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35472-2024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45531</v>
      </c>
      <c r="E2064" s="1" t="n">
        <v>46286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37924-2024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45544</v>
      </c>
      <c r="E2065" s="1" t="n">
        <v>46286</v>
      </c>
      <c r="F2065" t="inlineStr">
        <is>
          <t>VÄSTERNORRLANDS LÄN</t>
        </is>
      </c>
      <c r="G2065" t="inlineStr">
        <is>
          <t>ÖRNSKÖLDSVIK</t>
        </is>
      </c>
      <c r="I2065" t="n">
        <v>4.5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29885-2026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46205</v>
      </c>
      <c r="E2066" s="1" t="n">
        <v>46286</v>
      </c>
      <c r="F2066" t="inlineStr">
        <is>
          <t>VÄSTERNORRLANDS LÄN</t>
        </is>
      </c>
      <c r="G2066" t="inlineStr">
        <is>
          <t>ÖRNSKÖLDSVIK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29909-2026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46205</v>
      </c>
      <c r="E2067" s="1" t="n">
        <v>46286</v>
      </c>
      <c r="F2067" t="inlineStr">
        <is>
          <t>VÄSTERNORRLANDS LÄN</t>
        </is>
      </c>
      <c r="G2067" t="inlineStr">
        <is>
          <t>ÖRNSKÖLDSVIK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29942-2026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46205</v>
      </c>
      <c r="E2068" s="1" t="n">
        <v>46286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6.3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33917-2024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45523</v>
      </c>
      <c r="E2069" s="1" t="n">
        <v>46286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30206-2026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46206</v>
      </c>
      <c r="E2070" s="1" t="n">
        <v>46286</v>
      </c>
      <c r="F2070" t="inlineStr">
        <is>
          <t>VÄSTERNORRLANDS LÄN</t>
        </is>
      </c>
      <c r="G2070" t="inlineStr">
        <is>
          <t>ÖRNSKÖLDSVIK</t>
        </is>
      </c>
      <c r="I2070" t="n">
        <v>15.2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56566-2024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45625</v>
      </c>
      <c r="E2071" s="1" t="n">
        <v>46286</v>
      </c>
      <c r="F2071" t="inlineStr">
        <is>
          <t>VÄSTERNORRLANDS LÄN</t>
        </is>
      </c>
      <c r="G2071" t="inlineStr">
        <is>
          <t>ÖRNSKÖLDSVIK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29850-2026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46205</v>
      </c>
      <c r="E2072" s="1" t="n">
        <v>46286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4.8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33541-2026</t>
        </is>
      </c>
      <c r="B2073" t="inlineStr">
        <is>
          <t>avverkningsanmälan</t>
        </is>
      </c>
      <c r="C2073" t="inlineStr">
        <is>
          <t>Avverkning för att bevara och utveckla /försöksver</t>
        </is>
      </c>
      <c r="D2073" s="1" t="n">
        <v>46248</v>
      </c>
      <c r="E2073" s="1" t="n">
        <v>46286</v>
      </c>
      <c r="F2073" t="inlineStr">
        <is>
          <t>VÄSTERNORRLANDS LÄN</t>
        </is>
      </c>
      <c r="G2073" t="inlineStr">
        <is>
          <t>ÖRNSKÖLDSVIK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44431-2022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44839</v>
      </c>
      <c r="E2074" s="1" t="n">
        <v>46286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33655-2026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46247</v>
      </c>
      <c r="E2075" s="1" t="n">
        <v>46286</v>
      </c>
      <c r="F2075" t="inlineStr">
        <is>
          <t>VÄSTERNORRLANDS LÄN</t>
        </is>
      </c>
      <c r="G2075" t="inlineStr">
        <is>
          <t>ÖRNSKÖLDSVIK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44865-2024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45575</v>
      </c>
      <c r="E2076" s="1" t="n">
        <v>46286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29940-2026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46205</v>
      </c>
      <c r="E2077" s="1" t="n">
        <v>46286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6.1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29973-2026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46205</v>
      </c>
      <c r="E2078" s="1" t="n">
        <v>46286</v>
      </c>
      <c r="F2078" t="inlineStr">
        <is>
          <t>VÄSTERNORRLANDS LÄN</t>
        </is>
      </c>
      <c r="G2078" t="inlineStr">
        <is>
          <t>ÖRNSKÖLDSVIK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13161-2025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45734</v>
      </c>
      <c r="E2079" s="1" t="n">
        <v>46286</v>
      </c>
      <c r="F2079" t="inlineStr">
        <is>
          <t>VÄSTERNORRLANDS LÄN</t>
        </is>
      </c>
      <c r="G2079" t="inlineStr">
        <is>
          <t>ÖRNSKÖLDSVIK</t>
        </is>
      </c>
      <c r="I2079" t="n">
        <v>2.8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33785-2026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46251</v>
      </c>
      <c r="E2080" s="1" t="n">
        <v>46286</v>
      </c>
      <c r="F2080" t="inlineStr">
        <is>
          <t>VÄSTERNORRLANDS LÄN</t>
        </is>
      </c>
      <c r="G2080" t="inlineStr">
        <is>
          <t>ÖRNSKÖLDSVIK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30013-2026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46206</v>
      </c>
      <c r="E2081" s="1" t="n">
        <v>46286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17356-2023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45033</v>
      </c>
      <c r="E2082" s="1" t="n">
        <v>46286</v>
      </c>
      <c r="F2082" t="inlineStr">
        <is>
          <t>VÄSTERNORRLANDS LÄN</t>
        </is>
      </c>
      <c r="G2082" t="inlineStr">
        <is>
          <t>ÖRNSKÖLDSVIK</t>
        </is>
      </c>
      <c r="I2082" t="n">
        <v>18.3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62285-2023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45267</v>
      </c>
      <c r="E2083" s="1" t="n">
        <v>46286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30029-2026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46206</v>
      </c>
      <c r="E2084" s="1" t="n">
        <v>46286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33838-2026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46251</v>
      </c>
      <c r="E2085" s="1" t="n">
        <v>46286</v>
      </c>
      <c r="F2085" t="inlineStr">
        <is>
          <t>VÄSTERNORRLANDS LÄN</t>
        </is>
      </c>
      <c r="G2085" t="inlineStr">
        <is>
          <t>ÖRNSKÖLDSVIK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13816-2024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45390</v>
      </c>
      <c r="E2086" s="1" t="n">
        <v>46286</v>
      </c>
      <c r="F2086" t="inlineStr">
        <is>
          <t>VÄSTERNORRLANDS LÄN</t>
        </is>
      </c>
      <c r="G2086" t="inlineStr">
        <is>
          <t>ÖRNSKÖLDSVIK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29846-2026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46205</v>
      </c>
      <c r="E2087" s="1" t="n">
        <v>46286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13.6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33744-2026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46251</v>
      </c>
      <c r="E2088" s="1" t="n">
        <v>46286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33776-2026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46251</v>
      </c>
      <c r="E2089" s="1" t="n">
        <v>46286</v>
      </c>
      <c r="F2089" t="inlineStr">
        <is>
          <t>VÄSTERNORRLANDS LÄN</t>
        </is>
      </c>
      <c r="G2089" t="inlineStr">
        <is>
          <t>ÖRNSKÖLDSVIK</t>
        </is>
      </c>
      <c r="I2089" t="n">
        <v>3.9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33786-2026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46251</v>
      </c>
      <c r="E2090" s="1" t="n">
        <v>46286</v>
      </c>
      <c r="F2090" t="inlineStr">
        <is>
          <t>VÄSTERNORRLANDS LÄN</t>
        </is>
      </c>
      <c r="G2090" t="inlineStr">
        <is>
          <t>ÖRNSKÖLDSVIK</t>
        </is>
      </c>
      <c r="I2090" t="n">
        <v>4.8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29862-2026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46205</v>
      </c>
      <c r="E2091" s="1" t="n">
        <v>46286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29872-2026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46205</v>
      </c>
      <c r="E2092" s="1" t="n">
        <v>46286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29880-2026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46205</v>
      </c>
      <c r="E2093" s="1" t="n">
        <v>46286</v>
      </c>
      <c r="F2093" t="inlineStr">
        <is>
          <t>VÄSTERNORRLANDS LÄN</t>
        </is>
      </c>
      <c r="G2093" t="inlineStr">
        <is>
          <t>ÖRNSKÖLDSVIK</t>
        </is>
      </c>
      <c r="I2093" t="n">
        <v>3.4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29883-2026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46205</v>
      </c>
      <c r="E2094" s="1" t="n">
        <v>46286</v>
      </c>
      <c r="F2094" t="inlineStr">
        <is>
          <t>VÄSTERNORRLANDS LÄN</t>
        </is>
      </c>
      <c r="G2094" t="inlineStr">
        <is>
          <t>ÖRNSKÖLDSVIK</t>
        </is>
      </c>
      <c r="I2094" t="n">
        <v>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4360-2023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44954</v>
      </c>
      <c r="E2095" s="1" t="n">
        <v>46286</v>
      </c>
      <c r="F2095" t="inlineStr">
        <is>
          <t>VÄSTERNORRLANDS LÄN</t>
        </is>
      </c>
      <c r="G2095" t="inlineStr">
        <is>
          <t>ÖRNSKÖLDSVIK</t>
        </is>
      </c>
      <c r="I2095" t="n">
        <v>4.4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68084-2021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44526</v>
      </c>
      <c r="E2096" s="1" t="n">
        <v>46286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Övriga Aktiebolag</t>
        </is>
      </c>
      <c r="I2096" t="n">
        <v>9.699999999999999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33244-2023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45114</v>
      </c>
      <c r="E2097" s="1" t="n">
        <v>46286</v>
      </c>
      <c r="F2097" t="inlineStr">
        <is>
          <t>VÄSTERNORRLANDS LÄN</t>
        </is>
      </c>
      <c r="G2097" t="inlineStr">
        <is>
          <t>ÖRNSKÖLDSVIK</t>
        </is>
      </c>
      <c r="I2097" t="n">
        <v>3.3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28336-2024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45477</v>
      </c>
      <c r="E2098" s="1" t="n">
        <v>46286</v>
      </c>
      <c r="F2098" t="inlineStr">
        <is>
          <t>VÄSTERNORRLANDS LÄN</t>
        </is>
      </c>
      <c r="G2098" t="inlineStr">
        <is>
          <t>ÖRNSKÖLDSVIK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50727-2021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44459</v>
      </c>
      <c r="E2099" s="1" t="n">
        <v>46286</v>
      </c>
      <c r="F2099" t="inlineStr">
        <is>
          <t>VÄSTERNORRLANDS LÄN</t>
        </is>
      </c>
      <c r="G2099" t="inlineStr">
        <is>
          <t>ÖRNSKÖLDSVIK</t>
        </is>
      </c>
      <c r="I2099" t="n">
        <v>1.7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10523-2025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45721</v>
      </c>
      <c r="E2100" s="1" t="n">
        <v>46286</v>
      </c>
      <c r="F2100" t="inlineStr">
        <is>
          <t>VÄSTERNORRLANDS LÄN</t>
        </is>
      </c>
      <c r="G2100" t="inlineStr">
        <is>
          <t>ÖRNSKÖLDSVIK</t>
        </is>
      </c>
      <c r="I2100" t="n">
        <v>5.3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57994-2023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45247</v>
      </c>
      <c r="E2101" s="1" t="n">
        <v>46286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55417-2024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45622</v>
      </c>
      <c r="E2102" s="1" t="n">
        <v>46286</v>
      </c>
      <c r="F2102" t="inlineStr">
        <is>
          <t>VÄSTERNORRLANDS LÄN</t>
        </is>
      </c>
      <c r="G2102" t="inlineStr">
        <is>
          <t>ÖRNSKÖLDSVIK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29912-2026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46205</v>
      </c>
      <c r="E2103" s="1" t="n">
        <v>46286</v>
      </c>
      <c r="F2103" t="inlineStr">
        <is>
          <t>VÄSTERNORRLANDS LÄN</t>
        </is>
      </c>
      <c r="G2103" t="inlineStr">
        <is>
          <t>ÖRNSKÖLDSVIK</t>
        </is>
      </c>
      <c r="I2103" t="n">
        <v>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30230-2026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46206</v>
      </c>
      <c r="E2104" s="1" t="n">
        <v>46286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6.8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42522-2023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45181</v>
      </c>
      <c r="E2105" s="1" t="n">
        <v>46286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29903-2026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46205</v>
      </c>
      <c r="E2106" s="1" t="n">
        <v>46286</v>
      </c>
      <c r="F2106" t="inlineStr">
        <is>
          <t>VÄSTERNORRLANDS LÄN</t>
        </is>
      </c>
      <c r="G2106" t="inlineStr">
        <is>
          <t>ÖRNSKÖLDSVIK</t>
        </is>
      </c>
      <c r="I2106" t="n">
        <v>0.6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63673-2023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45275</v>
      </c>
      <c r="E2107" s="1" t="n">
        <v>46286</v>
      </c>
      <c r="F2107" t="inlineStr">
        <is>
          <t>VÄSTERNORRLANDS LÄN</t>
        </is>
      </c>
      <c r="G2107" t="inlineStr">
        <is>
          <t>ÖRNSKÖLDSVIK</t>
        </is>
      </c>
      <c r="I2107" t="n">
        <v>11.5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34040-2026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46252</v>
      </c>
      <c r="E2108" s="1" t="n">
        <v>46286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62082-2023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45266</v>
      </c>
      <c r="E2109" s="1" t="n">
        <v>46286</v>
      </c>
      <c r="F2109" t="inlineStr">
        <is>
          <t>VÄSTERNORRLANDS LÄN</t>
        </is>
      </c>
      <c r="G2109" t="inlineStr">
        <is>
          <t>ÖRNSKÖLDSVIK</t>
        </is>
      </c>
      <c r="I2109" t="n">
        <v>4.6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34142-2026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46253</v>
      </c>
      <c r="E2110" s="1" t="n">
        <v>46286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7.2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33947-2026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46252</v>
      </c>
      <c r="E2111" s="1" t="n">
        <v>46286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4345-2024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45324</v>
      </c>
      <c r="E2112" s="1" t="n">
        <v>46286</v>
      </c>
      <c r="F2112" t="inlineStr">
        <is>
          <t>VÄSTERNORRLANDS LÄN</t>
        </is>
      </c>
      <c r="G2112" t="inlineStr">
        <is>
          <t>ÖRNSKÖLDSVIK</t>
        </is>
      </c>
      <c r="I2112" t="n">
        <v>9.1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34131-2026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46253</v>
      </c>
      <c r="E2113" s="1" t="n">
        <v>46286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32208-2024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45511</v>
      </c>
      <c r="E2114" s="1" t="n">
        <v>46286</v>
      </c>
      <c r="F2114" t="inlineStr">
        <is>
          <t>VÄSTERNORRLANDS LÄN</t>
        </is>
      </c>
      <c r="G2114" t="inlineStr">
        <is>
          <t>ÖRNSKÖLDSVIK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33771-2024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45520</v>
      </c>
      <c r="E2115" s="1" t="n">
        <v>46286</v>
      </c>
      <c r="F2115" t="inlineStr">
        <is>
          <t>VÄSTERNORRLANDS LÄN</t>
        </is>
      </c>
      <c r="G2115" t="inlineStr">
        <is>
          <t>ÖRNSKÖLDSVIK</t>
        </is>
      </c>
      <c r="I2115" t="n">
        <v>1.9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48979-2023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45209</v>
      </c>
      <c r="E2116" s="1" t="n">
        <v>46286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3.5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34025-2026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46252</v>
      </c>
      <c r="E2117" s="1" t="n">
        <v>46286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3.9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22962-2024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45449</v>
      </c>
      <c r="E2118" s="1" t="n">
        <v>46286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34110-2026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46253</v>
      </c>
      <c r="E2119" s="1" t="n">
        <v>46286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58526-2024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45635</v>
      </c>
      <c r="E2120" s="1" t="n">
        <v>46286</v>
      </c>
      <c r="F2120" t="inlineStr">
        <is>
          <t>VÄSTERNORRLANDS LÄN</t>
        </is>
      </c>
      <c r="G2120" t="inlineStr">
        <is>
          <t>ÖRNSKÖLDSVIK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26457-2023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45089</v>
      </c>
      <c r="E2121" s="1" t="n">
        <v>46286</v>
      </c>
      <c r="F2121" t="inlineStr">
        <is>
          <t>VÄSTERNORRLANDS LÄN</t>
        </is>
      </c>
      <c r="G2121" t="inlineStr">
        <is>
          <t>ÖRNSKÖLDSVIK</t>
        </is>
      </c>
      <c r="I2121" t="n">
        <v>1.6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30454-2026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46209</v>
      </c>
      <c r="E2122" s="1" t="n">
        <v>46286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30440-2026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46209</v>
      </c>
      <c r="E2123" s="1" t="n">
        <v>46286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26390-2026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46183</v>
      </c>
      <c r="E2124" s="1" t="n">
        <v>46286</v>
      </c>
      <c r="F2124" t="inlineStr">
        <is>
          <t>VÄSTERNORRLANDS LÄN</t>
        </is>
      </c>
      <c r="G2124" t="inlineStr">
        <is>
          <t>ÖRNSKÖLDSVIK</t>
        </is>
      </c>
      <c r="I2124" t="n">
        <v>4.4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30434-2026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46209</v>
      </c>
      <c r="E2125" s="1" t="n">
        <v>46286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30461-2026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46209</v>
      </c>
      <c r="E2126" s="1" t="n">
        <v>46286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44330-2022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44839</v>
      </c>
      <c r="E2127" s="1" t="n">
        <v>46286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8.1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50223-2024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45600</v>
      </c>
      <c r="E2128" s="1" t="n">
        <v>46286</v>
      </c>
      <c r="F2128" t="inlineStr">
        <is>
          <t>VÄSTERNORRLANDS LÄN</t>
        </is>
      </c>
      <c r="G2128" t="inlineStr">
        <is>
          <t>ÖRNSKÖLDSVIK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68934-2021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44529</v>
      </c>
      <c r="E2129" s="1" t="n">
        <v>46286</v>
      </c>
      <c r="F2129" t="inlineStr">
        <is>
          <t>VÄSTERNORRLANDS LÄN</t>
        </is>
      </c>
      <c r="G2129" t="inlineStr">
        <is>
          <t>ÖRNSKÖLDSVIK</t>
        </is>
      </c>
      <c r="I2129" t="n">
        <v>7.2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29810-2024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45485</v>
      </c>
      <c r="E2130" s="1" t="n">
        <v>46286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38750-2024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45547</v>
      </c>
      <c r="E2131" s="1" t="n">
        <v>46286</v>
      </c>
      <c r="F2131" t="inlineStr">
        <is>
          <t>VÄSTERNORRLANDS LÄN</t>
        </is>
      </c>
      <c r="G2131" t="inlineStr">
        <is>
          <t>ÖRNSKÖLDSVIK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38753-2024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45547</v>
      </c>
      <c r="E2132" s="1" t="n">
        <v>46286</v>
      </c>
      <c r="F2132" t="inlineStr">
        <is>
          <t>VÄSTERNORRLANDS LÄN</t>
        </is>
      </c>
      <c r="G2132" t="inlineStr">
        <is>
          <t>ÖRNSKÖLDSVIK</t>
        </is>
      </c>
      <c r="I2132" t="n">
        <v>0.3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5193-2025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45691</v>
      </c>
      <c r="E2133" s="1" t="n">
        <v>46286</v>
      </c>
      <c r="F2133" t="inlineStr">
        <is>
          <t>VÄSTERNORRLANDS LÄN</t>
        </is>
      </c>
      <c r="G2133" t="inlineStr">
        <is>
          <t>ÖRNSKÖLDSVIK</t>
        </is>
      </c>
      <c r="I2133" t="n">
        <v>1.6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33922-2026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46252</v>
      </c>
      <c r="E2134" s="1" t="n">
        <v>46286</v>
      </c>
      <c r="F2134" t="inlineStr">
        <is>
          <t>VÄSTERNORRLANDS LÄN</t>
        </is>
      </c>
      <c r="G2134" t="inlineStr">
        <is>
          <t>ÖRNSKÖLDSVIK</t>
        </is>
      </c>
      <c r="I2134" t="n">
        <v>4.6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33941-2026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46252</v>
      </c>
      <c r="E2135" s="1" t="n">
        <v>46286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34318-2026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46254</v>
      </c>
      <c r="E2136" s="1" t="n">
        <v>46286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34319-2026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46254</v>
      </c>
      <c r="E2137" s="1" t="n">
        <v>46286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34320-2026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46254</v>
      </c>
      <c r="E2138" s="1" t="n">
        <v>46286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34321-2026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46254</v>
      </c>
      <c r="E2139" s="1" t="n">
        <v>46286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34309-2022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44792</v>
      </c>
      <c r="E2140" s="1" t="n">
        <v>46286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4.9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34536-2026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46255</v>
      </c>
      <c r="E2141" s="1" t="n">
        <v>46286</v>
      </c>
      <c r="F2141" t="inlineStr">
        <is>
          <t>VÄSTERNORRLANDS LÄN</t>
        </is>
      </c>
      <c r="G2141" t="inlineStr">
        <is>
          <t>ÖRNSKÖLDSVIK</t>
        </is>
      </c>
      <c r="I2141" t="n">
        <v>6.4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29262-2026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46202</v>
      </c>
      <c r="E2142" s="1" t="n">
        <v>46286</v>
      </c>
      <c r="F2142" t="inlineStr">
        <is>
          <t>VÄSTERNORRLANDS LÄN</t>
        </is>
      </c>
      <c r="G2142" t="inlineStr">
        <is>
          <t>ÖRNSKÖLDSVIK</t>
        </is>
      </c>
      <c r="I2142" t="n">
        <v>3.7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34492-2026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46255</v>
      </c>
      <c r="E2143" s="1" t="n">
        <v>46286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7.1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28699-2024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45478</v>
      </c>
      <c r="E2144" s="1" t="n">
        <v>46286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63091-2023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45273</v>
      </c>
      <c r="E2145" s="1" t="n">
        <v>46286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34339-2026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46254</v>
      </c>
      <c r="E2146" s="1" t="n">
        <v>46286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6.7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34305-2026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46254</v>
      </c>
      <c r="E2147" s="1" t="n">
        <v>46286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54773-2024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45618</v>
      </c>
      <c r="E2148" s="1" t="n">
        <v>46286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44357-2022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44839</v>
      </c>
      <c r="E2149" s="1" t="n">
        <v>46286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48703-2023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45208</v>
      </c>
      <c r="E2150" s="1" t="n">
        <v>46286</v>
      </c>
      <c r="F2150" t="inlineStr">
        <is>
          <t>VÄSTERNORRLANDS LÄN</t>
        </is>
      </c>
      <c r="G2150" t="inlineStr">
        <is>
          <t>ÖRNSKÖLDSVIK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34336-2026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46254</v>
      </c>
      <c r="E2151" s="1" t="n">
        <v>46286</v>
      </c>
      <c r="F2151" t="inlineStr">
        <is>
          <t>VÄSTERNORRLANDS LÄN</t>
        </is>
      </c>
      <c r="G2151" t="inlineStr">
        <is>
          <t>ÖRNSKÖLDSVIK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29604-2026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46204</v>
      </c>
      <c r="E2152" s="1" t="n">
        <v>46286</v>
      </c>
      <c r="F2152" t="inlineStr">
        <is>
          <t>VÄSTERNORRLANDS LÄN</t>
        </is>
      </c>
      <c r="G2152" t="inlineStr">
        <is>
          <t>ÖRNSKÖLDSVIK</t>
        </is>
      </c>
      <c r="I2152" t="n">
        <v>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34338-2026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46254</v>
      </c>
      <c r="E2153" s="1" t="n">
        <v>46286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4.3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34419-2026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46254</v>
      </c>
      <c r="E2154" s="1" t="n">
        <v>46286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34348-2026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46254</v>
      </c>
      <c r="E2155" s="1" t="n">
        <v>46286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34409-2026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46254</v>
      </c>
      <c r="E2156" s="1" t="n">
        <v>46286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8674-2025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45712</v>
      </c>
      <c r="E2157" s="1" t="n">
        <v>46286</v>
      </c>
      <c r="F2157" t="inlineStr">
        <is>
          <t>VÄSTERNORRLANDS LÄN</t>
        </is>
      </c>
      <c r="G2157" t="inlineStr">
        <is>
          <t>ÖRNSKÖLDSVIK</t>
        </is>
      </c>
      <c r="I2157" t="n">
        <v>0.7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17493-2024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45415</v>
      </c>
      <c r="E2158" s="1" t="n">
        <v>46286</v>
      </c>
      <c r="F2158" t="inlineStr">
        <is>
          <t>VÄSTERNORRLANDS LÄN</t>
        </is>
      </c>
      <c r="G2158" t="inlineStr">
        <is>
          <t>ÖRNSKÖLDSVIK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34545-2026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46255</v>
      </c>
      <c r="E2159" s="1" t="n">
        <v>46286</v>
      </c>
      <c r="F2159" t="inlineStr">
        <is>
          <t>VÄSTERNORRLANDS LÄN</t>
        </is>
      </c>
      <c r="G2159" t="inlineStr">
        <is>
          <t>ÖRNSKÖLDSVIK</t>
        </is>
      </c>
      <c r="I2159" t="n">
        <v>1.9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29296-2026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46202</v>
      </c>
      <c r="E2160" s="1" t="n">
        <v>46286</v>
      </c>
      <c r="F2160" t="inlineStr">
        <is>
          <t>VÄSTERNORRLANDS LÄN</t>
        </is>
      </c>
      <c r="G2160" t="inlineStr">
        <is>
          <t>ÖRNSKÖLDSVIK</t>
        </is>
      </c>
      <c r="I2160" t="n">
        <v>2.7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34341-2026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46254</v>
      </c>
      <c r="E2161" s="1" t="n">
        <v>46286</v>
      </c>
      <c r="F2161" t="inlineStr">
        <is>
          <t>VÄSTERNORRLANDS LÄN</t>
        </is>
      </c>
      <c r="G2161" t="inlineStr">
        <is>
          <t>ÖRNSKÖLDSVIK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34531-2026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46255</v>
      </c>
      <c r="E2162" s="1" t="n">
        <v>46286</v>
      </c>
      <c r="F2162" t="inlineStr">
        <is>
          <t>VÄSTERNORRLANDS LÄN</t>
        </is>
      </c>
      <c r="G2162" t="inlineStr">
        <is>
          <t>ÖRNSKÖLDSVIK</t>
        </is>
      </c>
      <c r="I2162" t="n">
        <v>2.1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34581-2026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46255</v>
      </c>
      <c r="E2163" s="1" t="n">
        <v>46286</v>
      </c>
      <c r="F2163" t="inlineStr">
        <is>
          <t>VÄSTERNORRLANDS LÄN</t>
        </is>
      </c>
      <c r="G2163" t="inlineStr">
        <is>
          <t>ÖRNSKÖLDSVIK</t>
        </is>
      </c>
      <c r="I2163" t="n">
        <v>9.4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34586-2026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46255</v>
      </c>
      <c r="E2164" s="1" t="n">
        <v>46286</v>
      </c>
      <c r="F2164" t="inlineStr">
        <is>
          <t>VÄSTERNORRLANDS LÄN</t>
        </is>
      </c>
      <c r="G2164" t="inlineStr">
        <is>
          <t>ÖRNSKÖLDSVIK</t>
        </is>
      </c>
      <c r="I2164" t="n">
        <v>11.4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34343-2026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46254</v>
      </c>
      <c r="E2165" s="1" t="n">
        <v>46286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26521-2022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44739</v>
      </c>
      <c r="E2166" s="1" t="n">
        <v>46286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30473-2026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46210</v>
      </c>
      <c r="E2167" s="1" t="n">
        <v>46286</v>
      </c>
      <c r="F2167" t="inlineStr">
        <is>
          <t>VÄSTERNORRLANDS LÄN</t>
        </is>
      </c>
      <c r="G2167" t="inlineStr">
        <is>
          <t>ÖRNSKÖLDSVIK</t>
        </is>
      </c>
      <c r="I2167" t="n">
        <v>7.3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48007-2023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45204</v>
      </c>
      <c r="E2168" s="1" t="n">
        <v>46286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29163-2024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45482</v>
      </c>
      <c r="E2169" s="1" t="n">
        <v>46286</v>
      </c>
      <c r="F2169" t="inlineStr">
        <is>
          <t>VÄSTERNORRLANDS LÄN</t>
        </is>
      </c>
      <c r="G2169" t="inlineStr">
        <is>
          <t>ÖRNSKÖLDSVIK</t>
        </is>
      </c>
      <c r="I2169" t="n">
        <v>0.3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50888-2023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45218</v>
      </c>
      <c r="E2170" s="1" t="n">
        <v>46286</v>
      </c>
      <c r="F2170" t="inlineStr">
        <is>
          <t>VÄSTERNORRLANDS LÄN</t>
        </is>
      </c>
      <c r="G2170" t="inlineStr">
        <is>
          <t>ÖRNSKÖLDSVIK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342-2024</t>
        </is>
      </c>
      <c r="B2171" t="inlineStr">
        <is>
          <t>avverkningsanmälan</t>
        </is>
      </c>
      <c r="C2171" t="inlineStr">
        <is>
          <t>Avverkning för att bevara och utveckla /försöksver</t>
        </is>
      </c>
      <c r="D2171" s="1" t="n">
        <v>45295</v>
      </c>
      <c r="E2171" s="1" t="n">
        <v>46286</v>
      </c>
      <c r="F2171" t="inlineStr">
        <is>
          <t>VÄSTERNORRLANDS LÄN</t>
        </is>
      </c>
      <c r="G2171" t="inlineStr">
        <is>
          <t>ÖRNSKÖLDSVIK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62484-2023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45268</v>
      </c>
      <c r="E2172" s="1" t="n">
        <v>46286</v>
      </c>
      <c r="F2172" t="inlineStr">
        <is>
          <t>VÄSTERNORRLANDS LÄN</t>
        </is>
      </c>
      <c r="G2172" t="inlineStr">
        <is>
          <t>ÖRNSKÖLDSVIK</t>
        </is>
      </c>
      <c r="I2172" t="n">
        <v>2.9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37873-2024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45544</v>
      </c>
      <c r="E2173" s="1" t="n">
        <v>46286</v>
      </c>
      <c r="F2173" t="inlineStr">
        <is>
          <t>VÄSTERNORRLANDS LÄN</t>
        </is>
      </c>
      <c r="G2173" t="inlineStr">
        <is>
          <t>ÖRNSKÖLDSVIK</t>
        </is>
      </c>
      <c r="I2173" t="n">
        <v>12.3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34562-2026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46255</v>
      </c>
      <c r="E2174" s="1" t="n">
        <v>46286</v>
      </c>
      <c r="F2174" t="inlineStr">
        <is>
          <t>VÄSTERNORRLANDS LÄN</t>
        </is>
      </c>
      <c r="G2174" t="inlineStr">
        <is>
          <t>ÖRNSKÖLDSVIK</t>
        </is>
      </c>
      <c r="I2174" t="n">
        <v>19.9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18866-2024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45426</v>
      </c>
      <c r="E2175" s="1" t="n">
        <v>46286</v>
      </c>
      <c r="F2175" t="inlineStr">
        <is>
          <t>VÄSTERNORRLANDS LÄN</t>
        </is>
      </c>
      <c r="G2175" t="inlineStr">
        <is>
          <t>ÖRNSKÖLDSVIK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2849-2026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46038</v>
      </c>
      <c r="E2176" s="1" t="n">
        <v>46286</v>
      </c>
      <c r="F2176" t="inlineStr">
        <is>
          <t>VÄSTERNORRLANDS LÄN</t>
        </is>
      </c>
      <c r="G2176" t="inlineStr">
        <is>
          <t>ÖRNSKÖLDSVIK</t>
        </is>
      </c>
      <c r="I2176" t="n">
        <v>5.2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24483-2025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45798</v>
      </c>
      <c r="E2177" s="1" t="n">
        <v>46286</v>
      </c>
      <c r="F2177" t="inlineStr">
        <is>
          <t>VÄSTERNORRLANDS LÄN</t>
        </is>
      </c>
      <c r="G2177" t="inlineStr">
        <is>
          <t>ÖRNSKÖLDSVIK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12736-2025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45733</v>
      </c>
      <c r="E2178" s="1" t="n">
        <v>46286</v>
      </c>
      <c r="F2178" t="inlineStr">
        <is>
          <t>VÄSTERNORRLANDS LÄN</t>
        </is>
      </c>
      <c r="G2178" t="inlineStr">
        <is>
          <t>ÖRNSKÖLDSVIK</t>
        </is>
      </c>
      <c r="I2178" t="n">
        <v>2.5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12750-2025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45733</v>
      </c>
      <c r="E2179" s="1" t="n">
        <v>46286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34994-2026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46259</v>
      </c>
      <c r="E2180" s="1" t="n">
        <v>46286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4.3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31031-2026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46214</v>
      </c>
      <c r="E2181" s="1" t="n">
        <v>46286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1.3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8012-2025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45707</v>
      </c>
      <c r="E2182" s="1" t="n">
        <v>46286</v>
      </c>
      <c r="F2182" t="inlineStr">
        <is>
          <t>VÄSTERNORRLANDS LÄN</t>
        </is>
      </c>
      <c r="G2182" t="inlineStr">
        <is>
          <t>ÖRNSKÖLDSVIK</t>
        </is>
      </c>
      <c r="I2182" t="n">
        <v>0.4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35048-2026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46259</v>
      </c>
      <c r="E2183" s="1" t="n">
        <v>46286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4802-2025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45688</v>
      </c>
      <c r="E2184" s="1" t="n">
        <v>46286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31039-2026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46214</v>
      </c>
      <c r="E2185" s="1" t="n">
        <v>46286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23137-2024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45450</v>
      </c>
      <c r="E2186" s="1" t="n">
        <v>46286</v>
      </c>
      <c r="F2186" t="inlineStr">
        <is>
          <t>VÄSTERNORRLANDS LÄN</t>
        </is>
      </c>
      <c r="G2186" t="inlineStr">
        <is>
          <t>ÖRNSKÖLDSVIK</t>
        </is>
      </c>
      <c r="I2186" t="n">
        <v>2.2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46519-2023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45197</v>
      </c>
      <c r="E2187" s="1" t="n">
        <v>46286</v>
      </c>
      <c r="F2187" t="inlineStr">
        <is>
          <t>VÄSTERNORRLANDS LÄN</t>
        </is>
      </c>
      <c r="G2187" t="inlineStr">
        <is>
          <t>ÖRNSKÖLDSVIK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34726-2026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46258</v>
      </c>
      <c r="E2188" s="1" t="n">
        <v>46286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9772-2024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45362</v>
      </c>
      <c r="E2189" s="1" t="n">
        <v>46286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5.9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34860-2026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46258</v>
      </c>
      <c r="E2190" s="1" t="n">
        <v>46286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1.2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31122-2026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46216</v>
      </c>
      <c r="E2191" s="1" t="n">
        <v>46286</v>
      </c>
      <c r="F2191" t="inlineStr">
        <is>
          <t>VÄSTERNORRLANDS LÄN</t>
        </is>
      </c>
      <c r="G2191" t="inlineStr">
        <is>
          <t>ÖRNSKÖLDSVIK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52376-2024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45609</v>
      </c>
      <c r="E2192" s="1" t="n">
        <v>46286</v>
      </c>
      <c r="F2192" t="inlineStr">
        <is>
          <t>VÄSTERNORRLANDS LÄN</t>
        </is>
      </c>
      <c r="G2192" t="inlineStr">
        <is>
          <t>ÖRNSKÖLDSVIK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52658-2024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45610</v>
      </c>
      <c r="E2193" s="1" t="n">
        <v>46286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29092-2024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45481</v>
      </c>
      <c r="E2194" s="1" t="n">
        <v>46286</v>
      </c>
      <c r="F2194" t="inlineStr">
        <is>
          <t>VÄSTERNORRLANDS LÄN</t>
        </is>
      </c>
      <c r="G2194" t="inlineStr">
        <is>
          <t>ÖRNSKÖLDSVIK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10814-2025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45722</v>
      </c>
      <c r="E2195" s="1" t="n">
        <v>46286</v>
      </c>
      <c r="F2195" t="inlineStr">
        <is>
          <t>VÄSTERNORRLANDS LÄN</t>
        </is>
      </c>
      <c r="G2195" t="inlineStr">
        <is>
          <t>ÖRNSKÖLDSVIK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7909-2025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45707</v>
      </c>
      <c r="E2196" s="1" t="n">
        <v>46286</v>
      </c>
      <c r="F2196" t="inlineStr">
        <is>
          <t>VÄSTERNORRLANDS LÄN</t>
        </is>
      </c>
      <c r="G2196" t="inlineStr">
        <is>
          <t>ÖRNSKÖLDSVIK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10574-2022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44623</v>
      </c>
      <c r="E2197" s="1" t="n">
        <v>46286</v>
      </c>
      <c r="F2197" t="inlineStr">
        <is>
          <t>VÄSTERNORRLANDS LÄN</t>
        </is>
      </c>
      <c r="G2197" t="inlineStr">
        <is>
          <t>ÖRNSKÖLDSVIK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55640-2023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45238</v>
      </c>
      <c r="E2198" s="1" t="n">
        <v>46286</v>
      </c>
      <c r="F2198" t="inlineStr">
        <is>
          <t>VÄSTERNORRLANDS LÄN</t>
        </is>
      </c>
      <c r="G2198" t="inlineStr">
        <is>
          <t>ÖRNSKÖLDSVIK</t>
        </is>
      </c>
      <c r="I2198" t="n">
        <v>0.6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34625-2024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45526</v>
      </c>
      <c r="E2199" s="1" t="n">
        <v>46286</v>
      </c>
      <c r="F2199" t="inlineStr">
        <is>
          <t>VÄSTERNORRLANDS LÄN</t>
        </is>
      </c>
      <c r="G2199" t="inlineStr">
        <is>
          <t>ÖRNSKÖLDSVIK</t>
        </is>
      </c>
      <c r="I2199" t="n">
        <v>1.3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34648-2024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45526</v>
      </c>
      <c r="E2200" s="1" t="n">
        <v>46286</v>
      </c>
      <c r="F2200" t="inlineStr">
        <is>
          <t>VÄSTERNORRLANDS LÄN</t>
        </is>
      </c>
      <c r="G2200" t="inlineStr">
        <is>
          <t>ÖRNSKÖLDSVIK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35039-2026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46259</v>
      </c>
      <c r="E2201" s="1" t="n">
        <v>46286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35043-2026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46259</v>
      </c>
      <c r="E2202" s="1" t="n">
        <v>46286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35051-2026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46259</v>
      </c>
      <c r="E2203" s="1" t="n">
        <v>46286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34672-2026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46258</v>
      </c>
      <c r="E2204" s="1" t="n">
        <v>46286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53003-2021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44467</v>
      </c>
      <c r="E2205" s="1" t="n">
        <v>46286</v>
      </c>
      <c r="F2205" t="inlineStr">
        <is>
          <t>VÄSTERNORRLANDS LÄN</t>
        </is>
      </c>
      <c r="G2205" t="inlineStr">
        <is>
          <t>ÖRNSKÖLDSVIK</t>
        </is>
      </c>
      <c r="I2205" t="n">
        <v>2.5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18239-2024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45420</v>
      </c>
      <c r="E2206" s="1" t="n">
        <v>46286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2.9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44202-2023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45188</v>
      </c>
      <c r="E2207" s="1" t="n">
        <v>46286</v>
      </c>
      <c r="F2207" t="inlineStr">
        <is>
          <t>VÄSTERNORRLANDS LÄN</t>
        </is>
      </c>
      <c r="G2207" t="inlineStr">
        <is>
          <t>ÖRNSKÖLDSVIK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37851-2024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45544</v>
      </c>
      <c r="E2208" s="1" t="n">
        <v>46286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0.3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55251-2024</t>
        </is>
      </c>
      <c r="B2209" t="inlineStr">
        <is>
          <t>avverkningsanmälan</t>
        </is>
      </c>
      <c r="C2209" t="inlineStr">
        <is>
          <t>Avverkning för att bevara och utveckla /försöksver</t>
        </is>
      </c>
      <c r="D2209" s="1" t="n">
        <v>45621</v>
      </c>
      <c r="E2209" s="1" t="n">
        <v>46286</v>
      </c>
      <c r="F2209" t="inlineStr">
        <is>
          <t>VÄSTERNORRLANDS LÄN</t>
        </is>
      </c>
      <c r="G2209" t="inlineStr">
        <is>
          <t>ÖRNSKÖLDSVIK</t>
        </is>
      </c>
      <c r="I2209" t="n">
        <v>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45296</v>
      </c>
      <c r="E2210" s="1" t="n">
        <v>46286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58441-2024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45635</v>
      </c>
      <c r="E2211" s="1" t="n">
        <v>46286</v>
      </c>
      <c r="F2211" t="inlineStr">
        <is>
          <t>VÄSTERNORRLANDS LÄN</t>
        </is>
      </c>
      <c r="G2211" t="inlineStr">
        <is>
          <t>ÖRNSKÖLDSVIK</t>
        </is>
      </c>
      <c r="I2211" t="n">
        <v>3.2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31037-2026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46214</v>
      </c>
      <c r="E2212" s="1" t="n">
        <v>46286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1.2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41187-2023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45174</v>
      </c>
      <c r="E2213" s="1" t="n">
        <v>46286</v>
      </c>
      <c r="F2213" t="inlineStr">
        <is>
          <t>VÄSTERNORRLANDS LÄN</t>
        </is>
      </c>
      <c r="G2213" t="inlineStr">
        <is>
          <t>ÖRNSKÖLDSVIK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352-2025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45659</v>
      </c>
      <c r="E2214" s="1" t="n">
        <v>46286</v>
      </c>
      <c r="F2214" t="inlineStr">
        <is>
          <t>VÄSTERNORRLANDS LÄN</t>
        </is>
      </c>
      <c r="G2214" t="inlineStr">
        <is>
          <t>ÖRNSKÖLDSVIK</t>
        </is>
      </c>
      <c r="I2214" t="n">
        <v>4.1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51854-2024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45607</v>
      </c>
      <c r="E2215" s="1" t="n">
        <v>46286</v>
      </c>
      <c r="F2215" t="inlineStr">
        <is>
          <t>VÄSTERNORRLANDS LÄN</t>
        </is>
      </c>
      <c r="G2215" t="inlineStr">
        <is>
          <t>ÖRNSKÖLDSVIK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35188-2026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46260</v>
      </c>
      <c r="E2216" s="1" t="n">
        <v>46286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55670-2024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45622</v>
      </c>
      <c r="E2217" s="1" t="n">
        <v>46286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0.4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35241-2026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46260</v>
      </c>
      <c r="E2218" s="1" t="n">
        <v>46286</v>
      </c>
      <c r="F2218" t="inlineStr">
        <is>
          <t>VÄSTERNORRLANDS LÄN</t>
        </is>
      </c>
      <c r="G2218" t="inlineStr">
        <is>
          <t>ÖRNSKÖLDSVIK</t>
        </is>
      </c>
      <c r="I2218" t="n">
        <v>7.6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35079-2026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46260</v>
      </c>
      <c r="E2219" s="1" t="n">
        <v>46286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19991-2024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45433</v>
      </c>
      <c r="E2220" s="1" t="n">
        <v>46286</v>
      </c>
      <c r="F2220" t="inlineStr">
        <is>
          <t>VÄSTERNORRLANDS LÄN</t>
        </is>
      </c>
      <c r="G2220" t="inlineStr">
        <is>
          <t>ÖRNSKÖLDSVIK</t>
        </is>
      </c>
      <c r="I2220" t="n">
        <v>0.4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35374-2026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46261</v>
      </c>
      <c r="E2221" s="1" t="n">
        <v>46286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0.4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35114-2026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46260</v>
      </c>
      <c r="E2222" s="1" t="n">
        <v>46286</v>
      </c>
      <c r="F2222" t="inlineStr">
        <is>
          <t>VÄSTERNORRLANDS LÄN</t>
        </is>
      </c>
      <c r="G2222" t="inlineStr">
        <is>
          <t>ÖRNSKÖLDSVIK</t>
        </is>
      </c>
      <c r="I2222" t="n">
        <v>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46971-2024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45586</v>
      </c>
      <c r="E2223" s="1" t="n">
        <v>46286</v>
      </c>
      <c r="F2223" t="inlineStr">
        <is>
          <t>VÄSTERNORRLANDS LÄN</t>
        </is>
      </c>
      <c r="G2223" t="inlineStr">
        <is>
          <t>ÖRNSKÖLDSVIK</t>
        </is>
      </c>
      <c r="I2223" t="n">
        <v>1.4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54791-2024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45618</v>
      </c>
      <c r="E2224" s="1" t="n">
        <v>46286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0.4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14589-2025</t>
        </is>
      </c>
      <c r="B2225" t="inlineStr">
        <is>
          <t>avverkningsanmälan</t>
        </is>
      </c>
      <c r="C2225" t="inlineStr">
        <is>
          <t>Avverkning för annat ändamål</t>
        </is>
      </c>
      <c r="D2225" s="1" t="n">
        <v>45741</v>
      </c>
      <c r="E2225" s="1" t="n">
        <v>46286</v>
      </c>
      <c r="F2225" t="inlineStr">
        <is>
          <t>VÄSTERNORRLANDS LÄN</t>
        </is>
      </c>
      <c r="G2225" t="inlineStr">
        <is>
          <t>ÖRNSKÖLDSVIK</t>
        </is>
      </c>
      <c r="I2225" t="n">
        <v>2.2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35208-2026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46260</v>
      </c>
      <c r="E2226" s="1" t="n">
        <v>46286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35343-2026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46261</v>
      </c>
      <c r="E2227" s="1" t="n">
        <v>46286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35119-2026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46260</v>
      </c>
      <c r="E2228" s="1" t="n">
        <v>46286</v>
      </c>
      <c r="F2228" t="inlineStr">
        <is>
          <t>VÄSTERNORRLANDS LÄN</t>
        </is>
      </c>
      <c r="G2228" t="inlineStr">
        <is>
          <t>ÖRNSKÖLDSVIK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35406-2026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46261</v>
      </c>
      <c r="E2229" s="1" t="n">
        <v>46286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15692-2022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44663</v>
      </c>
      <c r="E2230" s="1" t="n">
        <v>46286</v>
      </c>
      <c r="F2230" t="inlineStr">
        <is>
          <t>VÄSTERNORRLANDS LÄN</t>
        </is>
      </c>
      <c r="G2230" t="inlineStr">
        <is>
          <t>ÖRNSKÖLDSVIK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49379-2023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45211</v>
      </c>
      <c r="E2231" s="1" t="n">
        <v>46286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35359-2026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46261</v>
      </c>
      <c r="E2232" s="1" t="n">
        <v>46286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3.9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3173-2024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45316</v>
      </c>
      <c r="E2233" s="1" t="n">
        <v>46286</v>
      </c>
      <c r="F2233" t="inlineStr">
        <is>
          <t>VÄSTERNORRLANDS LÄN</t>
        </is>
      </c>
      <c r="G2233" t="inlineStr">
        <is>
          <t>ÖRNSKÖLDSVIK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52626-2024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45609</v>
      </c>
      <c r="E2234" s="1" t="n">
        <v>46286</v>
      </c>
      <c r="F2234" t="inlineStr">
        <is>
          <t>VÄSTERNORRLANDS LÄN</t>
        </is>
      </c>
      <c r="G2234" t="inlineStr">
        <is>
          <t>ÖRNSKÖLDSVIK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58060-2022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44893</v>
      </c>
      <c r="E2235" s="1" t="n">
        <v>46286</v>
      </c>
      <c r="F2235" t="inlineStr">
        <is>
          <t>VÄSTERNORRLANDS LÄN</t>
        </is>
      </c>
      <c r="G2235" t="inlineStr">
        <is>
          <t>ÖRNSKÖLDSVIK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50262-2023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45216</v>
      </c>
      <c r="E2236" s="1" t="n">
        <v>46286</v>
      </c>
      <c r="F2236" t="inlineStr">
        <is>
          <t>VÄSTERNORRLANDS LÄN</t>
        </is>
      </c>
      <c r="G2236" t="inlineStr">
        <is>
          <t>ÖRNSKÖLDSVIK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1148-2024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45302</v>
      </c>
      <c r="E2237" s="1" t="n">
        <v>46286</v>
      </c>
      <c r="F2237" t="inlineStr">
        <is>
          <t>VÄSTERNORRLANDS LÄN</t>
        </is>
      </c>
      <c r="G2237" t="inlineStr">
        <is>
          <t>ÖRNSKÖLDSVIK</t>
        </is>
      </c>
      <c r="I2237" t="n">
        <v>1.5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54174-2021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44470</v>
      </c>
      <c r="E2238" s="1" t="n">
        <v>46286</v>
      </c>
      <c r="F2238" t="inlineStr">
        <is>
          <t>VÄSTERNORRLANDS LÄN</t>
        </is>
      </c>
      <c r="G2238" t="inlineStr">
        <is>
          <t>ÖRNSKÖLDSVIK</t>
        </is>
      </c>
      <c r="I2238" t="n">
        <v>10.4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35301-2026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46261</v>
      </c>
      <c r="E2239" s="1" t="n">
        <v>46286</v>
      </c>
      <c r="F2239" t="inlineStr">
        <is>
          <t>VÄSTERNORRLANDS LÄN</t>
        </is>
      </c>
      <c r="G2239" t="inlineStr">
        <is>
          <t>ÖRNSKÖLDSVIK</t>
        </is>
      </c>
      <c r="I2239" t="n">
        <v>8.5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35363-2026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46261</v>
      </c>
      <c r="E2240" s="1" t="n">
        <v>46286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35369-2026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46261</v>
      </c>
      <c r="E2241" s="1" t="n">
        <v>46286</v>
      </c>
      <c r="F2241" t="inlineStr">
        <is>
          <t>VÄSTERNORRLANDS LÄN</t>
        </is>
      </c>
      <c r="G2241" t="inlineStr">
        <is>
          <t>ÖRNSKÖLDSVIK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20540-2022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44700</v>
      </c>
      <c r="E2242" s="1" t="n">
        <v>46286</v>
      </c>
      <c r="F2242" t="inlineStr">
        <is>
          <t>VÄSTERNORRLANDS LÄN</t>
        </is>
      </c>
      <c r="G2242" t="inlineStr">
        <is>
          <t>ÖRNSKÖLDSVIK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35116-2026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46260</v>
      </c>
      <c r="E2243" s="1" t="n">
        <v>46286</v>
      </c>
      <c r="F2243" t="inlineStr">
        <is>
          <t>VÄSTERNORRLANDS LÄN</t>
        </is>
      </c>
      <c r="G2243" t="inlineStr">
        <is>
          <t>ÖRNSKÖLDSVIK</t>
        </is>
      </c>
      <c r="I2243" t="n">
        <v>1.3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34746-2024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45526</v>
      </c>
      <c r="E2244" s="1" t="n">
        <v>46286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59287-2024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45637</v>
      </c>
      <c r="E2245" s="1" t="n">
        <v>46286</v>
      </c>
      <c r="F2245" t="inlineStr">
        <is>
          <t>VÄSTERNORRLANDS LÄN</t>
        </is>
      </c>
      <c r="G2245" t="inlineStr">
        <is>
          <t>ÖRNSKÖLDSVIK</t>
        </is>
      </c>
      <c r="I2245" t="n">
        <v>3.7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11984-2022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44635</v>
      </c>
      <c r="E2246" s="1" t="n">
        <v>46286</v>
      </c>
      <c r="F2246" t="inlineStr">
        <is>
          <t>VÄSTERNORRLANDS LÄN</t>
        </is>
      </c>
      <c r="G2246" t="inlineStr">
        <is>
          <t>ÖRNSKÖLDSVIK</t>
        </is>
      </c>
      <c r="I2246" t="n">
        <v>1.2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53705-2024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45615</v>
      </c>
      <c r="E2247" s="1" t="n">
        <v>46286</v>
      </c>
      <c r="F2247" t="inlineStr">
        <is>
          <t>VÄSTERNORRLANDS LÄN</t>
        </is>
      </c>
      <c r="G2247" t="inlineStr">
        <is>
          <t>ÖRNSKÖLDSVIK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5439-2025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45692</v>
      </c>
      <c r="E2248" s="1" t="n">
        <v>46286</v>
      </c>
      <c r="F2248" t="inlineStr">
        <is>
          <t>VÄSTERNORRLANDS LÄN</t>
        </is>
      </c>
      <c r="G2248" t="inlineStr">
        <is>
          <t>ÖRNSKÖLDSVIK</t>
        </is>
      </c>
      <c r="I2248" t="n">
        <v>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33242-2023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45114</v>
      </c>
      <c r="E2249" s="1" t="n">
        <v>46286</v>
      </c>
      <c r="F2249" t="inlineStr">
        <is>
          <t>VÄSTERNORRLANDS LÄN</t>
        </is>
      </c>
      <c r="G2249" t="inlineStr">
        <is>
          <t>ÖRNSKÖLDSVIK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35784-2026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46265</v>
      </c>
      <c r="E2250" s="1" t="n">
        <v>46286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54340-2021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44473</v>
      </c>
      <c r="E2251" s="1" t="n">
        <v>46286</v>
      </c>
      <c r="F2251" t="inlineStr">
        <is>
          <t>VÄSTERNORRLANDS LÄN</t>
        </is>
      </c>
      <c r="G2251" t="inlineStr">
        <is>
          <t>ÖRNSKÖLDSVIK</t>
        </is>
      </c>
      <c r="I2251" t="n">
        <v>5.4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57120-2024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45629</v>
      </c>
      <c r="E2252" s="1" t="n">
        <v>46286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2.7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35451-2022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44798</v>
      </c>
      <c r="E2253" s="1" t="n">
        <v>46286</v>
      </c>
      <c r="F2253" t="inlineStr">
        <is>
          <t>VÄSTERNORRLANDS LÄN</t>
        </is>
      </c>
      <c r="G2253" t="inlineStr">
        <is>
          <t>ÖRNSKÖLDSVIK</t>
        </is>
      </c>
      <c r="I2253" t="n">
        <v>2.4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11156-2025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45723</v>
      </c>
      <c r="E2254" s="1" t="n">
        <v>46286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32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35753-2026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46265</v>
      </c>
      <c r="E2255" s="1" t="n">
        <v>46286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18203-2023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45041</v>
      </c>
      <c r="E2256" s="1" t="n">
        <v>46286</v>
      </c>
      <c r="F2256" t="inlineStr">
        <is>
          <t>VÄSTERNORRLANDS LÄN</t>
        </is>
      </c>
      <c r="G2256" t="inlineStr">
        <is>
          <t>ÖRNSKÖLDSVIK</t>
        </is>
      </c>
      <c r="I2256" t="n">
        <v>2.5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59531-2023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45253</v>
      </c>
      <c r="E2257" s="1" t="n">
        <v>46286</v>
      </c>
      <c r="F2257" t="inlineStr">
        <is>
          <t>VÄSTERNORRLANDS LÄN</t>
        </is>
      </c>
      <c r="G2257" t="inlineStr">
        <is>
          <t>ÖRNSKÖLDSVIK</t>
        </is>
      </c>
      <c r="I2257" t="n">
        <v>0.3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35691-2026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46265</v>
      </c>
      <c r="E2258" s="1" t="n">
        <v>46286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12.2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13733-2023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45006</v>
      </c>
      <c r="E2259" s="1" t="n">
        <v>46286</v>
      </c>
      <c r="F2259" t="inlineStr">
        <is>
          <t>VÄSTERNORRLANDS LÄN</t>
        </is>
      </c>
      <c r="G2259" t="inlineStr">
        <is>
          <t>ÖRNSKÖLDSVIK</t>
        </is>
      </c>
      <c r="I2259" t="n">
        <v>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35802-2026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46265</v>
      </c>
      <c r="E2260" s="1" t="n">
        <v>46286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5.1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37930-2024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45544</v>
      </c>
      <c r="E2261" s="1" t="n">
        <v>46286</v>
      </c>
      <c r="F2261" t="inlineStr">
        <is>
          <t>VÄSTERNORRLANDS LÄN</t>
        </is>
      </c>
      <c r="G2261" t="inlineStr">
        <is>
          <t>ÖRNSKÖLDSVIK</t>
        </is>
      </c>
      <c r="I2261" t="n">
        <v>6.8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35449-2026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46262</v>
      </c>
      <c r="E2262" s="1" t="n">
        <v>46286</v>
      </c>
      <c r="F2262" t="inlineStr">
        <is>
          <t>VÄSTERNORRLANDS LÄN</t>
        </is>
      </c>
      <c r="G2262" t="inlineStr">
        <is>
          <t>ÖRNSKÖLDSVIK</t>
        </is>
      </c>
      <c r="I2262" t="n">
        <v>1.2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16558-2022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44672</v>
      </c>
      <c r="E2263" s="1" t="n">
        <v>46286</v>
      </c>
      <c r="F2263" t="inlineStr">
        <is>
          <t>VÄSTERNORRLANDS LÄN</t>
        </is>
      </c>
      <c r="G2263" t="inlineStr">
        <is>
          <t>ÖRNSKÖLDSVIK</t>
        </is>
      </c>
      <c r="I2263" t="n">
        <v>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60628-2021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44495</v>
      </c>
      <c r="E2264" s="1" t="n">
        <v>46286</v>
      </c>
      <c r="F2264" t="inlineStr">
        <is>
          <t>VÄSTERNORRLANDS LÄN</t>
        </is>
      </c>
      <c r="G2264" t="inlineStr">
        <is>
          <t>ÖRNSKÖLDSVIK</t>
        </is>
      </c>
      <c r="I2264" t="n">
        <v>0.3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49076-2023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45210</v>
      </c>
      <c r="E2265" s="1" t="n">
        <v>46286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4050-2022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44588</v>
      </c>
      <c r="E2266" s="1" t="n">
        <v>46286</v>
      </c>
      <c r="F2266" t="inlineStr">
        <is>
          <t>VÄSTERNORRLANDS LÄN</t>
        </is>
      </c>
      <c r="G2266" t="inlineStr">
        <is>
          <t>ÖRNSKÖLDSVIK</t>
        </is>
      </c>
      <c r="I2266" t="n">
        <v>1.9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41619-2024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45560</v>
      </c>
      <c r="E2267" s="1" t="n">
        <v>46286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35609-2026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46264</v>
      </c>
      <c r="E2268" s="1" t="n">
        <v>46286</v>
      </c>
      <c r="F2268" t="inlineStr">
        <is>
          <t>VÄSTERNORRLANDS LÄN</t>
        </is>
      </c>
      <c r="G2268" t="inlineStr">
        <is>
          <t>ÖRNSKÖLDSVIK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35759-2026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46265</v>
      </c>
      <c r="E2269" s="1" t="n">
        <v>46286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3.1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35792-2026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46265</v>
      </c>
      <c r="E2270" s="1" t="n">
        <v>46286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35542-2026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46262</v>
      </c>
      <c r="E2271" s="1" t="n">
        <v>46286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6.4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35610-2026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46264</v>
      </c>
      <c r="E2272" s="1" t="n">
        <v>46286</v>
      </c>
      <c r="F2272" t="inlineStr">
        <is>
          <t>VÄSTERNORRLANDS LÄN</t>
        </is>
      </c>
      <c r="G2272" t="inlineStr">
        <is>
          <t>ÖRNSKÖLDSVIK</t>
        </is>
      </c>
      <c r="I2272" t="n">
        <v>2.2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54798-2024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45618</v>
      </c>
      <c r="E2273" s="1" t="n">
        <v>46286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44727-2023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45190</v>
      </c>
      <c r="E2274" s="1" t="n">
        <v>46286</v>
      </c>
      <c r="F2274" t="inlineStr">
        <is>
          <t>VÄSTERNORRLANDS LÄN</t>
        </is>
      </c>
      <c r="G2274" t="inlineStr">
        <is>
          <t>ÖRNSKÖLDSVIK</t>
        </is>
      </c>
      <c r="I2274" t="n">
        <v>2.8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35690-2026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46265</v>
      </c>
      <c r="E2275" s="1" t="n">
        <v>46286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35741-2026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46265</v>
      </c>
      <c r="E2276" s="1" t="n">
        <v>46286</v>
      </c>
      <c r="F2276" t="inlineStr">
        <is>
          <t>VÄSTERNORRLANDS LÄN</t>
        </is>
      </c>
      <c r="G2276" t="inlineStr">
        <is>
          <t>ÖRNSKÖLDSVIK</t>
        </is>
      </c>
      <c r="I2276" t="n">
        <v>4.8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35766-2026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46265</v>
      </c>
      <c r="E2277" s="1" t="n">
        <v>46286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20333-2025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45775</v>
      </c>
      <c r="E2278" s="1" t="n">
        <v>46286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35768-2026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46265</v>
      </c>
      <c r="E2279" s="1" t="n">
        <v>46286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35750-2026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46265</v>
      </c>
      <c r="E2280" s="1" t="n">
        <v>46286</v>
      </c>
      <c r="F2280" t="inlineStr">
        <is>
          <t>VÄSTERNORRLANDS LÄN</t>
        </is>
      </c>
      <c r="G2280" t="inlineStr">
        <is>
          <t>ÖRNSKÖLDSVIK</t>
        </is>
      </c>
      <c r="I2280" t="n">
        <v>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35913-2026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46266</v>
      </c>
      <c r="E2281" s="1" t="n">
        <v>46286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6.6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33387-2026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46247</v>
      </c>
      <c r="E2282" s="1" t="n">
        <v>46286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Kommuner</t>
        </is>
      </c>
      <c r="I2282" t="n">
        <v>0.3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55868-2024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45623</v>
      </c>
      <c r="E2283" s="1" t="n">
        <v>46286</v>
      </c>
      <c r="F2283" t="inlineStr">
        <is>
          <t>VÄSTERNORRLANDS LÄN</t>
        </is>
      </c>
      <c r="G2283" t="inlineStr">
        <is>
          <t>ÖRNSKÖLDSVIK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35901-2026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46266</v>
      </c>
      <c r="E2284" s="1" t="n">
        <v>46286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51754-2021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44462</v>
      </c>
      <c r="E2285" s="1" t="n">
        <v>46286</v>
      </c>
      <c r="F2285" t="inlineStr">
        <is>
          <t>VÄSTERNORRLANDS LÄN</t>
        </is>
      </c>
      <c r="G2285" t="inlineStr">
        <is>
          <t>ÖRNSKÖLDSVIK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36202-2026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46267</v>
      </c>
      <c r="E2286" s="1" t="n">
        <v>46286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63069-2023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45272</v>
      </c>
      <c r="E2287" s="1" t="n">
        <v>46286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Övriga Aktiebolag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31582-2026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46224</v>
      </c>
      <c r="E2288" s="1" t="n">
        <v>46286</v>
      </c>
      <c r="F2288" t="inlineStr">
        <is>
          <t>VÄSTERNORRLANDS LÄN</t>
        </is>
      </c>
      <c r="G2288" t="inlineStr">
        <is>
          <t>ÖRNSKÖLDSVIK</t>
        </is>
      </c>
      <c r="I2288" t="n">
        <v>2.5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33448-2026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46247</v>
      </c>
      <c r="E2289" s="1" t="n">
        <v>46286</v>
      </c>
      <c r="F2289" t="inlineStr">
        <is>
          <t>VÄSTERNORRLANDS LÄN</t>
        </is>
      </c>
      <c r="G2289" t="inlineStr">
        <is>
          <t>ÖRNSKÖLDSVIK</t>
        </is>
      </c>
      <c r="I2289" t="n">
        <v>3.1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35894-2026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46266</v>
      </c>
      <c r="E2290" s="1" t="n">
        <v>46286</v>
      </c>
      <c r="F2290" t="inlineStr">
        <is>
          <t>VÄSTERNORRLANDS LÄN</t>
        </is>
      </c>
      <c r="G2290" t="inlineStr">
        <is>
          <t>ÖRNSKÖLDSVIK</t>
        </is>
      </c>
      <c r="I2290" t="n">
        <v>6.2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36199-2026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46267</v>
      </c>
      <c r="E2291" s="1" t="n">
        <v>46286</v>
      </c>
      <c r="F2291" t="inlineStr">
        <is>
          <t>VÄSTERNORRLANDS LÄN</t>
        </is>
      </c>
      <c r="G2291" t="inlineStr">
        <is>
          <t>ÖRNSKÖLDSVIK</t>
        </is>
      </c>
      <c r="I2291" t="n">
        <v>8.9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36207-2026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46267</v>
      </c>
      <c r="E2292" s="1" t="n">
        <v>46286</v>
      </c>
      <c r="F2292" t="inlineStr">
        <is>
          <t>VÄSTERNORRLANDS LÄN</t>
        </is>
      </c>
      <c r="G2292" t="inlineStr">
        <is>
          <t>ÖRNSKÖLDSVIK</t>
        </is>
      </c>
      <c r="I2292" t="n">
        <v>3.8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36044-2026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46267</v>
      </c>
      <c r="E2293" s="1" t="n">
        <v>46286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31188-2023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45113</v>
      </c>
      <c r="E2294" s="1" t="n">
        <v>46286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8.699999999999999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36192-2026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46267</v>
      </c>
      <c r="E2295" s="1" t="n">
        <v>46286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8.9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36166-2026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46267</v>
      </c>
      <c r="E2296" s="1" t="n">
        <v>46286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9.199999999999999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36203-2026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46267</v>
      </c>
      <c r="E2297" s="1" t="n">
        <v>46286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33355-2026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46286</v>
      </c>
      <c r="F2298" t="inlineStr">
        <is>
          <t>VÄSTERNORRLANDS LÄN</t>
        </is>
      </c>
      <c r="G2298" t="inlineStr">
        <is>
          <t>ÖRNSKÖLDSVIK</t>
        </is>
      </c>
      <c r="I2298" t="n">
        <v>9.4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33424-2026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46247</v>
      </c>
      <c r="E2299" s="1" t="n">
        <v>46286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Kommuner</t>
        </is>
      </c>
      <c r="I2299" t="n">
        <v>1.8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36028-2026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46267</v>
      </c>
      <c r="E2300" s="1" t="n">
        <v>46286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24505-2025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45798</v>
      </c>
      <c r="E2301" s="1" t="n">
        <v>46286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35907-2026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46266</v>
      </c>
      <c r="E2302" s="1" t="n">
        <v>46286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4.5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35958-2026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46266</v>
      </c>
      <c r="E2303" s="1" t="n">
        <v>46286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4.9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36154-2026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46267</v>
      </c>
      <c r="E2304" s="1" t="n">
        <v>46286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34020-2023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45135</v>
      </c>
      <c r="E2305" s="1" t="n">
        <v>46286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61228-2022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44909</v>
      </c>
      <c r="E2306" s="1" t="n">
        <v>46286</v>
      </c>
      <c r="F2306" t="inlineStr">
        <is>
          <t>VÄSTERNORRLANDS LÄN</t>
        </is>
      </c>
      <c r="G2306" t="inlineStr">
        <is>
          <t>ÖRNSKÖLDSVIK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36051-2026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46267</v>
      </c>
      <c r="E2307" s="1" t="n">
        <v>46286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4.2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35991-2026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46266</v>
      </c>
      <c r="E2308" s="1" t="n">
        <v>46286</v>
      </c>
      <c r="F2308" t="inlineStr">
        <is>
          <t>VÄSTERNORRLANDS LÄN</t>
        </is>
      </c>
      <c r="G2308" t="inlineStr">
        <is>
          <t>ÖRNSKÖLDSVIK</t>
        </is>
      </c>
      <c r="I2308" t="n">
        <v>0.9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35858-2026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46266</v>
      </c>
      <c r="E2309" s="1" t="n">
        <v>46286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35903-2026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46266</v>
      </c>
      <c r="E2310" s="1" t="n">
        <v>46286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62472-2021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44503</v>
      </c>
      <c r="E2311" s="1" t="n">
        <v>46286</v>
      </c>
      <c r="F2311" t="inlineStr">
        <is>
          <t>VÄSTERNORRLANDS LÄN</t>
        </is>
      </c>
      <c r="G2311" t="inlineStr">
        <is>
          <t>ÖRNSKÖLDSVIK</t>
        </is>
      </c>
      <c r="I2311" t="n">
        <v>13.6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17357-2022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44678</v>
      </c>
      <c r="E2312" s="1" t="n">
        <v>46286</v>
      </c>
      <c r="F2312" t="inlineStr">
        <is>
          <t>VÄSTERNORRLANDS LÄN</t>
        </is>
      </c>
      <c r="G2312" t="inlineStr">
        <is>
          <t>ÖRNSKÖLDSVIK</t>
        </is>
      </c>
      <c r="I2312" t="n">
        <v>3.5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831-2024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45301</v>
      </c>
      <c r="E2313" s="1" t="n">
        <v>46286</v>
      </c>
      <c r="F2313" t="inlineStr">
        <is>
          <t>VÄSTERNORRLANDS LÄN</t>
        </is>
      </c>
      <c r="G2313" t="inlineStr">
        <is>
          <t>ÖRNSKÖLDSVIK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59594-2024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45638</v>
      </c>
      <c r="E2314" s="1" t="n">
        <v>46286</v>
      </c>
      <c r="F2314" t="inlineStr">
        <is>
          <t>VÄSTERNORRLANDS LÄN</t>
        </is>
      </c>
      <c r="G2314" t="inlineStr">
        <is>
          <t>ÖRNSKÖLDSVIK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42764-2023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45181</v>
      </c>
      <c r="E2315" s="1" t="n">
        <v>46286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2111-2025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45672</v>
      </c>
      <c r="E2316" s="1" t="n">
        <v>46286</v>
      </c>
      <c r="F2316" t="inlineStr">
        <is>
          <t>VÄSTERNORRLANDS LÄN</t>
        </is>
      </c>
      <c r="G2316" t="inlineStr">
        <is>
          <t>ÖRNSKÖLDSVIK</t>
        </is>
      </c>
      <c r="I2316" t="n">
        <v>13.7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36304-2026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46268</v>
      </c>
      <c r="E2317" s="1" t="n">
        <v>46286</v>
      </c>
      <c r="F2317" t="inlineStr">
        <is>
          <t>VÄSTERNORRLANDS LÄN</t>
        </is>
      </c>
      <c r="G2317" t="inlineStr">
        <is>
          <t>ÖRNSKÖLDSVIK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36536-2026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46269</v>
      </c>
      <c r="E2318" s="1" t="n">
        <v>46286</v>
      </c>
      <c r="F2318" t="inlineStr">
        <is>
          <t>VÄSTERNORRLANDS LÄN</t>
        </is>
      </c>
      <c r="G2318" t="inlineStr">
        <is>
          <t>ÖRNSKÖLDSVIK</t>
        </is>
      </c>
      <c r="I2318" t="n">
        <v>3.5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12682-2024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45384</v>
      </c>
      <c r="E2319" s="1" t="n">
        <v>46286</v>
      </c>
      <c r="F2319" t="inlineStr">
        <is>
          <t>VÄSTERNORRLANDS LÄN</t>
        </is>
      </c>
      <c r="G2319" t="inlineStr">
        <is>
          <t>ÖRNSKÖLDSVIK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31727-2026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46227</v>
      </c>
      <c r="E2320" s="1" t="n">
        <v>46286</v>
      </c>
      <c r="F2320" t="inlineStr">
        <is>
          <t>VÄSTERNORRLANDS LÄN</t>
        </is>
      </c>
      <c r="G2320" t="inlineStr">
        <is>
          <t>ÖRNSKÖLDSVIK</t>
        </is>
      </c>
      <c r="I2320" t="n">
        <v>9.300000000000001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36527-2026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46269</v>
      </c>
      <c r="E2321" s="1" t="n">
        <v>46286</v>
      </c>
      <c r="F2321" t="inlineStr">
        <is>
          <t>VÄSTERNORRLANDS LÄN</t>
        </is>
      </c>
      <c r="G2321" t="inlineStr">
        <is>
          <t>ÖRNSKÖLDSVIK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36539-2026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46269</v>
      </c>
      <c r="E2322" s="1" t="n">
        <v>46286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2.6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17099-2023</t>
        </is>
      </c>
      <c r="B2323" t="inlineStr">
        <is>
          <t>avverkningsanmälan</t>
        </is>
      </c>
      <c r="C2323" t="inlineStr">
        <is>
          <t>Avverkning för annat ändamål</t>
        </is>
      </c>
      <c r="D2323" s="1" t="n">
        <v>45034</v>
      </c>
      <c r="E2323" s="1" t="n">
        <v>46286</v>
      </c>
      <c r="F2323" t="inlineStr">
        <is>
          <t>VÄSTERNORRLANDS LÄN</t>
        </is>
      </c>
      <c r="G2323" t="inlineStr">
        <is>
          <t>ÖRNSKÖLDSVIK</t>
        </is>
      </c>
      <c r="I2323" t="n">
        <v>0.9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20222-2024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45434</v>
      </c>
      <c r="E2324" s="1" t="n">
        <v>46286</v>
      </c>
      <c r="F2324" t="inlineStr">
        <is>
          <t>VÄSTERNORRLANDS LÄN</t>
        </is>
      </c>
      <c r="G2324" t="inlineStr">
        <is>
          <t>ÖRNSKÖLDSVIK</t>
        </is>
      </c>
      <c r="I2324" t="n">
        <v>0.3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36545-2026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46269</v>
      </c>
      <c r="E2325" s="1" t="n">
        <v>46286</v>
      </c>
      <c r="F2325" t="inlineStr">
        <is>
          <t>VÄSTERNORRLANDS LÄN</t>
        </is>
      </c>
      <c r="G2325" t="inlineStr">
        <is>
          <t>ÖRNSKÖLDSVIK</t>
        </is>
      </c>
      <c r="I2325" t="n">
        <v>1.4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36484-2026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46269</v>
      </c>
      <c r="E2326" s="1" t="n">
        <v>46286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36553-2026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46269</v>
      </c>
      <c r="E2327" s="1" t="n">
        <v>46286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36466-2026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46269</v>
      </c>
      <c r="E2328" s="1" t="n">
        <v>46286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36450-2026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46269</v>
      </c>
      <c r="E2329" s="1" t="n">
        <v>46286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36429-2026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46269</v>
      </c>
      <c r="E2330" s="1" t="n">
        <v>46286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60511-2021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44495</v>
      </c>
      <c r="E2331" s="1" t="n">
        <v>46286</v>
      </c>
      <c r="F2331" t="inlineStr">
        <is>
          <t>VÄSTERNORRLANDS LÄN</t>
        </is>
      </c>
      <c r="G2331" t="inlineStr">
        <is>
          <t>ÖRNSKÖLDSVIK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34356-2026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46254</v>
      </c>
      <c r="E2332" s="1" t="n">
        <v>46286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Kommuner</t>
        </is>
      </c>
      <c r="I2332" t="n">
        <v>2.6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21133-2024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45440</v>
      </c>
      <c r="E2333" s="1" t="n">
        <v>46286</v>
      </c>
      <c r="F2333" t="inlineStr">
        <is>
          <t>VÄSTERNORRLANDS LÄN</t>
        </is>
      </c>
      <c r="G2333" t="inlineStr">
        <is>
          <t>ÖRNSKÖLDSVIK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61195-2024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45645</v>
      </c>
      <c r="E2334" s="1" t="n">
        <v>46286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9.5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36477-2026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46269</v>
      </c>
      <c r="E2335" s="1" t="n">
        <v>46286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9.300000000000001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23346-2024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45453</v>
      </c>
      <c r="E2336" s="1" t="n">
        <v>46286</v>
      </c>
      <c r="F2336" t="inlineStr">
        <is>
          <t>VÄSTERNORRLANDS LÄN</t>
        </is>
      </c>
      <c r="G2336" t="inlineStr">
        <is>
          <t>ÖRNSKÖLDSVIK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33922-2023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45122</v>
      </c>
      <c r="E2337" s="1" t="n">
        <v>46286</v>
      </c>
      <c r="F2337" t="inlineStr">
        <is>
          <t>VÄSTERNORRLANDS LÄN</t>
        </is>
      </c>
      <c r="G2337" t="inlineStr">
        <is>
          <t>ÖRNSKÖLDSVIK</t>
        </is>
      </c>
      <c r="I2337" t="n">
        <v>1.3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19519-2023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45050</v>
      </c>
      <c r="E2338" s="1" t="n">
        <v>46286</v>
      </c>
      <c r="F2338" t="inlineStr">
        <is>
          <t>VÄSTERNORRLANDS LÄN</t>
        </is>
      </c>
      <c r="G2338" t="inlineStr">
        <is>
          <t>ÖRNSKÖLDSVIK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36373-2026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46268</v>
      </c>
      <c r="E2339" s="1" t="n">
        <v>46286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16193-2023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45027</v>
      </c>
      <c r="E2340" s="1" t="n">
        <v>46286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2.3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36382-2026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46268</v>
      </c>
      <c r="E2341" s="1" t="n">
        <v>46286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3.2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28763-2024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45478</v>
      </c>
      <c r="E2342" s="1" t="n">
        <v>46286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4.6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20765-2025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45776</v>
      </c>
      <c r="E2343" s="1" t="n">
        <v>46286</v>
      </c>
      <c r="F2343" t="inlineStr">
        <is>
          <t>VÄSTERNORRLANDS LÄN</t>
        </is>
      </c>
      <c r="G2343" t="inlineStr">
        <is>
          <t>ÖRNSKÖLDSVIK</t>
        </is>
      </c>
      <c r="I2343" t="n">
        <v>20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36524-2026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46269</v>
      </c>
      <c r="E2344" s="1" t="n">
        <v>46286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31649-2026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46225</v>
      </c>
      <c r="E2345" s="1" t="n">
        <v>46286</v>
      </c>
      <c r="F2345" t="inlineStr">
        <is>
          <t>VÄSTERNORRLANDS LÄN</t>
        </is>
      </c>
      <c r="G2345" t="inlineStr">
        <is>
          <t>ÖRNSKÖLDSVIK</t>
        </is>
      </c>
      <c r="I2345" t="n">
        <v>1.6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36481-2026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46269</v>
      </c>
      <c r="E2346" s="1" t="n">
        <v>46286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20925-2026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46142</v>
      </c>
      <c r="E2347" s="1" t="n">
        <v>46286</v>
      </c>
      <c r="F2347" t="inlineStr">
        <is>
          <t>VÄSTERNORRLANDS LÄN</t>
        </is>
      </c>
      <c r="G2347" t="inlineStr">
        <is>
          <t>ÖRNSKÖLDSVIK</t>
        </is>
      </c>
      <c r="I2347" t="n">
        <v>1.5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31759-2026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46227</v>
      </c>
      <c r="E2348" s="1" t="n">
        <v>46286</v>
      </c>
      <c r="F2348" t="inlineStr">
        <is>
          <t>VÄSTERNORRLANDS LÄN</t>
        </is>
      </c>
      <c r="G2348" t="inlineStr">
        <is>
          <t>ÖRNSKÖLDSVIK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20726-2025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45776</v>
      </c>
      <c r="E2349" s="1" t="n">
        <v>46286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28659-2024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45478</v>
      </c>
      <c r="E2350" s="1" t="n">
        <v>46286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36661-2024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45537</v>
      </c>
      <c r="E2351" s="1" t="n">
        <v>46286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6.5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21241-2025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45779</v>
      </c>
      <c r="E2352" s="1" t="n">
        <v>46286</v>
      </c>
      <c r="F2352" t="inlineStr">
        <is>
          <t>VÄSTERNORRLANDS LÄN</t>
        </is>
      </c>
      <c r="G2352" t="inlineStr">
        <is>
          <t>ÖRNSKÖLDSVIK</t>
        </is>
      </c>
      <c r="I2352" t="n">
        <v>0.2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21475-2025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45782</v>
      </c>
      <c r="E2353" s="1" t="n">
        <v>46286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5.9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21666-2025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45783</v>
      </c>
      <c r="E2354" s="1" t="n">
        <v>46286</v>
      </c>
      <c r="F2354" t="inlineStr">
        <is>
          <t>VÄSTERNORRLANDS LÄN</t>
        </is>
      </c>
      <c r="G2354" t="inlineStr">
        <is>
          <t>ÖRNSKÖLDSVIK</t>
        </is>
      </c>
      <c r="I2354" t="n">
        <v>4.2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36787-2026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46272</v>
      </c>
      <c r="E2355" s="1" t="n">
        <v>46286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36791-2026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46272</v>
      </c>
      <c r="E2356" s="1" t="n">
        <v>46286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5.8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21777-2025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45783</v>
      </c>
      <c r="E2357" s="1" t="n">
        <v>46286</v>
      </c>
      <c r="F2357" t="inlineStr">
        <is>
          <t>VÄSTERNORRLANDS LÄN</t>
        </is>
      </c>
      <c r="G2357" t="inlineStr">
        <is>
          <t>ÖRNSKÖLDSVIK</t>
        </is>
      </c>
      <c r="I2357" t="n">
        <v>3.5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37048-2026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46273</v>
      </c>
      <c r="E2358" s="1" t="n">
        <v>46286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37049-2026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46273</v>
      </c>
      <c r="E2359" s="1" t="n">
        <v>46286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21521-2025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45782</v>
      </c>
      <c r="E2360" s="1" t="n">
        <v>46286</v>
      </c>
      <c r="F2360" t="inlineStr">
        <is>
          <t>VÄSTERNORRLANDS LÄN</t>
        </is>
      </c>
      <c r="G2360" t="inlineStr">
        <is>
          <t>ÖRNSKÖLDSVIK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36874-2026</t>
        </is>
      </c>
      <c r="B2361" t="inlineStr">
        <is>
          <t>avverkningsanmälan</t>
        </is>
      </c>
      <c r="C2361" t="inlineStr">
        <is>
          <t>Avverkning för annat ändamål</t>
        </is>
      </c>
      <c r="D2361" s="1" t="n">
        <v>46273</v>
      </c>
      <c r="E2361" s="1" t="n">
        <v>46286</v>
      </c>
      <c r="F2361" t="inlineStr">
        <is>
          <t>VÄSTERNORRLANDS LÄN</t>
        </is>
      </c>
      <c r="G2361" t="inlineStr">
        <is>
          <t>ÖRNSKÖLDSVIK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36797-2026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46272</v>
      </c>
      <c r="E2362" s="1" t="n">
        <v>46286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36918-2026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46273</v>
      </c>
      <c r="E2363" s="1" t="n">
        <v>46286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37063-2026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46273</v>
      </c>
      <c r="E2364" s="1" t="n">
        <v>46286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21313-2025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45782</v>
      </c>
      <c r="E2365" s="1" t="n">
        <v>46286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36778-2026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46272</v>
      </c>
      <c r="E2366" s="1" t="n">
        <v>46286</v>
      </c>
      <c r="F2366" t="inlineStr">
        <is>
          <t>VÄSTERNORRLANDS LÄN</t>
        </is>
      </c>
      <c r="G2366" t="inlineStr">
        <is>
          <t>ÖRNSKÖLDSVIK</t>
        </is>
      </c>
      <c r="I2366" t="n">
        <v>2.1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36697-2026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46272</v>
      </c>
      <c r="E2367" s="1" t="n">
        <v>46286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37055-2026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46273</v>
      </c>
      <c r="E2368" s="1" t="n">
        <v>46286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4.9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37274-2026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46274</v>
      </c>
      <c r="E2369" s="1" t="n">
        <v>46286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33971-2026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46252</v>
      </c>
      <c r="E2370" s="1" t="n">
        <v>46286</v>
      </c>
      <c r="F2370" t="inlineStr">
        <is>
          <t>VÄSTERNORRLANDS LÄN</t>
        </is>
      </c>
      <c r="G2370" t="inlineStr">
        <is>
          <t>ÖRNSKÖLDSVIK</t>
        </is>
      </c>
      <c r="I2370" t="n">
        <v>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33976-2026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46252</v>
      </c>
      <c r="E2371" s="1" t="n">
        <v>46286</v>
      </c>
      <c r="F2371" t="inlineStr">
        <is>
          <t>VÄSTERNORRLANDS LÄN</t>
        </is>
      </c>
      <c r="G2371" t="inlineStr">
        <is>
          <t>ÖRNSKÖLDSVIK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33960-2026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46252</v>
      </c>
      <c r="E2372" s="1" t="n">
        <v>46286</v>
      </c>
      <c r="F2372" t="inlineStr">
        <is>
          <t>VÄSTERNORRLANDS LÄN</t>
        </is>
      </c>
      <c r="G2372" t="inlineStr">
        <is>
          <t>ÖRNSKÖLDSVIK</t>
        </is>
      </c>
      <c r="I2372" t="n">
        <v>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63748-2023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45277</v>
      </c>
      <c r="E2373" s="1" t="n">
        <v>46286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Övriga Aktiebolag</t>
        </is>
      </c>
      <c r="I2373" t="n">
        <v>4.6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35956-2026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46266</v>
      </c>
      <c r="E2374" s="1" t="n">
        <v>46286</v>
      </c>
      <c r="F2374" t="inlineStr">
        <is>
          <t>VÄSTERNORRLANDS LÄN</t>
        </is>
      </c>
      <c r="G2374" t="inlineStr">
        <is>
          <t>ÖRNSKÖLDSVIK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37360-2026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46275</v>
      </c>
      <c r="E2375" s="1" t="n">
        <v>46286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33968-2026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46252</v>
      </c>
      <c r="E2376" s="1" t="n">
        <v>46286</v>
      </c>
      <c r="F2376" t="inlineStr">
        <is>
          <t>VÄSTERNORRLANDS LÄN</t>
        </is>
      </c>
      <c r="G2376" t="inlineStr">
        <is>
          <t>ÖRNSKÖLDSVIK</t>
        </is>
      </c>
      <c r="I2376" t="n">
        <v>4.2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37363-2026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46275</v>
      </c>
      <c r="E2377" s="1" t="n">
        <v>46286</v>
      </c>
      <c r="F2377" t="inlineStr">
        <is>
          <t>VÄSTERNORRLANDS LÄN</t>
        </is>
      </c>
      <c r="G2377" t="inlineStr">
        <is>
          <t>ÖRNSKÖLDSVIK</t>
        </is>
      </c>
      <c r="I2377" t="n">
        <v>1.7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37371-2026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46275</v>
      </c>
      <c r="E2378" s="1" t="n">
        <v>46286</v>
      </c>
      <c r="F2378" t="inlineStr">
        <is>
          <t>VÄSTERNORRLANDS LÄN</t>
        </is>
      </c>
      <c r="G2378" t="inlineStr">
        <is>
          <t>ÖRNSKÖLDSVIK</t>
        </is>
      </c>
      <c r="I2378" t="n">
        <v>6.8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37245-2026</t>
        </is>
      </c>
      <c r="B2379" t="inlineStr">
        <is>
          <t>avverkningsanmälan</t>
        </is>
      </c>
      <c r="C2379" t="inlineStr">
        <is>
          <t>Avverkning för annat ändamål</t>
        </is>
      </c>
      <c r="D2379" s="1" t="n">
        <v>46274</v>
      </c>
      <c r="E2379" s="1" t="n">
        <v>46286</v>
      </c>
      <c r="F2379" t="inlineStr">
        <is>
          <t>VÄSTERNORRLANDS LÄN</t>
        </is>
      </c>
      <c r="G2379" t="inlineStr">
        <is>
          <t>ÖRNSKÖLDSVIK</t>
        </is>
      </c>
      <c r="I2379" t="n">
        <v>1.9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37452-2026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46275</v>
      </c>
      <c r="E2380" s="1" t="n">
        <v>46286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37380-2026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46275</v>
      </c>
      <c r="E2381" s="1" t="n">
        <v>46286</v>
      </c>
      <c r="F2381" t="inlineStr">
        <is>
          <t>VÄSTERNORRLANDS LÄN</t>
        </is>
      </c>
      <c r="G2381" t="inlineStr">
        <is>
          <t>ÖRNSKÖLDSVIK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37381-2026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46275</v>
      </c>
      <c r="E2382" s="1" t="n">
        <v>46286</v>
      </c>
      <c r="F2382" t="inlineStr">
        <is>
          <t>VÄSTERNORRLANDS LÄN</t>
        </is>
      </c>
      <c r="G2382" t="inlineStr">
        <is>
          <t>ÖRNSKÖLDSVIK</t>
        </is>
      </c>
      <c r="I2382" t="n">
        <v>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37111-2026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46274</v>
      </c>
      <c r="E2383" s="1" t="n">
        <v>46286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37324-2026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46274</v>
      </c>
      <c r="E2384" s="1" t="n">
        <v>46286</v>
      </c>
      <c r="F2384" t="inlineStr">
        <is>
          <t>VÄSTERNORRLANDS LÄN</t>
        </is>
      </c>
      <c r="G2384" t="inlineStr">
        <is>
          <t>ÖRNSKÖLDSVIK</t>
        </is>
      </c>
      <c r="I2384" t="n">
        <v>4.1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37362-2026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46275</v>
      </c>
      <c r="E2385" s="1" t="n">
        <v>46286</v>
      </c>
      <c r="F2385" t="inlineStr">
        <is>
          <t>VÄSTERNORRLANDS LÄN</t>
        </is>
      </c>
      <c r="G2385" t="inlineStr">
        <is>
          <t>ÖRNSKÖLDSVIK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37506-2026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46275</v>
      </c>
      <c r="E2386" s="1" t="n">
        <v>46286</v>
      </c>
      <c r="F2386" t="inlineStr">
        <is>
          <t>VÄSTERNORRLANDS LÄN</t>
        </is>
      </c>
      <c r="G2386" t="inlineStr">
        <is>
          <t>ÖRNSKÖLDSVIK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32003-2026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46233</v>
      </c>
      <c r="E2387" s="1" t="n">
        <v>46286</v>
      </c>
      <c r="F2387" t="inlineStr">
        <is>
          <t>VÄSTERNORRLANDS LÄN</t>
        </is>
      </c>
      <c r="G2387" t="inlineStr">
        <is>
          <t>ÖRNSKÖLDSVIK</t>
        </is>
      </c>
      <c r="I2387" t="n">
        <v>1.8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32006-2026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46233</v>
      </c>
      <c r="E2388" s="1" t="n">
        <v>46286</v>
      </c>
      <c r="F2388" t="inlineStr">
        <is>
          <t>VÄSTERNORRLANDS LÄN</t>
        </is>
      </c>
      <c r="G2388" t="inlineStr">
        <is>
          <t>ÖRNSKÖLDSVIK</t>
        </is>
      </c>
      <c r="I2388" t="n">
        <v>3.4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32007-2026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46233</v>
      </c>
      <c r="E2389" s="1" t="n">
        <v>46286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37852-2026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46279</v>
      </c>
      <c r="E2390" s="1" t="n">
        <v>46286</v>
      </c>
      <c r="F2390" t="inlineStr">
        <is>
          <t>VÄSTERNORRLANDS LÄN</t>
        </is>
      </c>
      <c r="G2390" t="inlineStr">
        <is>
          <t>ÖRNSKÖLDSVIK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21859-2025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45784</v>
      </c>
      <c r="E2391" s="1" t="n">
        <v>46286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37526-2026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46276</v>
      </c>
      <c r="E2392" s="1" t="n">
        <v>46286</v>
      </c>
      <c r="F2392" t="inlineStr">
        <is>
          <t>VÄSTERNORRLANDS LÄN</t>
        </is>
      </c>
      <c r="G2392" t="inlineStr">
        <is>
          <t>ÖRNSKÖLDSVIK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11689-2024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45373</v>
      </c>
      <c r="E2393" s="1" t="n">
        <v>46286</v>
      </c>
      <c r="F2393" t="inlineStr">
        <is>
          <t>VÄSTERNORRLANDS LÄN</t>
        </is>
      </c>
      <c r="G2393" t="inlineStr">
        <is>
          <t>ÖRNSKÖLDSVIK</t>
        </is>
      </c>
      <c r="I2393" t="n">
        <v>2.6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45437-2024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45576</v>
      </c>
      <c r="E2394" s="1" t="n">
        <v>46286</v>
      </c>
      <c r="F2394" t="inlineStr">
        <is>
          <t>VÄSTERNORRLANDS LÄN</t>
        </is>
      </c>
      <c r="G2394" t="inlineStr">
        <is>
          <t>ÖRNSKÖLDSVIK</t>
        </is>
      </c>
      <c r="I2394" t="n">
        <v>6.7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37524-2026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46276</v>
      </c>
      <c r="E2395" s="1" t="n">
        <v>46286</v>
      </c>
      <c r="F2395" t="inlineStr">
        <is>
          <t>VÄSTERNORRLANDS LÄN</t>
        </is>
      </c>
      <c r="G2395" t="inlineStr">
        <is>
          <t>ÖRNSKÖLDSVIK</t>
        </is>
      </c>
      <c r="I2395" t="n">
        <v>11.9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37160-2026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46274</v>
      </c>
      <c r="E2396" s="1" t="n">
        <v>46286</v>
      </c>
      <c r="F2396" t="inlineStr">
        <is>
          <t>VÄSTERNORRLANDS LÄN</t>
        </is>
      </c>
      <c r="G2396" t="inlineStr">
        <is>
          <t>ÖRNSKÖLDSVIK</t>
        </is>
      </c>
      <c r="I2396" t="n">
        <v>3.1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37574-2026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46276</v>
      </c>
      <c r="E2397" s="1" t="n">
        <v>46286</v>
      </c>
      <c r="F2397" t="inlineStr">
        <is>
          <t>VÄSTERNORRLANDS LÄN</t>
        </is>
      </c>
      <c r="G2397" t="inlineStr">
        <is>
          <t>ÖRNSKÖLDSVIK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37580-2026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46276</v>
      </c>
      <c r="E2398" s="1" t="n">
        <v>46286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3.6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37531-2026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46276</v>
      </c>
      <c r="E2399" s="1" t="n">
        <v>46286</v>
      </c>
      <c r="F2399" t="inlineStr">
        <is>
          <t>VÄSTERNORRLANDS LÄN</t>
        </is>
      </c>
      <c r="G2399" t="inlineStr">
        <is>
          <t>ÖRNSKÖLDSVIK</t>
        </is>
      </c>
      <c r="I2399" t="n">
        <v>2.4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37548-2026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46276</v>
      </c>
      <c r="E2400" s="1" t="n">
        <v>46286</v>
      </c>
      <c r="F2400" t="inlineStr">
        <is>
          <t>VÄSTERNORRLANDS LÄN</t>
        </is>
      </c>
      <c r="G2400" t="inlineStr">
        <is>
          <t>ÖRNSKÖLDSVIK</t>
        </is>
      </c>
      <c r="I2400" t="n">
        <v>6.4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37881-2026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46279</v>
      </c>
      <c r="E2401" s="1" t="n">
        <v>46286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37698-2026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46279</v>
      </c>
      <c r="E2402" s="1" t="n">
        <v>46286</v>
      </c>
      <c r="F2402" t="inlineStr">
        <is>
          <t>VÄSTERNORRLANDS LÄN</t>
        </is>
      </c>
      <c r="G2402" t="inlineStr">
        <is>
          <t>ÖRNSKÖLDSVIK</t>
        </is>
      </c>
      <c r="I2402" t="n">
        <v>2.6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46350-2024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45582</v>
      </c>
      <c r="E2403" s="1" t="n">
        <v>46286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38032-2026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46280</v>
      </c>
      <c r="E2404" s="1" t="n">
        <v>46286</v>
      </c>
      <c r="F2404" t="inlineStr">
        <is>
          <t>VÄSTERNORRLANDS LÄN</t>
        </is>
      </c>
      <c r="G2404" t="inlineStr">
        <is>
          <t>ÖRNSKÖLDSVIK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38221-2026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46281</v>
      </c>
      <c r="E2405" s="1" t="n">
        <v>46286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4.3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38103-2026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46281</v>
      </c>
      <c r="E2406" s="1" t="n">
        <v>46286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45291</v>
      </c>
      <c r="E2407" s="1" t="n">
        <v>46286</v>
      </c>
      <c r="F2407" t="inlineStr">
        <is>
          <t>VÄSTERNORRLANDS LÄN</t>
        </is>
      </c>
      <c r="G2407" t="inlineStr">
        <is>
          <t>ÖRNSKÖLDSVIK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38129-2026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46281</v>
      </c>
      <c r="E2408" s="1" t="n">
        <v>46286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3.1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32325-2026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46238</v>
      </c>
      <c r="E2409" s="1" t="n">
        <v>46286</v>
      </c>
      <c r="F2409" t="inlineStr">
        <is>
          <t>VÄSTERNORRLANDS LÄN</t>
        </is>
      </c>
      <c r="G2409" t="inlineStr">
        <is>
          <t>ÖRNSKÖLDSVIK</t>
        </is>
      </c>
      <c r="I2409" t="n">
        <v>1.2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34888-2026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46259</v>
      </c>
      <c r="E2410" s="1" t="n">
        <v>46286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38118-2026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46281</v>
      </c>
      <c r="E2411" s="1" t="n">
        <v>46286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4.2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24661-2024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45460</v>
      </c>
      <c r="E2412" s="1" t="n">
        <v>46286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28789-2024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45478</v>
      </c>
      <c r="E2413" s="1" t="n">
        <v>46286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37923-2026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46280</v>
      </c>
      <c r="E2414" s="1" t="n">
        <v>46286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4.1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42813-2024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45566</v>
      </c>
      <c r="E2415" s="1" t="n">
        <v>46286</v>
      </c>
      <c r="F2415" t="inlineStr">
        <is>
          <t>VÄSTERNORRLANDS LÄN</t>
        </is>
      </c>
      <c r="G2415" t="inlineStr">
        <is>
          <t>ÖRNSKÖLDSVIK</t>
        </is>
      </c>
      <c r="I2415" t="n">
        <v>4.4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38217-2026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46281</v>
      </c>
      <c r="E2416" s="1" t="n">
        <v>46286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6.8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38097-2026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46281</v>
      </c>
      <c r="E2417" s="1" t="n">
        <v>46286</v>
      </c>
      <c r="F2417" t="inlineStr">
        <is>
          <t>VÄSTERNORRLANDS LÄN</t>
        </is>
      </c>
      <c r="G2417" t="inlineStr">
        <is>
          <t>ÖRNSKÖLDSVIK</t>
        </is>
      </c>
      <c r="I2417" t="n">
        <v>6.7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17386-2022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44678</v>
      </c>
      <c r="E2418" s="1" t="n">
        <v>46286</v>
      </c>
      <c r="F2418" t="inlineStr">
        <is>
          <t>VÄSTERNORRLANDS LÄN</t>
        </is>
      </c>
      <c r="G2418" t="inlineStr">
        <is>
          <t>ÖRNSKÖLDSVIK</t>
        </is>
      </c>
      <c r="I2418" t="n">
        <v>10.5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38174-2026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46281</v>
      </c>
      <c r="E2419" s="1" t="n">
        <v>46286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7.7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38182-2026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46281</v>
      </c>
      <c r="E2420" s="1" t="n">
        <v>46286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38210-2026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46281</v>
      </c>
      <c r="E2421" s="1" t="n">
        <v>46286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36444-2026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46269</v>
      </c>
      <c r="E2422" s="1" t="n">
        <v>46286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37058-2023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45155</v>
      </c>
      <c r="E2423" s="1" t="n">
        <v>46286</v>
      </c>
      <c r="F2423" t="inlineStr">
        <is>
          <t>VÄSTERNORRLANDS LÄN</t>
        </is>
      </c>
      <c r="G2423" t="inlineStr">
        <is>
          <t>ÖRNSKÖLDSVIK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14403-2022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44652</v>
      </c>
      <c r="E2424" s="1" t="n">
        <v>46286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Kyrkan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38225-2026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46281</v>
      </c>
      <c r="E2425" s="1" t="n">
        <v>46286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SCA</t>
        </is>
      </c>
      <c r="I2425" t="n">
        <v>2.6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38028-2026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46280</v>
      </c>
      <c r="E2426" s="1" t="n">
        <v>46286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38054-2026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46280</v>
      </c>
      <c r="E2427" s="1" t="n">
        <v>46286</v>
      </c>
      <c r="F2427" t="inlineStr">
        <is>
          <t>VÄSTERNORRLANDS LÄN</t>
        </is>
      </c>
      <c r="G2427" t="inlineStr">
        <is>
          <t>ÖRNSKÖLDSVIK</t>
        </is>
      </c>
      <c r="I2427" t="n">
        <v>1.2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37940-2026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46280</v>
      </c>
      <c r="E2428" s="1" t="n">
        <v>46286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37918-2026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46280</v>
      </c>
      <c r="E2429" s="1" t="n">
        <v>46286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37919-2026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46280</v>
      </c>
      <c r="E2430" s="1" t="n">
        <v>46286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38141-2026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46281</v>
      </c>
      <c r="E2431" s="1" t="n">
        <v>46286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2.5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42944-2024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45567</v>
      </c>
      <c r="E2432" s="1" t="n">
        <v>46286</v>
      </c>
      <c r="F2432" t="inlineStr">
        <is>
          <t>VÄSTERNORRLANDS LÄN</t>
        </is>
      </c>
      <c r="G2432" t="inlineStr">
        <is>
          <t>ÖRNSKÖLDSVIK</t>
        </is>
      </c>
      <c r="I2432" t="n">
        <v>4.3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59560-2023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45254</v>
      </c>
      <c r="E2433" s="1" t="n">
        <v>46286</v>
      </c>
      <c r="F2433" t="inlineStr">
        <is>
          <t>VÄSTERNORRLANDS LÄN</t>
        </is>
      </c>
      <c r="G2433" t="inlineStr">
        <is>
          <t>ÖRNSKÖLDSVIK</t>
        </is>
      </c>
      <c r="I2433" t="n">
        <v>12.1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45951-2024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45580</v>
      </c>
      <c r="E2434" s="1" t="n">
        <v>46286</v>
      </c>
      <c r="F2434" t="inlineStr">
        <is>
          <t>VÄSTERNORRLANDS LÄN</t>
        </is>
      </c>
      <c r="G2434" t="inlineStr">
        <is>
          <t>ÖRNSKÖLDSVIK</t>
        </is>
      </c>
      <c r="I2434" t="n">
        <v>1.5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32319-2026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46238</v>
      </c>
      <c r="E2435" s="1" t="n">
        <v>46286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10.7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38184-2026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46281</v>
      </c>
      <c r="E2436" s="1" t="n">
        <v>46286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38186-2026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46281</v>
      </c>
      <c r="E2437" s="1" t="n">
        <v>46286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37945-2026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46280</v>
      </c>
      <c r="E2438" s="1" t="n">
        <v>46286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8.5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37986-2026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46280</v>
      </c>
      <c r="E2439" s="1" t="n">
        <v>46286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4.8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19361-2024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45429</v>
      </c>
      <c r="E2440" s="1" t="n">
        <v>46286</v>
      </c>
      <c r="F2440" t="inlineStr">
        <is>
          <t>VÄSTERNORRLANDS LÄN</t>
        </is>
      </c>
      <c r="G2440" t="inlineStr">
        <is>
          <t>ÖRNSKÖLDSVIK</t>
        </is>
      </c>
      <c r="I2440" t="n">
        <v>3.9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41043-2024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45559</v>
      </c>
      <c r="E2441" s="1" t="n">
        <v>46286</v>
      </c>
      <c r="F2441" t="inlineStr">
        <is>
          <t>VÄSTERNORRLANDS LÄN</t>
        </is>
      </c>
      <c r="G2441" t="inlineStr">
        <is>
          <t>ÖRNSKÖLDSVIK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32161-2026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46237</v>
      </c>
      <c r="E2442" s="1" t="n">
        <v>46286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8.699999999999999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34796-2023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45141</v>
      </c>
      <c r="E2443" s="1" t="n">
        <v>46286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32403-2026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46238</v>
      </c>
      <c r="E2444" s="1" t="n">
        <v>46286</v>
      </c>
      <c r="F2444" t="inlineStr">
        <is>
          <t>VÄSTERNORRLANDS LÄN</t>
        </is>
      </c>
      <c r="G2444" t="inlineStr">
        <is>
          <t>ÖRNSKÖLDSVIK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32405-2026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46238</v>
      </c>
      <c r="E2445" s="1" t="n">
        <v>46286</v>
      </c>
      <c r="F2445" t="inlineStr">
        <is>
          <t>VÄSTERNORRLANDS LÄN</t>
        </is>
      </c>
      <c r="G2445" t="inlineStr">
        <is>
          <t>ÖRNSKÖLDSVIK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22137-2024</t>
        </is>
      </c>
      <c r="B2446" t="inlineStr">
        <is>
          <t>avverkningsanmälan</t>
        </is>
      </c>
      <c r="C2446" t="inlineStr">
        <is>
          <t>Avverkning för att bevara och utveckla /försöksver</t>
        </is>
      </c>
      <c r="D2446" s="1" t="n">
        <v>45444</v>
      </c>
      <c r="E2446" s="1" t="n">
        <v>46286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SCA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35341-2022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44798</v>
      </c>
      <c r="E2447" s="1" t="n">
        <v>46286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38124-2026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46281</v>
      </c>
      <c r="E2448" s="1" t="n">
        <v>46286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36315-2026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46268</v>
      </c>
      <c r="E2449" s="1" t="n">
        <v>46286</v>
      </c>
      <c r="F2449" t="inlineStr">
        <is>
          <t>VÄSTERNORRLANDS LÄN</t>
        </is>
      </c>
      <c r="G2449" t="inlineStr">
        <is>
          <t>ÖRNSKÖLDSVIK</t>
        </is>
      </c>
      <c r="I2449" t="n">
        <v>0.6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38542-2026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46283</v>
      </c>
      <c r="E2450" s="1" t="n">
        <v>46286</v>
      </c>
      <c r="F2450" t="inlineStr">
        <is>
          <t>VÄSTERNORRLANDS LÄN</t>
        </is>
      </c>
      <c r="G2450" t="inlineStr">
        <is>
          <t>ÖRNSKÖLDSVIK</t>
        </is>
      </c>
      <c r="I2450" t="n">
        <v>1.2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38322-2026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46282</v>
      </c>
      <c r="E2451" s="1" t="n">
        <v>46286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23.6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24418-2025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45797</v>
      </c>
      <c r="E2452" s="1" t="n">
        <v>46286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SCA</t>
        </is>
      </c>
      <c r="I2452" t="n">
        <v>2.9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23942-2025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45796</v>
      </c>
      <c r="E2453" s="1" t="n">
        <v>46286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34586-2024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45526</v>
      </c>
      <c r="E2454" s="1" t="n">
        <v>46286</v>
      </c>
      <c r="F2454" t="inlineStr">
        <is>
          <t>VÄSTERNORRLANDS LÄN</t>
        </is>
      </c>
      <c r="G2454" t="inlineStr">
        <is>
          <t>ÖRNSKÖLDSVIK</t>
        </is>
      </c>
      <c r="I2454" t="n">
        <v>2.5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30972-2023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45103</v>
      </c>
      <c r="E2455" s="1" t="n">
        <v>46286</v>
      </c>
      <c r="F2455" t="inlineStr">
        <is>
          <t>VÄSTERNORRLANDS LÄN</t>
        </is>
      </c>
      <c r="G2455" t="inlineStr">
        <is>
          <t>ÖRNSKÖLDSVIK</t>
        </is>
      </c>
      <c r="I2455" t="n">
        <v>2.1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15404-2024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45401</v>
      </c>
      <c r="E2456" s="1" t="n">
        <v>46286</v>
      </c>
      <c r="F2456" t="inlineStr">
        <is>
          <t>VÄSTERNORRLANDS LÄN</t>
        </is>
      </c>
      <c r="G2456" t="inlineStr">
        <is>
          <t>ÖRNSKÖLDSVIK</t>
        </is>
      </c>
      <c r="I2456" t="n">
        <v>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14671-2024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45397</v>
      </c>
      <c r="E2457" s="1" t="n">
        <v>46286</v>
      </c>
      <c r="F2457" t="inlineStr">
        <is>
          <t>VÄSTERNORRLANDS LÄN</t>
        </is>
      </c>
      <c r="G2457" t="inlineStr">
        <is>
          <t>ÖRNSKÖLDSVIK</t>
        </is>
      </c>
      <c r="I2457" t="n">
        <v>1.5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38293-2026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46282</v>
      </c>
      <c r="E2458" s="1" t="n">
        <v>46286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38295-2026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46282</v>
      </c>
      <c r="E2459" s="1" t="n">
        <v>46286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2.2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38298-2026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46282</v>
      </c>
      <c r="E2460" s="1" t="n">
        <v>46286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14292-2025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45740</v>
      </c>
      <c r="E2461" s="1" t="n">
        <v>46286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SCA</t>
        </is>
      </c>
      <c r="I2461" t="n">
        <v>40.7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32460-2026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46239</v>
      </c>
      <c r="E2462" s="1" t="n">
        <v>46286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38029-2026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46280</v>
      </c>
      <c r="E2463" s="1" t="n">
        <v>46286</v>
      </c>
      <c r="F2463" t="inlineStr">
        <is>
          <t>VÄSTERNORRLANDS LÄN</t>
        </is>
      </c>
      <c r="G2463" t="inlineStr">
        <is>
          <t>ÖRNSKÖLDSVIK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18310-2025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45762</v>
      </c>
      <c r="E2464" s="1" t="n">
        <v>46286</v>
      </c>
      <c r="F2464" t="inlineStr">
        <is>
          <t>VÄSTERNORRLANDS LÄN</t>
        </is>
      </c>
      <c r="G2464" t="inlineStr">
        <is>
          <t>ÖRNSKÖLDSVIK</t>
        </is>
      </c>
      <c r="I2464" t="n">
        <v>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32766-2026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46241</v>
      </c>
      <c r="E2465" s="1" t="n">
        <v>46286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13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60337-2022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44910</v>
      </c>
      <c r="E2466" s="1" t="n">
        <v>46286</v>
      </c>
      <c r="F2466" t="inlineStr">
        <is>
          <t>VÄSTERNORRLANDS LÄN</t>
        </is>
      </c>
      <c r="G2466" t="inlineStr">
        <is>
          <t>ÖRNSKÖLDSVIK</t>
        </is>
      </c>
      <c r="I2466" t="n">
        <v>1.5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38532-2026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46283</v>
      </c>
      <c r="E2467" s="1" t="n">
        <v>46286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Kommuner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38370-2026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46282</v>
      </c>
      <c r="E2468" s="1" t="n">
        <v>46286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38291-2026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46282</v>
      </c>
      <c r="E2469" s="1" t="n">
        <v>46286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24931-2025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45799</v>
      </c>
      <c r="E2470" s="1" t="n">
        <v>46286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38565-2026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46283</v>
      </c>
      <c r="E2471" s="1" t="n">
        <v>46286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11.9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35939-2026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46266</v>
      </c>
      <c r="E2472" s="1" t="n">
        <v>46286</v>
      </c>
      <c r="F2472" t="inlineStr">
        <is>
          <t>VÄSTERNORRLANDS LÄN</t>
        </is>
      </c>
      <c r="G2472" t="inlineStr">
        <is>
          <t>ÖRNSKÖLDSVIK</t>
        </is>
      </c>
      <c r="I2472" t="n">
        <v>25.5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24854-2025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45799</v>
      </c>
      <c r="E2473" s="1" t="n">
        <v>46286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24880-2025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45799</v>
      </c>
      <c r="E2474" s="1" t="n">
        <v>46286</v>
      </c>
      <c r="F2474" t="inlineStr">
        <is>
          <t>VÄSTERNORRLANDS LÄN</t>
        </is>
      </c>
      <c r="G2474" t="inlineStr">
        <is>
          <t>ÖRNSKÖLDSVIK</t>
        </is>
      </c>
      <c r="I2474" t="n">
        <v>3.4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25510-2025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45803</v>
      </c>
      <c r="E2475" s="1" t="n">
        <v>46286</v>
      </c>
      <c r="F2475" t="inlineStr">
        <is>
          <t>VÄSTERNORRLANDS LÄN</t>
        </is>
      </c>
      <c r="G2475" t="inlineStr">
        <is>
          <t>ÖRNSKÖLDSVIK</t>
        </is>
      </c>
      <c r="I2475" t="n">
        <v>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25506-2025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45803</v>
      </c>
      <c r="E2476" s="1" t="n">
        <v>46286</v>
      </c>
      <c r="F2476" t="inlineStr">
        <is>
          <t>VÄSTERNORRLANDS LÄN</t>
        </is>
      </c>
      <c r="G2476" t="inlineStr">
        <is>
          <t>ÖRNSKÖLDSVIK</t>
        </is>
      </c>
      <c r="I2476" t="n">
        <v>1.4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32587-2026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46240</v>
      </c>
      <c r="E2477" s="1" t="n">
        <v>46286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23644-2023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45072</v>
      </c>
      <c r="E2478" s="1" t="n">
        <v>46286</v>
      </c>
      <c r="F2478" t="inlineStr">
        <is>
          <t>VÄSTERNORRLANDS LÄN</t>
        </is>
      </c>
      <c r="G2478" t="inlineStr">
        <is>
          <t>ÖRNSKÖLDSVIK</t>
        </is>
      </c>
      <c r="I2478" t="n">
        <v>2.5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64412-2023</t>
        </is>
      </c>
      <c r="B2479" t="inlineStr">
        <is>
          <t>avverkningsanmälan</t>
        </is>
      </c>
      <c r="C2479" t="inlineStr">
        <is>
          <t>Avverkning för annat ändamål</t>
        </is>
      </c>
      <c r="D2479" s="1" t="n">
        <v>45280</v>
      </c>
      <c r="E2479" s="1" t="n">
        <v>46286</v>
      </c>
      <c r="F2479" t="inlineStr">
        <is>
          <t>VÄSTERNORRLANDS LÄN</t>
        </is>
      </c>
      <c r="G2479" t="inlineStr">
        <is>
          <t>ÖRNSKÖLDSVIK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44343-2024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45573</v>
      </c>
      <c r="E2480" s="1" t="n">
        <v>46286</v>
      </c>
      <c r="F2480" t="inlineStr">
        <is>
          <t>VÄSTERNORRLANDS LÄN</t>
        </is>
      </c>
      <c r="G2480" t="inlineStr">
        <is>
          <t>ÖRNSKÖLDSVIK</t>
        </is>
      </c>
      <c r="I2480" t="n">
        <v>9.1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25347-2025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45800</v>
      </c>
      <c r="E2481" s="1" t="n">
        <v>46286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38604-2026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46283</v>
      </c>
      <c r="E2482" s="1" t="n">
        <v>46286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41589-2024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45560</v>
      </c>
      <c r="E2483" s="1" t="n">
        <v>46286</v>
      </c>
      <c r="F2483" t="inlineStr">
        <is>
          <t>VÄSTERNORRLANDS LÄN</t>
        </is>
      </c>
      <c r="G2483" t="inlineStr">
        <is>
          <t>ÖRNSKÖLDSVIK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25173-2025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45800</v>
      </c>
      <c r="E2484" s="1" t="n">
        <v>46286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4.6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38438-2026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46282</v>
      </c>
      <c r="E2485" s="1" t="n">
        <v>46286</v>
      </c>
      <c r="F2485" t="inlineStr">
        <is>
          <t>VÄSTERNORRLANDS LÄN</t>
        </is>
      </c>
      <c r="G2485" t="inlineStr">
        <is>
          <t>ÖRNSKÖLDSVIK</t>
        </is>
      </c>
      <c r="I2485" t="n">
        <v>1.6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25495-2025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45803</v>
      </c>
      <c r="E2486" s="1" t="n">
        <v>46286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38289-2026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46282</v>
      </c>
      <c r="E2487" s="1" t="n">
        <v>46286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25116-2025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45800</v>
      </c>
      <c r="E2488" s="1" t="n">
        <v>46286</v>
      </c>
      <c r="F2488" t="inlineStr">
        <is>
          <t>VÄSTERNORRLANDS LÄN</t>
        </is>
      </c>
      <c r="G2488" t="inlineStr">
        <is>
          <t>ÖRNSKÖLDSVIK</t>
        </is>
      </c>
      <c r="I2488" t="n">
        <v>3.3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40889-2023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45173</v>
      </c>
      <c r="E2489" s="1" t="n">
        <v>46286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0.9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11286-2025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45726</v>
      </c>
      <c r="E2490" s="1" t="n">
        <v>46286</v>
      </c>
      <c r="F2490" t="inlineStr">
        <is>
          <t>VÄSTERNORRLANDS LÄN</t>
        </is>
      </c>
      <c r="G2490" t="inlineStr">
        <is>
          <t>ÖRNSKÖLDSVIK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49593-2024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45596</v>
      </c>
      <c r="E2491" s="1" t="n">
        <v>46286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42852-2022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44832</v>
      </c>
      <c r="E2492" s="1" t="n">
        <v>46286</v>
      </c>
      <c r="F2492" t="inlineStr">
        <is>
          <t>VÄSTERNORRLANDS LÄN</t>
        </is>
      </c>
      <c r="G2492" t="inlineStr">
        <is>
          <t>ÖRNSKÖLDSVIK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61937-2024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45653</v>
      </c>
      <c r="E2493" s="1" t="n">
        <v>46286</v>
      </c>
      <c r="F2493" t="inlineStr">
        <is>
          <t>VÄSTERNORRLANDS LÄN</t>
        </is>
      </c>
      <c r="G2493" t="inlineStr">
        <is>
          <t>ÖRNSKÖLDSVIK</t>
        </is>
      </c>
      <c r="I2493" t="n">
        <v>22.5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26334-2025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45805</v>
      </c>
      <c r="E2494" s="1" t="n">
        <v>46286</v>
      </c>
      <c r="F2494" t="inlineStr">
        <is>
          <t>VÄSTERNORRLANDS LÄN</t>
        </is>
      </c>
      <c r="G2494" t="inlineStr">
        <is>
          <t>ÖRNSKÖLDSVIK</t>
        </is>
      </c>
      <c r="I2494" t="n">
        <v>22.5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27026-2025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45811</v>
      </c>
      <c r="E2495" s="1" t="n">
        <v>46286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4.1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55488-2023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45238</v>
      </c>
      <c r="E2496" s="1" t="n">
        <v>46286</v>
      </c>
      <c r="F2496" t="inlineStr">
        <is>
          <t>VÄSTERNORRLANDS LÄN</t>
        </is>
      </c>
      <c r="G2496" t="inlineStr">
        <is>
          <t>ÖRNSKÖLDSVIK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15071-2024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45399</v>
      </c>
      <c r="E2497" s="1" t="n">
        <v>46286</v>
      </c>
      <c r="F2497" t="inlineStr">
        <is>
          <t>VÄSTERNORRLANDS LÄN</t>
        </is>
      </c>
      <c r="G2497" t="inlineStr">
        <is>
          <t>ÖRNSKÖLDSVIK</t>
        </is>
      </c>
      <c r="I2497" t="n">
        <v>2.3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27033-2025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45811</v>
      </c>
      <c r="E2498" s="1" t="n">
        <v>46286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26917-2025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45811</v>
      </c>
      <c r="E2499" s="1" t="n">
        <v>46286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27766-2024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45475</v>
      </c>
      <c r="E2500" s="1" t="n">
        <v>46286</v>
      </c>
      <c r="F2500" t="inlineStr">
        <is>
          <t>VÄSTERNORRLANDS LÄN</t>
        </is>
      </c>
      <c r="G2500" t="inlineStr">
        <is>
          <t>ÖRNSKÖLDSVIK</t>
        </is>
      </c>
      <c r="I2500" t="n">
        <v>3.6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26929-2025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45811</v>
      </c>
      <c r="E2501" s="1" t="n">
        <v>46286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2.1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26950-2025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45811</v>
      </c>
      <c r="E2502" s="1" t="n">
        <v>46286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2.7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7608-2025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45705</v>
      </c>
      <c r="E2503" s="1" t="n">
        <v>46286</v>
      </c>
      <c r="F2503" t="inlineStr">
        <is>
          <t>VÄSTERNORRLANDS LÄN</t>
        </is>
      </c>
      <c r="G2503" t="inlineStr">
        <is>
          <t>ÖRNSKÖLDSVIK</t>
        </is>
      </c>
      <c r="I2503" t="n">
        <v>3.6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37939-2024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45544</v>
      </c>
      <c r="E2504" s="1" t="n">
        <v>46286</v>
      </c>
      <c r="F2504" t="inlineStr">
        <is>
          <t>VÄSTERNORRLANDS LÄN</t>
        </is>
      </c>
      <c r="G2504" t="inlineStr">
        <is>
          <t>ÖRNSKÖLDSVIK</t>
        </is>
      </c>
      <c r="I2504" t="n">
        <v>4.7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62690-2021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44504</v>
      </c>
      <c r="E2505" s="1" t="n">
        <v>46286</v>
      </c>
      <c r="F2505" t="inlineStr">
        <is>
          <t>VÄSTERNORRLANDS LÄN</t>
        </is>
      </c>
      <c r="G2505" t="inlineStr">
        <is>
          <t>ÖRNSKÖLDSVIK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61327-2023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45264</v>
      </c>
      <c r="E2506" s="1" t="n">
        <v>46286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Övriga Aktiebolag</t>
        </is>
      </c>
      <c r="I2506" t="n">
        <v>4.7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27799-2023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45098</v>
      </c>
      <c r="E2507" s="1" t="n">
        <v>46286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10.3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27295-2025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45812</v>
      </c>
      <c r="E2508" s="1" t="n">
        <v>46286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Kommuner</t>
        </is>
      </c>
      <c r="I2508" t="n">
        <v>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27539-2025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45813</v>
      </c>
      <c r="E2509" s="1" t="n">
        <v>46286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27401-2025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45812</v>
      </c>
      <c r="E2510" s="1" t="n">
        <v>46286</v>
      </c>
      <c r="F2510" t="inlineStr">
        <is>
          <t>VÄSTERNORRLANDS LÄN</t>
        </is>
      </c>
      <c r="G2510" t="inlineStr">
        <is>
          <t>ÖRNSKÖLDSVIK</t>
        </is>
      </c>
      <c r="I2510" t="n">
        <v>0.3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27893-2025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45817</v>
      </c>
      <c r="E2511" s="1" t="n">
        <v>46286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9.300000000000001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27941-2025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45817</v>
      </c>
      <c r="E2512" s="1" t="n">
        <v>46286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28045-2025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45817</v>
      </c>
      <c r="E2513" s="1" t="n">
        <v>46286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42492-2024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45565</v>
      </c>
      <c r="E2514" s="1" t="n">
        <v>46286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27985-2025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45817</v>
      </c>
      <c r="E2515" s="1" t="n">
        <v>46286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4.2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18470-2025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45762</v>
      </c>
      <c r="E2516" s="1" t="n">
        <v>46286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5.7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15449-2025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45747</v>
      </c>
      <c r="E2517" s="1" t="n">
        <v>46286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0.8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28509-2025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45818</v>
      </c>
      <c r="E2518" s="1" t="n">
        <v>46286</v>
      </c>
      <c r="F2518" t="inlineStr">
        <is>
          <t>VÄSTERNORRLANDS LÄN</t>
        </is>
      </c>
      <c r="G2518" t="inlineStr">
        <is>
          <t>ÖRNSKÖLDSVIK</t>
        </is>
      </c>
      <c r="I2518" t="n">
        <v>0.4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28146-2025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45818</v>
      </c>
      <c r="E2519" s="1" t="n">
        <v>46286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28517-2025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45819</v>
      </c>
      <c r="E2520" s="1" t="n">
        <v>46286</v>
      </c>
      <c r="F2520" t="inlineStr">
        <is>
          <t>VÄSTERNORRLANDS LÄN</t>
        </is>
      </c>
      <c r="G2520" t="inlineStr">
        <is>
          <t>ÖRNSKÖLDSVIK</t>
        </is>
      </c>
      <c r="I2520" t="n">
        <v>0.5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55972-2024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45623</v>
      </c>
      <c r="E2521" s="1" t="n">
        <v>46286</v>
      </c>
      <c r="F2521" t="inlineStr">
        <is>
          <t>VÄSTERNORRLANDS LÄN</t>
        </is>
      </c>
      <c r="G2521" t="inlineStr">
        <is>
          <t>ÖRNSKÖLDSVIK</t>
        </is>
      </c>
      <c r="I2521" t="n">
        <v>2.2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28799-2025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45820</v>
      </c>
      <c r="E2522" s="1" t="n">
        <v>46286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29044-2025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45821</v>
      </c>
      <c r="E2523" s="1" t="n">
        <v>46286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29006-2025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45821</v>
      </c>
      <c r="E2524" s="1" t="n">
        <v>46286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29058-2025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45821</v>
      </c>
      <c r="E2525" s="1" t="n">
        <v>46286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2.1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29053-2025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45821</v>
      </c>
      <c r="E2526" s="1" t="n">
        <v>46286</v>
      </c>
      <c r="F2526" t="inlineStr">
        <is>
          <t>VÄSTERNORRLANDS LÄN</t>
        </is>
      </c>
      <c r="G2526" t="inlineStr">
        <is>
          <t>ÖRNSKÖLDSVIK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29796-2025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45825</v>
      </c>
      <c r="E2527" s="1" t="n">
        <v>46286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6.7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54000-2024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45616</v>
      </c>
      <c r="E2528" s="1" t="n">
        <v>46286</v>
      </c>
      <c r="F2528" t="inlineStr">
        <is>
          <t>VÄSTERNORRLANDS LÄN</t>
        </is>
      </c>
      <c r="G2528" t="inlineStr">
        <is>
          <t>ÖRNSKÖLDSVIK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29590-2025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45825</v>
      </c>
      <c r="E2529" s="1" t="n">
        <v>46286</v>
      </c>
      <c r="F2529" t="inlineStr">
        <is>
          <t>VÄSTERNORRLANDS LÄN</t>
        </is>
      </c>
      <c r="G2529" t="inlineStr">
        <is>
          <t>ÖRNSKÖLDSVIK</t>
        </is>
      </c>
      <c r="I2529" t="n">
        <v>1.1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29969-2025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45826</v>
      </c>
      <c r="E2530" s="1" t="n">
        <v>46286</v>
      </c>
      <c r="F2530" t="inlineStr">
        <is>
          <t>VÄSTERNORRLANDS LÄN</t>
        </is>
      </c>
      <c r="G2530" t="inlineStr">
        <is>
          <t>ÖRNSKÖLDSVIK</t>
        </is>
      </c>
      <c r="I2530" t="n">
        <v>1.5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30612-2025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45831</v>
      </c>
      <c r="E2531" s="1" t="n">
        <v>46286</v>
      </c>
      <c r="F2531" t="inlineStr">
        <is>
          <t>VÄSTERNORRLANDS LÄN</t>
        </is>
      </c>
      <c r="G2531" t="inlineStr">
        <is>
          <t>ÖRNSKÖLDSVIK</t>
        </is>
      </c>
      <c r="I2531" t="n">
        <v>0.8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30727-2025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45831</v>
      </c>
      <c r="E2532" s="1" t="n">
        <v>46286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8.1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30742-2025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45831</v>
      </c>
      <c r="E2533" s="1" t="n">
        <v>46286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30671-2025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45831</v>
      </c>
      <c r="E2534" s="1" t="n">
        <v>46286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0.5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30895-2025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45832</v>
      </c>
      <c r="E2535" s="1" t="n">
        <v>46286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2.5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31193-2025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45832</v>
      </c>
      <c r="E2536" s="1" t="n">
        <v>46286</v>
      </c>
      <c r="F2536" t="inlineStr">
        <is>
          <t>VÄSTERNORRLANDS LÄN</t>
        </is>
      </c>
      <c r="G2536" t="inlineStr">
        <is>
          <t>ÖRNSKÖLDSVIK</t>
        </is>
      </c>
      <c r="I2536" t="n">
        <v>0.2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50402-2024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45601</v>
      </c>
      <c r="E2537" s="1" t="n">
        <v>46286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31272-2025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45833</v>
      </c>
      <c r="E2538" s="1" t="n">
        <v>46286</v>
      </c>
      <c r="F2538" t="inlineStr">
        <is>
          <t>VÄSTERNORRLANDS LÄN</t>
        </is>
      </c>
      <c r="G2538" t="inlineStr">
        <is>
          <t>ÖRNSKÖLDSVIK</t>
        </is>
      </c>
      <c r="I2538" t="n">
        <v>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31118-2025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45832</v>
      </c>
      <c r="E2539" s="1" t="n">
        <v>46286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0.4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32168-2025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45835</v>
      </c>
      <c r="E2540" s="1" t="n">
        <v>46286</v>
      </c>
      <c r="F2540" t="inlineStr">
        <is>
          <t>VÄSTERNORRLANDS LÄN</t>
        </is>
      </c>
      <c r="G2540" t="inlineStr">
        <is>
          <t>ÖRNSKÖLDSVIK</t>
        </is>
      </c>
      <c r="I2540" t="n">
        <v>2.9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32251-2025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45835</v>
      </c>
      <c r="E2541" s="1" t="n">
        <v>46286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32192-2025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45835</v>
      </c>
      <c r="E2542" s="1" t="n">
        <v>46286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0.7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32135-2025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45835</v>
      </c>
      <c r="E2543" s="1" t="n">
        <v>46286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7.2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31972-2025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45835</v>
      </c>
      <c r="E2544" s="1" t="n">
        <v>46286</v>
      </c>
      <c r="F2544" t="inlineStr">
        <is>
          <t>VÄSTERNORRLANDS LÄN</t>
        </is>
      </c>
      <c r="G2544" t="inlineStr">
        <is>
          <t>ÖRNSKÖLDSVIK</t>
        </is>
      </c>
      <c r="I2544" t="n">
        <v>4.6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19441-2025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45770</v>
      </c>
      <c r="E2545" s="1" t="n">
        <v>46286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Kommuner</t>
        </is>
      </c>
      <c r="I2545" t="n">
        <v>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32876-2025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45839</v>
      </c>
      <c r="E2546" s="1" t="n">
        <v>46286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29.6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32414-2025</t>
        </is>
      </c>
      <c r="B2547" t="inlineStr">
        <is>
          <t>avverkningsanmälan</t>
        </is>
      </c>
      <c r="C2547" t="inlineStr">
        <is>
          <t>Avverkning för annat ändamål</t>
        </is>
      </c>
      <c r="D2547" s="1" t="n">
        <v>45838</v>
      </c>
      <c r="E2547" s="1" t="n">
        <v>46286</v>
      </c>
      <c r="F2547" t="inlineStr">
        <is>
          <t>VÄSTERNORRLANDS LÄN</t>
        </is>
      </c>
      <c r="G2547" t="inlineStr">
        <is>
          <t>ÖRNSKÖLDSVIK</t>
        </is>
      </c>
      <c r="I2547" t="n">
        <v>0.2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32549-2025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45838</v>
      </c>
      <c r="E2548" s="1" t="n">
        <v>46286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3.5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33177-2025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45840</v>
      </c>
      <c r="E2549" s="1" t="n">
        <v>46286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0.6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33568-2025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45841</v>
      </c>
      <c r="E2550" s="1" t="n">
        <v>46286</v>
      </c>
      <c r="F2550" t="inlineStr">
        <is>
          <t>VÄSTERNORRLANDS LÄN</t>
        </is>
      </c>
      <c r="G2550" t="inlineStr">
        <is>
          <t>ÖRNSKÖLDSVIK</t>
        </is>
      </c>
      <c r="I2550" t="n">
        <v>0.6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33558-2025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45841</v>
      </c>
      <c r="E2551" s="1" t="n">
        <v>46286</v>
      </c>
      <c r="F2551" t="inlineStr">
        <is>
          <t>VÄSTERNORRLANDS LÄN</t>
        </is>
      </c>
      <c r="G2551" t="inlineStr">
        <is>
          <t>ÖRNSKÖLDSVIK</t>
        </is>
      </c>
      <c r="I2551" t="n">
        <v>0.7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33588-2025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45841</v>
      </c>
      <c r="E2552" s="1" t="n">
        <v>46286</v>
      </c>
      <c r="F2552" t="inlineStr">
        <is>
          <t>VÄSTERNORRLANDS LÄN</t>
        </is>
      </c>
      <c r="G2552" t="inlineStr">
        <is>
          <t>ÖRNSKÖLDSVIK</t>
        </is>
      </c>
      <c r="I2552" t="n">
        <v>2.6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33047-2025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45840</v>
      </c>
      <c r="E2553" s="1" t="n">
        <v>46286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33634-2025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45841</v>
      </c>
      <c r="E2554" s="1" t="n">
        <v>46286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1.4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33596-2025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45841</v>
      </c>
      <c r="E2555" s="1" t="n">
        <v>46286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33656-2025</t>
        </is>
      </c>
      <c r="B2556" t="inlineStr">
        <is>
          <t>avverkningsanmälan</t>
        </is>
      </c>
      <c r="C2556" t="inlineStr">
        <is>
          <t>Avverkning för annat ändamål</t>
        </is>
      </c>
      <c r="D2556" s="1" t="n">
        <v>45841</v>
      </c>
      <c r="E2556" s="1" t="n">
        <v>46286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8.1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34074-2025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45845</v>
      </c>
      <c r="E2557" s="1" t="n">
        <v>46286</v>
      </c>
      <c r="F2557" t="inlineStr">
        <is>
          <t>VÄSTERNORRLANDS LÄN</t>
        </is>
      </c>
      <c r="G2557" t="inlineStr">
        <is>
          <t>ÖRNSKÖLDSVIK</t>
        </is>
      </c>
      <c r="I2557" t="n">
        <v>4.1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33911-2025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45842</v>
      </c>
      <c r="E2558" s="1" t="n">
        <v>46286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12.6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33727-2025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45842</v>
      </c>
      <c r="E2559" s="1" t="n">
        <v>46286</v>
      </c>
      <c r="F2559" t="inlineStr">
        <is>
          <t>VÄSTERNORRLANDS LÄN</t>
        </is>
      </c>
      <c r="G2559" t="inlineStr">
        <is>
          <t>ÖRNSKÖLDSVIK</t>
        </is>
      </c>
      <c r="I2559" t="n">
        <v>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34259-2025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45845</v>
      </c>
      <c r="E2560" s="1" t="n">
        <v>46286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3.1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33739-2025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45842</v>
      </c>
      <c r="E2561" s="1" t="n">
        <v>46286</v>
      </c>
      <c r="F2561" t="inlineStr">
        <is>
          <t>VÄSTERNORRLANDS LÄN</t>
        </is>
      </c>
      <c r="G2561" t="inlineStr">
        <is>
          <t>ÖRNSKÖLDSVIK</t>
        </is>
      </c>
      <c r="I2561" t="n">
        <v>2.9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34431-2025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45845</v>
      </c>
      <c r="E2562" s="1" t="n">
        <v>46286</v>
      </c>
      <c r="F2562" t="inlineStr">
        <is>
          <t>VÄSTERNORRLANDS LÄN</t>
        </is>
      </c>
      <c r="G2562" t="inlineStr">
        <is>
          <t>ÖRNSKÖLDSVIK</t>
        </is>
      </c>
      <c r="I2562" t="n">
        <v>7.4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34432-2025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45845</v>
      </c>
      <c r="E2563" s="1" t="n">
        <v>46286</v>
      </c>
      <c r="F2563" t="inlineStr">
        <is>
          <t>VÄSTERNORRLANDS LÄN</t>
        </is>
      </c>
      <c r="G2563" t="inlineStr">
        <is>
          <t>ÖRNSKÖLDSVIK</t>
        </is>
      </c>
      <c r="I2563" t="n">
        <v>6.4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33886-2025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45842</v>
      </c>
      <c r="E2564" s="1" t="n">
        <v>46286</v>
      </c>
      <c r="F2564" t="inlineStr">
        <is>
          <t>VÄSTERNORRLANDS LÄN</t>
        </is>
      </c>
      <c r="G2564" t="inlineStr">
        <is>
          <t>ÖRNSKÖLDSVIK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34428-2025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45845</v>
      </c>
      <c r="E2565" s="1" t="n">
        <v>46286</v>
      </c>
      <c r="F2565" t="inlineStr">
        <is>
          <t>VÄSTERNORRLANDS LÄN</t>
        </is>
      </c>
      <c r="G2565" t="inlineStr">
        <is>
          <t>ÖRNSKÖLDSVIK</t>
        </is>
      </c>
      <c r="I2565" t="n">
        <v>5.2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34063-2025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45845</v>
      </c>
      <c r="E2566" s="1" t="n">
        <v>46286</v>
      </c>
      <c r="F2566" t="inlineStr">
        <is>
          <t>VÄSTERNORRLANDS LÄN</t>
        </is>
      </c>
      <c r="G2566" t="inlineStr">
        <is>
          <t>ÖRNSKÖLDSVIK</t>
        </is>
      </c>
      <c r="I2566" t="n">
        <v>6.2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34448-2025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45845</v>
      </c>
      <c r="E2567" s="1" t="n">
        <v>46286</v>
      </c>
      <c r="F2567" t="inlineStr">
        <is>
          <t>VÄSTERNORRLANDS LÄN</t>
        </is>
      </c>
      <c r="G2567" t="inlineStr">
        <is>
          <t>ÖRNSKÖLDSVIK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34506-2025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45847</v>
      </c>
      <c r="E2568" s="1" t="n">
        <v>46286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6.3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34487-2025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45847</v>
      </c>
      <c r="E2569" s="1" t="n">
        <v>46286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34427-2025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45846</v>
      </c>
      <c r="E2570" s="1" t="n">
        <v>46286</v>
      </c>
      <c r="F2570" t="inlineStr">
        <is>
          <t>VÄSTERNORRLANDS LÄN</t>
        </is>
      </c>
      <c r="G2570" t="inlineStr">
        <is>
          <t>ÖRNSKÖLDSVIK</t>
        </is>
      </c>
      <c r="I2570" t="n">
        <v>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34483-2025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45847</v>
      </c>
      <c r="E2571" s="1" t="n">
        <v>46286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0.8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34594-2025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45846</v>
      </c>
      <c r="E2572" s="1" t="n">
        <v>46286</v>
      </c>
      <c r="F2572" t="inlineStr">
        <is>
          <t>VÄSTERNORRLANDS LÄN</t>
        </is>
      </c>
      <c r="G2572" t="inlineStr">
        <is>
          <t>ÖRNSKÖLDSVIK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34704-2025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45848</v>
      </c>
      <c r="E2573" s="1" t="n">
        <v>46286</v>
      </c>
      <c r="F2573" t="inlineStr">
        <is>
          <t>VÄSTERNORRLANDS LÄN</t>
        </is>
      </c>
      <c r="G2573" t="inlineStr">
        <is>
          <t>ÖRNSKÖLDSVIK</t>
        </is>
      </c>
      <c r="I2573" t="n">
        <v>12.2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34820-2025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45849</v>
      </c>
      <c r="E2574" s="1" t="n">
        <v>46286</v>
      </c>
      <c r="F2574" t="inlineStr">
        <is>
          <t>VÄSTERNORRLANDS LÄN</t>
        </is>
      </c>
      <c r="G2574" t="inlineStr">
        <is>
          <t>ÖRNSKÖLDSVIK</t>
        </is>
      </c>
      <c r="I2574" t="n">
        <v>4.9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34731-2025</t>
        </is>
      </c>
      <c r="B2575" t="inlineStr">
        <is>
          <t>avverkningsanmälan</t>
        </is>
      </c>
      <c r="C2575" t="inlineStr">
        <is>
          <t>Avverkning för att bevara och utveckla /försöksver</t>
        </is>
      </c>
      <c r="D2575" s="1" t="n">
        <v>45848</v>
      </c>
      <c r="E2575" s="1" t="n">
        <v>46286</v>
      </c>
      <c r="F2575" t="inlineStr">
        <is>
          <t>VÄSTERNORRLANDS LÄN</t>
        </is>
      </c>
      <c r="G2575" t="inlineStr">
        <is>
          <t>ÖRNSKÖLDSVIK</t>
        </is>
      </c>
      <c r="I2575" t="n">
        <v>3.4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374-2025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45661</v>
      </c>
      <c r="E2576" s="1" t="n">
        <v>46286</v>
      </c>
      <c r="F2576" t="inlineStr">
        <is>
          <t>VÄSTERNORRLANDS LÄN</t>
        </is>
      </c>
      <c r="G2576" t="inlineStr">
        <is>
          <t>ÖRNSKÖLDSVIK</t>
        </is>
      </c>
      <c r="I2576" t="n">
        <v>1.4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35738-2025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45860</v>
      </c>
      <c r="E2577" s="1" t="n">
        <v>46286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9.699999999999999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17301-2025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45756</v>
      </c>
      <c r="E2578" s="1" t="n">
        <v>46286</v>
      </c>
      <c r="F2578" t="inlineStr">
        <is>
          <t>VÄSTERNORRLANDS LÄN</t>
        </is>
      </c>
      <c r="G2578" t="inlineStr">
        <is>
          <t>ÖRNSKÖLDSVIK</t>
        </is>
      </c>
      <c r="I2578" t="n">
        <v>2.5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35777-2025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45860</v>
      </c>
      <c r="E2579" s="1" t="n">
        <v>46286</v>
      </c>
      <c r="F2579" t="inlineStr">
        <is>
          <t>VÄSTERNORRLANDS LÄN</t>
        </is>
      </c>
      <c r="G2579" t="inlineStr">
        <is>
          <t>ÖRNSKÖLDSVIK</t>
        </is>
      </c>
      <c r="I2579" t="n">
        <v>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36156-2025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45867</v>
      </c>
      <c r="E2580" s="1" t="n">
        <v>46286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5.1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16937-2025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45754</v>
      </c>
      <c r="E2581" s="1" t="n">
        <v>46286</v>
      </c>
      <c r="F2581" t="inlineStr">
        <is>
          <t>VÄSTERNORRLANDS LÄN</t>
        </is>
      </c>
      <c r="G2581" t="inlineStr">
        <is>
          <t>ÖRNSKÖLDSVIK</t>
        </is>
      </c>
      <c r="I2581" t="n">
        <v>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36811-2025</t>
        </is>
      </c>
      <c r="B2582" t="inlineStr">
        <is>
          <t>avverkningsanmälan</t>
        </is>
      </c>
      <c r="C2582" t="inlineStr">
        <is>
          <t>Avverkning för annat ändamål</t>
        </is>
      </c>
      <c r="D2582" s="1" t="n">
        <v>45873</v>
      </c>
      <c r="E2582" s="1" t="n">
        <v>46286</v>
      </c>
      <c r="F2582" t="inlineStr">
        <is>
          <t>VÄSTERNORRLANDS LÄN</t>
        </is>
      </c>
      <c r="G2582" t="inlineStr">
        <is>
          <t>ÖRNSKÖLDSVIK</t>
        </is>
      </c>
      <c r="I2582" t="n">
        <v>0.3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37194-2025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45875</v>
      </c>
      <c r="E2583" s="1" t="n">
        <v>46286</v>
      </c>
      <c r="F2583" t="inlineStr">
        <is>
          <t>VÄSTERNORRLANDS LÄN</t>
        </is>
      </c>
      <c r="G2583" t="inlineStr">
        <is>
          <t>ÖRNSKÖLDSVIK</t>
        </is>
      </c>
      <c r="I2583" t="n">
        <v>2.8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37467-2025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45877</v>
      </c>
      <c r="E2584" s="1" t="n">
        <v>46286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37234-2025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45876</v>
      </c>
      <c r="E2585" s="1" t="n">
        <v>46286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37227-2025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45876</v>
      </c>
      <c r="E2586" s="1" t="n">
        <v>46286</v>
      </c>
      <c r="F2586" t="inlineStr">
        <is>
          <t>VÄSTERNORRLANDS LÄN</t>
        </is>
      </c>
      <c r="G2586" t="inlineStr">
        <is>
          <t>ÖRNSKÖLDSVIK</t>
        </is>
      </c>
      <c r="I2586" t="n">
        <v>9.699999999999999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37480-2025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45877</v>
      </c>
      <c r="E2587" s="1" t="n">
        <v>46286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SCA</t>
        </is>
      </c>
      <c r="I2587" t="n">
        <v>6.2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37799-2025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45881</v>
      </c>
      <c r="E2588" s="1" t="n">
        <v>46286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37861-2025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45881</v>
      </c>
      <c r="E2589" s="1" t="n">
        <v>46286</v>
      </c>
      <c r="F2589" t="inlineStr">
        <is>
          <t>VÄSTERNORRLANDS LÄN</t>
        </is>
      </c>
      <c r="G2589" t="inlineStr">
        <is>
          <t>ÖRNSKÖLDSVIK</t>
        </is>
      </c>
      <c r="I2589" t="n">
        <v>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37885-2025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45881</v>
      </c>
      <c r="E2590" s="1" t="n">
        <v>46286</v>
      </c>
      <c r="F2590" t="inlineStr">
        <is>
          <t>VÄSTERNORRLANDS LÄN</t>
        </is>
      </c>
      <c r="G2590" t="inlineStr">
        <is>
          <t>ÖRNSKÖLDSVIK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28716-2025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45820</v>
      </c>
      <c r="E2591" s="1" t="n">
        <v>46286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2.6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21022-2025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45777</v>
      </c>
      <c r="E2592" s="1" t="n">
        <v>46286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37600-2025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45880</v>
      </c>
      <c r="E2593" s="1" t="n">
        <v>46286</v>
      </c>
      <c r="F2593" t="inlineStr">
        <is>
          <t>VÄSTERNORRLANDS LÄN</t>
        </is>
      </c>
      <c r="G2593" t="inlineStr">
        <is>
          <t>ÖRNSKÖLDSVIK</t>
        </is>
      </c>
      <c r="I2593" t="n">
        <v>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37761-2025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45880</v>
      </c>
      <c r="E2594" s="1" t="n">
        <v>46286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2.8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37579-2025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45880</v>
      </c>
      <c r="E2595" s="1" t="n">
        <v>46286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37986-2025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45881</v>
      </c>
      <c r="E2596" s="1" t="n">
        <v>46286</v>
      </c>
      <c r="F2596" t="inlineStr">
        <is>
          <t>VÄSTERNORRLANDS LÄN</t>
        </is>
      </c>
      <c r="G2596" t="inlineStr">
        <is>
          <t>ÖRNSKÖLDSVIK</t>
        </is>
      </c>
      <c r="I2596" t="n">
        <v>2.8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37883-2025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45881</v>
      </c>
      <c r="E2597" s="1" t="n">
        <v>46286</v>
      </c>
      <c r="F2597" t="inlineStr">
        <is>
          <t>VÄSTERNORRLANDS LÄN</t>
        </is>
      </c>
      <c r="G2597" t="inlineStr">
        <is>
          <t>ÖRNSKÖLDSVIK</t>
        </is>
      </c>
      <c r="I2597" t="n">
        <v>6.7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38364-2025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45883</v>
      </c>
      <c r="E2598" s="1" t="n">
        <v>46286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1.5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38150-2025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45882</v>
      </c>
      <c r="E2599" s="1" t="n">
        <v>46286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0.9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38039-2025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45882</v>
      </c>
      <c r="E2600" s="1" t="n">
        <v>46286</v>
      </c>
      <c r="F2600" t="inlineStr">
        <is>
          <t>VÄSTERNORRLANDS LÄN</t>
        </is>
      </c>
      <c r="G2600" t="inlineStr">
        <is>
          <t>ÖRNSKÖLDSVIK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S 513-2024</t>
        </is>
      </c>
      <c r="B2601" t="inlineStr">
        <is>
          <t>samrådsanmälan</t>
        </is>
      </c>
      <c r="C2601" t="inlineStr">
        <is>
          <t>Åtgärd i nyckelbiotop</t>
        </is>
      </c>
      <c r="D2601" s="1" t="n">
        <v>45345</v>
      </c>
      <c r="E2601" s="1" t="n">
        <v>46286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14.1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S 1181-2024</t>
        </is>
      </c>
      <c r="B2602" t="inlineStr">
        <is>
          <t>samrådsanmälan</t>
        </is>
      </c>
      <c r="C2602" t="inlineStr">
        <is>
          <t>Annan skogsbruksåtgärd</t>
        </is>
      </c>
      <c r="D2602" s="1" t="n">
        <v>45396</v>
      </c>
      <c r="E2602" s="1" t="n">
        <v>46286</v>
      </c>
      <c r="F2602" t="inlineStr">
        <is>
          <t>VÄSTERNORRLANDS LÄN</t>
        </is>
      </c>
      <c r="G2602" t="inlineStr">
        <is>
          <t>ÖRNSKÖLDSVIK</t>
        </is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S 4508-2024</t>
        </is>
      </c>
      <c r="B2603" t="inlineStr">
        <is>
          <t>samrådsanmälan</t>
        </is>
      </c>
      <c r="C2603" t="inlineStr">
        <is>
          <t>Annan skogsbruksåtgärd</t>
        </is>
      </c>
      <c r="D2603" s="1" t="n">
        <v>45596</v>
      </c>
      <c r="E2603" s="1" t="n">
        <v>46286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SCA</t>
        </is>
      </c>
      <c r="I2603" t="n">
        <v>10.8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S 2160-2022</t>
        </is>
      </c>
      <c r="B2604" t="inlineStr">
        <is>
          <t>samrådsanmälan</t>
        </is>
      </c>
      <c r="C2604" t="inlineStr">
        <is>
          <t>Annan skogsbruksåtgärd</t>
        </is>
      </c>
      <c r="D2604" s="1" t="n">
        <v>44677</v>
      </c>
      <c r="E2604" s="1" t="n">
        <v>46286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17.8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S 880-2022</t>
        </is>
      </c>
      <c r="B2605" t="inlineStr">
        <is>
          <t>samrådsanmälan</t>
        </is>
      </c>
      <c r="C2605" t="inlineStr">
        <is>
          <t>Skogsgödsling</t>
        </is>
      </c>
      <c r="D2605" s="1" t="n">
        <v>44606</v>
      </c>
      <c r="E2605" s="1" t="n">
        <v>46286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SCA</t>
        </is>
      </c>
      <c r="I2605" t="n">
        <v>122.8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S 1543-2022</t>
        </is>
      </c>
      <c r="B2606" t="inlineStr">
        <is>
          <t>samrådsanmälan</t>
        </is>
      </c>
      <c r="C2606" t="inlineStr">
        <is>
          <t>Skogsgödsling</t>
        </is>
      </c>
      <c r="D2606" s="1" t="n">
        <v>44642</v>
      </c>
      <c r="E2606" s="1" t="n">
        <v>46286</v>
      </c>
      <c r="F2606" t="inlineStr">
        <is>
          <t>VÄSTERNORRLANDS LÄN</t>
        </is>
      </c>
      <c r="G2606" t="inlineStr">
        <is>
          <t>ÖRNSKÖLDSVIK</t>
        </is>
      </c>
      <c r="I2606" t="n">
        <v>10.4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S 1443-2023</t>
        </is>
      </c>
      <c r="B2607" t="inlineStr">
        <is>
          <t>samrådsanmälan</t>
        </is>
      </c>
      <c r="C2607" t="inlineStr">
        <is>
          <t>Annan skogsbruksåtgärd</t>
        </is>
      </c>
      <c r="D2607" s="1" t="n">
        <v>45048</v>
      </c>
      <c r="E2607" s="1" t="n">
        <v>46286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SCA</t>
        </is>
      </c>
      <c r="I2607" t="n">
        <v>8.9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S 4686-2022</t>
        </is>
      </c>
      <c r="B2608" t="inlineStr">
        <is>
          <t>samrådsanmälan</t>
        </is>
      </c>
      <c r="C2608" t="inlineStr">
        <is>
          <t>Skogsbilväg</t>
        </is>
      </c>
      <c r="D2608" s="1" t="n">
        <v>44796</v>
      </c>
      <c r="E2608" s="1" t="n">
        <v>46286</v>
      </c>
      <c r="F2608" t="inlineStr">
        <is>
          <t>VÄSTERNORRLANDS LÄN</t>
        </is>
      </c>
      <c r="G2608" t="inlineStr">
        <is>
          <t>ÖRNSKÖLDSVIK</t>
        </is>
      </c>
      <c r="I2608" t="n">
        <v>1.2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S 843-2025</t>
        </is>
      </c>
      <c r="B2609" t="inlineStr">
        <is>
          <t>samrådsanmälan</t>
        </is>
      </c>
      <c r="C2609" t="inlineStr">
        <is>
          <t>Skogsgödsling</t>
        </is>
      </c>
      <c r="D2609" s="1" t="n">
        <v>45733</v>
      </c>
      <c r="E2609" s="1" t="n">
        <v>46286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SCA</t>
        </is>
      </c>
      <c r="I2609" t="n">
        <v>97.8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S 839-2025</t>
        </is>
      </c>
      <c r="B2610" t="inlineStr">
        <is>
          <t>samrådsanmälan</t>
        </is>
      </c>
      <c r="C2610" t="inlineStr">
        <is>
          <t>Skogsgödsling</t>
        </is>
      </c>
      <c r="D2610" s="1" t="n">
        <v>45733</v>
      </c>
      <c r="E2610" s="1" t="n">
        <v>46286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SCA</t>
        </is>
      </c>
      <c r="I2610" t="n">
        <v>108.5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S 1506-2025</t>
        </is>
      </c>
      <c r="B2611" t="inlineStr">
        <is>
          <t>samrådsanmälan</t>
        </is>
      </c>
      <c r="C2611" t="inlineStr">
        <is>
          <t>Skogsgödsling</t>
        </is>
      </c>
      <c r="D2611" s="1" t="n">
        <v>45790</v>
      </c>
      <c r="E2611" s="1" t="n">
        <v>46286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SCA</t>
        </is>
      </c>
      <c r="I2611" t="n">
        <v>44.7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S 979-2026</t>
        </is>
      </c>
      <c r="B2612" t="inlineStr">
        <is>
          <t>samrådsanmälan</t>
        </is>
      </c>
      <c r="C2612" t="inlineStr">
        <is>
          <t>Annan skogsbruksåtgärd</t>
        </is>
      </c>
      <c r="D2612" s="1" t="n">
        <v>46114</v>
      </c>
      <c r="E2612" s="1" t="n">
        <v>46286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3.9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S 982-2026</t>
        </is>
      </c>
      <c r="B2613" t="inlineStr">
        <is>
          <t>samrådsanmälan</t>
        </is>
      </c>
      <c r="C2613" t="inlineStr">
        <is>
          <t>Annan skogsbruksåtgärd</t>
        </is>
      </c>
      <c r="D2613" s="1" t="n">
        <v>46114</v>
      </c>
      <c r="E2613" s="1" t="n">
        <v>46286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S 980-2026</t>
        </is>
      </c>
      <c r="B2614" t="inlineStr">
        <is>
          <t>samrådsanmälan</t>
        </is>
      </c>
      <c r="C2614" t="inlineStr">
        <is>
          <t>Annan skogsbruksåtgärd</t>
        </is>
      </c>
      <c r="D2614" s="1" t="n">
        <v>46114</v>
      </c>
      <c r="E2614" s="1" t="n">
        <v>46286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S 1007-2026</t>
        </is>
      </c>
      <c r="B2615" t="inlineStr">
        <is>
          <t>samrådsanmälan</t>
        </is>
      </c>
      <c r="C2615" t="inlineStr">
        <is>
          <t>Annan skogsbruksåtgärd</t>
        </is>
      </c>
      <c r="D2615" s="1" t="n">
        <v>46120</v>
      </c>
      <c r="E2615" s="1" t="n">
        <v>46286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3.3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S 1076-2026</t>
        </is>
      </c>
      <c r="B2616" t="inlineStr">
        <is>
          <t>samrådsanmälan</t>
        </is>
      </c>
      <c r="C2616" t="inlineStr">
        <is>
          <t>Skogsgödsling</t>
        </is>
      </c>
      <c r="D2616" s="1" t="n">
        <v>46128</v>
      </c>
      <c r="E2616" s="1" t="n">
        <v>46286</v>
      </c>
      <c r="F2616" t="inlineStr">
        <is>
          <t>VÄSTERNORRLANDS LÄN</t>
        </is>
      </c>
      <c r="G2616" t="inlineStr">
        <is>
          <t>ÖRNSKÖLDSVIK</t>
        </is>
      </c>
      <c r="I2616" t="n">
        <v>11.3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S 1100-2026</t>
        </is>
      </c>
      <c r="B2617" t="inlineStr">
        <is>
          <t>samrådsanmälan</t>
        </is>
      </c>
      <c r="C2617" t="inlineStr">
        <is>
          <t>Skogsgödsling</t>
        </is>
      </c>
      <c r="D2617" s="1" t="n">
        <v>46132</v>
      </c>
      <c r="E2617" s="1" t="n">
        <v>46286</v>
      </c>
      <c r="F2617" t="inlineStr">
        <is>
          <t>VÄSTERNORRLANDS LÄN</t>
        </is>
      </c>
      <c r="G2617" t="inlineStr">
        <is>
          <t>ÖRNSKÖLDSVIK</t>
        </is>
      </c>
      <c r="I2617" t="n">
        <v>28.2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S 1087-2026</t>
        </is>
      </c>
      <c r="B2618" t="inlineStr">
        <is>
          <t>samrådsanmälan</t>
        </is>
      </c>
      <c r="C2618" t="inlineStr">
        <is>
          <t>Skogsgödsling</t>
        </is>
      </c>
      <c r="D2618" s="1" t="n">
        <v>46132</v>
      </c>
      <c r="E2618" s="1" t="n">
        <v>46286</v>
      </c>
      <c r="F2618" t="inlineStr">
        <is>
          <t>VÄSTERNORRLANDS LÄN</t>
        </is>
      </c>
      <c r="G2618" t="inlineStr">
        <is>
          <t>ÖRNSKÖLDSVIK</t>
        </is>
      </c>
      <c r="I2618" t="n">
        <v>16.8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S 1101-2026</t>
        </is>
      </c>
      <c r="B2619" t="inlineStr">
        <is>
          <t>samrådsanmälan</t>
        </is>
      </c>
      <c r="C2619" t="inlineStr">
        <is>
          <t>Skogsgödsling</t>
        </is>
      </c>
      <c r="D2619" s="1" t="n">
        <v>46132</v>
      </c>
      <c r="E2619" s="1" t="n">
        <v>46286</v>
      </c>
      <c r="F2619" t="inlineStr">
        <is>
          <t>VÄSTERNORRLANDS LÄN</t>
        </is>
      </c>
      <c r="G2619" t="inlineStr">
        <is>
          <t>ÖRNSKÖLDSVIK</t>
        </is>
      </c>
      <c r="I2619" t="n">
        <v>4.7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S 1159-2026</t>
        </is>
      </c>
      <c r="B2620" t="inlineStr">
        <is>
          <t>samrådsanmälan</t>
        </is>
      </c>
      <c r="C2620" t="inlineStr">
        <is>
          <t>Skogsgödsling</t>
        </is>
      </c>
      <c r="D2620" s="1" t="n">
        <v>46134</v>
      </c>
      <c r="E2620" s="1" t="n">
        <v>46286</v>
      </c>
      <c r="F2620" t="inlineStr">
        <is>
          <t>VÄSTERNORRLANDS LÄN</t>
        </is>
      </c>
      <c r="G2620" t="inlineStr">
        <is>
          <t>ÖRNSKÖLDSVIK</t>
        </is>
      </c>
      <c r="I2620" t="n">
        <v>24.2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S 1166-2026</t>
        </is>
      </c>
      <c r="B2621" t="inlineStr">
        <is>
          <t>samrådsanmälan</t>
        </is>
      </c>
      <c r="C2621" t="inlineStr">
        <is>
          <t>Annan skogsbruksåtgärd</t>
        </is>
      </c>
      <c r="D2621" s="1" t="n">
        <v>46135</v>
      </c>
      <c r="E2621" s="1" t="n">
        <v>46286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SCA</t>
        </is>
      </c>
      <c r="I2621" t="n">
        <v>6.7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S 1292-2026</t>
        </is>
      </c>
      <c r="B2622" t="inlineStr">
        <is>
          <t>samrådsanmälan</t>
        </is>
      </c>
      <c r="C2622" t="inlineStr">
        <is>
          <t>Skogsgödsling</t>
        </is>
      </c>
      <c r="D2622" s="1" t="n">
        <v>46148</v>
      </c>
      <c r="E2622" s="1" t="n">
        <v>46286</v>
      </c>
      <c r="F2622" t="inlineStr">
        <is>
          <t>VÄSTERNORRLANDS LÄN</t>
        </is>
      </c>
      <c r="G2622" t="inlineStr">
        <is>
          <t>ÖRNSKÖLDSVIK</t>
        </is>
      </c>
      <c r="I2622" t="n">
        <v>11.1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S 1309-2026</t>
        </is>
      </c>
      <c r="B2623" t="inlineStr">
        <is>
          <t>samrådsanmälan</t>
        </is>
      </c>
      <c r="C2623" t="inlineStr">
        <is>
          <t>Skogsgödsling</t>
        </is>
      </c>
      <c r="D2623" s="1" t="n">
        <v>46148</v>
      </c>
      <c r="E2623" s="1" t="n">
        <v>46286</v>
      </c>
      <c r="F2623" t="inlineStr">
        <is>
          <t>VÄSTERNORRLANDS LÄN</t>
        </is>
      </c>
      <c r="G2623" t="inlineStr">
        <is>
          <t>ÖRNSKÖLDSVIK</t>
        </is>
      </c>
      <c r="I2623" t="n">
        <v>16.8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S 1622-2026</t>
        </is>
      </c>
      <c r="B2624" t="inlineStr">
        <is>
          <t>samrådsanmälan</t>
        </is>
      </c>
      <c r="C2624" t="inlineStr">
        <is>
          <t>Annan skogsbruksåtgärd</t>
        </is>
      </c>
      <c r="D2624" s="1" t="n">
        <v>46174</v>
      </c>
      <c r="E2624" s="1" t="n">
        <v>46286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12.2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S 1720-2026</t>
        </is>
      </c>
      <c r="B2625" t="inlineStr">
        <is>
          <t>samrådsanmälan</t>
        </is>
      </c>
      <c r="C2625" t="inlineStr">
        <is>
          <t>Annan skogsbruksåtgärd</t>
        </is>
      </c>
      <c r="D2625" s="1" t="n">
        <v>46184</v>
      </c>
      <c r="E2625" s="1" t="n">
        <v>46286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S 999-2026</t>
        </is>
      </c>
      <c r="B2626" t="inlineStr">
        <is>
          <t>samrådsanmälan</t>
        </is>
      </c>
      <c r="C2626" t="inlineStr">
        <is>
          <t>Annan skogsbruksåtgärd</t>
        </is>
      </c>
      <c r="D2626" s="1" t="n">
        <v>46119</v>
      </c>
      <c r="E2626" s="1" t="n">
        <v>46286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3.9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S 1753-2026</t>
        </is>
      </c>
      <c r="B2627" t="inlineStr">
        <is>
          <t>samrådsanmälan</t>
        </is>
      </c>
      <c r="C2627" t="inlineStr">
        <is>
          <t>Annan skogsbruksåtgärd</t>
        </is>
      </c>
      <c r="D2627" s="1" t="n">
        <v>46184</v>
      </c>
      <c r="E2627" s="1" t="n">
        <v>46286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SCA</t>
        </is>
      </c>
      <c r="I2627" t="n">
        <v>2.6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1821-2026</t>
        </is>
      </c>
      <c r="B2628" t="inlineStr">
        <is>
          <t>samrådsanmälan</t>
        </is>
      </c>
      <c r="C2628" t="inlineStr">
        <is>
          <t>Annan skogsbruksåtgärd</t>
        </is>
      </c>
      <c r="D2628" s="1" t="n">
        <v>46190</v>
      </c>
      <c r="E2628" s="1" t="n">
        <v>46286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SCA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1879-2026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46197</v>
      </c>
      <c r="E2629" s="1" t="n">
        <v>46286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SCA</t>
        </is>
      </c>
      <c r="I2629" t="n">
        <v>10.2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2008-2026</t>
        </is>
      </c>
      <c r="B2630" t="inlineStr">
        <is>
          <t>samrådsanmälan</t>
        </is>
      </c>
      <c r="C2630" t="inlineStr">
        <is>
          <t>Annan skogsbruksåtgärd</t>
        </is>
      </c>
      <c r="D2630" s="1" t="n">
        <v>46209</v>
      </c>
      <c r="E2630" s="1" t="n">
        <v>46286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6.8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2006-2026</t>
        </is>
      </c>
      <c r="B2631" t="inlineStr">
        <is>
          <t>samrådsanmälan</t>
        </is>
      </c>
      <c r="C2631" t="inlineStr">
        <is>
          <t>Annan skogsbruksåtgärd</t>
        </is>
      </c>
      <c r="D2631" s="1" t="n">
        <v>46209</v>
      </c>
      <c r="E2631" s="1" t="n">
        <v>46286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SCA</t>
        </is>
      </c>
      <c r="I2631" t="n">
        <v>7.3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1988-2026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46206</v>
      </c>
      <c r="E2632" s="1" t="n">
        <v>46286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5080-2024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45639</v>
      </c>
      <c r="E2633" s="1" t="n">
        <v>46286</v>
      </c>
      <c r="F2633" t="inlineStr">
        <is>
          <t>VÄSTERNORRLANDS LÄN</t>
        </is>
      </c>
      <c r="G2633" t="inlineStr">
        <is>
          <t>ÖRNSKÖLDSVIK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2291-2026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46267</v>
      </c>
      <c r="E2634" s="1" t="n">
        <v>46286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2282-2026</t>
        </is>
      </c>
      <c r="B2635" t="inlineStr">
        <is>
          <t>samrådsanmälan</t>
        </is>
      </c>
      <c r="C2635" t="inlineStr">
        <is>
          <t>Annan skogsbruksåtgärd</t>
        </is>
      </c>
      <c r="D2635" s="1" t="n">
        <v>46265</v>
      </c>
      <c r="E2635" s="1" t="n">
        <v>46286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5.8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>
      <c r="A2636" t="inlineStr">
        <is>
          <t>S 2371-2026</t>
        </is>
      </c>
      <c r="B2636" t="inlineStr">
        <is>
          <t>samrådsanmälan</t>
        </is>
      </c>
      <c r="C2636" t="inlineStr">
        <is>
          <t>Annan skogsbruksåtgärd</t>
        </is>
      </c>
      <c r="D2636" s="1" t="n">
        <v>46274</v>
      </c>
      <c r="E2636" s="1" t="n">
        <v>46286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SCA</t>
        </is>
      </c>
      <c r="I2636" t="n">
        <v>1.4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2026-09-21T02:02:57Z</dcterms:created>
  <dcterms:modified xmlns:dcterms="http://purl.org/dc/terms/" xmlns:xsi="http://www.w3.org/2001/XMLSchema-instance" xsi:type="dcterms:W3CDTF">2026-09-21T02:03:00Z</dcterms:modified>
</cp:coreProperties>
</file>