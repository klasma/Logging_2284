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46218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V2">
        <f>HYPERLINK("https://klasma.github.io/Logging_2284/artfynd/S 2896-2025 artfynd.xlsx", "S 2896-2025")</f>
        <v/>
      </c>
      <c r="W2">
        <f>HYPERLINK("https://klasma.github.io/Logging_2284/kartor/S 2896-2025 karta.png", "S 2896-2025")</f>
        <v/>
      </c>
      <c r="Y2">
        <f>HYPERLINK("https://klasma.github.io/Logging_2284/klagomål/S 2896-2025 FSC-klagomål.docx", "S 2896-2025")</f>
        <v/>
      </c>
      <c r="Z2">
        <f>HYPERLINK("https://klasma.github.io/Logging_2284/klagomålsmail/S 2896-2025 FSC-klagomål mail.docx", "S 2896-2025")</f>
        <v/>
      </c>
      <c r="AA2">
        <f>HYPERLINK("https://klasma.github.io/Logging_2284/tillsyn/S 2896-2025 tillsynsbegäran.docx", "S 2896-2025")</f>
        <v/>
      </c>
      <c r="AB2">
        <f>HYPERLINK("https://klasma.github.io/Logging_2284/tillsynsmail/S 2896-2025 tillsynsbegäran mail.docx", "S 2896-2025")</f>
        <v/>
      </c>
      <c r="AC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46218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V3">
        <f>HYPERLINK("https://klasma.github.io/Logging_2284/artfynd/A 21985-2026 artfynd.xlsx", "A 21985-2026")</f>
        <v/>
      </c>
      <c r="W3">
        <f>HYPERLINK("https://klasma.github.io/Logging_2284/kartor/A 21985-2026 karta.png", "A 21985-2026")</f>
        <v/>
      </c>
      <c r="X3">
        <f>HYPERLINK("https://klasma.github.io/Logging_2284/knärot/A 21985-2026 karta knärot.png", "A 21985-2026")</f>
        <v/>
      </c>
      <c r="Y3">
        <f>HYPERLINK("https://klasma.github.io/Logging_2284/klagomål/A 21985-2026 FSC-klagomål.docx", "A 21985-2026")</f>
        <v/>
      </c>
      <c r="Z3">
        <f>HYPERLINK("https://klasma.github.io/Logging_2284/klagomålsmail/A 21985-2026 FSC-klagomål mail.docx", "A 21985-2026")</f>
        <v/>
      </c>
      <c r="AA3">
        <f>HYPERLINK("https://klasma.github.io/Logging_2284/tillsyn/A 21985-2026 tillsynsbegäran.docx", "A 21985-2026")</f>
        <v/>
      </c>
      <c r="AB3">
        <f>HYPERLINK("https://klasma.github.io/Logging_2284/tillsynsmail/A 21985-2026 tillsynsbegäran mail.docx", "A 21985-2026")</f>
        <v/>
      </c>
      <c r="AC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46218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V4">
        <f>HYPERLINK("https://klasma.github.io/Logging_2284/artfynd/A 59357-2025 artfynd.xlsx", "A 59357-2025")</f>
        <v/>
      </c>
      <c r="W4">
        <f>HYPERLINK("https://klasma.github.io/Logging_2284/kartor/A 59357-2025 karta.png", "A 59357-2025")</f>
        <v/>
      </c>
      <c r="Y4">
        <f>HYPERLINK("https://klasma.github.io/Logging_2284/klagomål/A 59357-2025 FSC-klagomål.docx", "A 59357-2025")</f>
        <v/>
      </c>
      <c r="Z4">
        <f>HYPERLINK("https://klasma.github.io/Logging_2284/klagomålsmail/A 59357-2025 FSC-klagomål mail.docx", "A 59357-2025")</f>
        <v/>
      </c>
      <c r="AA4">
        <f>HYPERLINK("https://klasma.github.io/Logging_2284/tillsyn/A 59357-2025 tillsynsbegäran.docx", "A 59357-2025")</f>
        <v/>
      </c>
      <c r="AB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46218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V5">
        <f>HYPERLINK("https://klasma.github.io/Logging_2284/artfynd/A 59365-2025 artfynd.xlsx", "A 59365-2025")</f>
        <v/>
      </c>
      <c r="W5">
        <f>HYPERLINK("https://klasma.github.io/Logging_2284/kartor/A 59365-2025 karta.png", "A 59365-2025")</f>
        <v/>
      </c>
      <c r="Y5">
        <f>HYPERLINK("https://klasma.github.io/Logging_2284/klagomål/A 59365-2025 FSC-klagomål.docx", "A 59365-2025")</f>
        <v/>
      </c>
      <c r="Z5">
        <f>HYPERLINK("https://klasma.github.io/Logging_2284/klagomålsmail/A 59365-2025 FSC-klagomål mail.docx", "A 59365-2025")</f>
        <v/>
      </c>
      <c r="AA5">
        <f>HYPERLINK("https://klasma.github.io/Logging_2284/tillsyn/A 59365-2025 tillsynsbegäran.docx", "A 59365-2025")</f>
        <v/>
      </c>
      <c r="AB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46218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V6">
        <f>HYPERLINK("https://klasma.github.io/Logging_2284/artfynd/A 10146-2025 artfynd.xlsx", "A 10146-2025")</f>
        <v/>
      </c>
      <c r="W6">
        <f>HYPERLINK("https://klasma.github.io/Logging_2284/kartor/A 10146-2025 karta.png", "A 10146-2025")</f>
        <v/>
      </c>
      <c r="Y6">
        <f>HYPERLINK("https://klasma.github.io/Logging_2284/klagomål/A 10146-2025 FSC-klagomål.docx", "A 10146-2025")</f>
        <v/>
      </c>
      <c r="Z6">
        <f>HYPERLINK("https://klasma.github.io/Logging_2284/klagomålsmail/A 10146-2025 FSC-klagomål mail.docx", "A 10146-2025")</f>
        <v/>
      </c>
      <c r="AA6">
        <f>HYPERLINK("https://klasma.github.io/Logging_2284/tillsyn/A 10146-2025 tillsynsbegäran.docx", "A 10146-2025")</f>
        <v/>
      </c>
      <c r="AB6">
        <f>HYPERLINK("https://klasma.github.io/Logging_2284/tillsynsmail/A 10146-2025 tillsynsbegäran mail.docx", "A 10146-2025")</f>
        <v/>
      </c>
      <c r="AC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46218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V7">
        <f>HYPERLINK("https://klasma.github.io/Logging_2284/artfynd/A 35844-2022 artfynd.xlsx", "A 35844-2022")</f>
        <v/>
      </c>
      <c r="W7">
        <f>HYPERLINK("https://klasma.github.io/Logging_2284/kartor/A 35844-2022 karta.png", "A 35844-2022")</f>
        <v/>
      </c>
      <c r="Y7">
        <f>HYPERLINK("https://klasma.github.io/Logging_2284/klagomål/A 35844-2022 FSC-klagomål.docx", "A 35844-2022")</f>
        <v/>
      </c>
      <c r="Z7">
        <f>HYPERLINK("https://klasma.github.io/Logging_2284/klagomålsmail/A 35844-2022 FSC-klagomål mail.docx", "A 35844-2022")</f>
        <v/>
      </c>
      <c r="AA7">
        <f>HYPERLINK("https://klasma.github.io/Logging_2284/tillsyn/A 35844-2022 tillsynsbegäran.docx", "A 35844-2022")</f>
        <v/>
      </c>
      <c r="AB7">
        <f>HYPERLINK("https://klasma.github.io/Logging_2284/tillsynsmail/A 35844-2022 tillsynsbegäran mail.docx", "A 35844-2022")</f>
        <v/>
      </c>
      <c r="AC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46218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s="2" t="inlineStr">
        <is>
          <t>Garnlav
Lappticka
Gammelgransskål
Lunglav
Rosenticka
Rynkskinn
Stjärntagging
Talltita
Tretåig hackspett
Ullticka
Vedskivlav
Luddlav
Stuplav
Vedticka
Tjäder
Orre</t>
        </is>
      </c>
      <c r="V8">
        <f>HYPERLINK("https://klasma.github.io/Logging_2284/artfynd/A 1285-2023 artfynd.xlsx", "A 1285-2023")</f>
        <v/>
      </c>
      <c r="W8">
        <f>HYPERLINK("https://klasma.github.io/Logging_2284/kartor/A 1285-2023 karta.png", "A 1285-2023")</f>
        <v/>
      </c>
      <c r="Y8">
        <f>HYPERLINK("https://klasma.github.io/Logging_2284/klagomål/A 1285-2023 FSC-klagomål.docx", "A 1285-2023")</f>
        <v/>
      </c>
      <c r="Z8">
        <f>HYPERLINK("https://klasma.github.io/Logging_2284/klagomålsmail/A 1285-2023 FSC-klagomål mail.docx", "A 1285-2023")</f>
        <v/>
      </c>
      <c r="AA8">
        <f>HYPERLINK("https://klasma.github.io/Logging_2284/tillsyn/A 1285-2023 tillsynsbegäran.docx", "A 1285-2023")</f>
        <v/>
      </c>
      <c r="AB8">
        <f>HYPERLINK("https://klasma.github.io/Logging_2284/tillsynsmail/A 1285-2023 tillsynsbegäran mail.docx", "A 1285-2023")</f>
        <v/>
      </c>
      <c r="AC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46218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V9">
        <f>HYPERLINK("https://klasma.github.io/Logging_2284/artfynd/A 53060-2021 artfynd.xlsx", "A 53060-2021")</f>
        <v/>
      </c>
      <c r="W9">
        <f>HYPERLINK("https://klasma.github.io/Logging_2284/kartor/A 53060-2021 karta.png", "A 53060-2021")</f>
        <v/>
      </c>
      <c r="Y9">
        <f>HYPERLINK("https://klasma.github.io/Logging_2284/klagomål/A 53060-2021 FSC-klagomål.docx", "A 53060-2021")</f>
        <v/>
      </c>
      <c r="Z9">
        <f>HYPERLINK("https://klasma.github.io/Logging_2284/klagomålsmail/A 53060-2021 FSC-klagomål mail.docx", "A 53060-2021")</f>
        <v/>
      </c>
      <c r="AA9">
        <f>HYPERLINK("https://klasma.github.io/Logging_2284/tillsyn/A 53060-2021 tillsynsbegäran.docx", "A 53060-2021")</f>
        <v/>
      </c>
      <c r="AB9">
        <f>HYPERLINK("https://klasma.github.io/Logging_2284/tillsynsmail/A 53060-2021 tillsynsbegäran mail.docx", "A 53060-2021")</f>
        <v/>
      </c>
      <c r="AC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46218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s="2" t="inlineStr">
        <is>
          <t>Garnlav
Doftskinn
Kådvaxskinn
Kötticka
Lunglav
Rynkskinn
Talltita
Tretåig hackspett
Ullticka
Vedskivlav
Luddlav
Plattlummer
Vedticka
Tjäder
Fläcknycklar</t>
        </is>
      </c>
      <c r="V10">
        <f>HYPERLINK("https://klasma.github.io/Logging_2284/artfynd/A 27491-2025 artfynd.xlsx", "A 27491-2025")</f>
        <v/>
      </c>
      <c r="W10">
        <f>HYPERLINK("https://klasma.github.io/Logging_2284/kartor/A 27491-2025 karta.png", "A 27491-2025")</f>
        <v/>
      </c>
      <c r="Y10">
        <f>HYPERLINK("https://klasma.github.io/Logging_2284/klagomål/A 27491-2025 FSC-klagomål.docx", "A 27491-2025")</f>
        <v/>
      </c>
      <c r="Z10">
        <f>HYPERLINK("https://klasma.github.io/Logging_2284/klagomålsmail/A 27491-2025 FSC-klagomål mail.docx", "A 27491-2025")</f>
        <v/>
      </c>
      <c r="AA10">
        <f>HYPERLINK("https://klasma.github.io/Logging_2284/tillsyn/A 27491-2025 tillsynsbegäran.docx", "A 27491-2025")</f>
        <v/>
      </c>
      <c r="AB10">
        <f>HYPERLINK("https://klasma.github.io/Logging_2284/tillsynsmail/A 27491-2025 tillsynsbegäran mail.docx", "A 27491-2025")</f>
        <v/>
      </c>
      <c r="AC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46218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s="2" t="inlineStr">
        <is>
          <t>Garnlav
Vit aspticka
Kolflarnlav
Kötticka
Lunglav
Mörk kolflarnlav
Rosenticka
Tallriska
Tallticka
Talltita
Ullticka
Vedskivlav
Skinnlav
Stor aspticka</t>
        </is>
      </c>
      <c r="V11">
        <f>HYPERLINK("https://klasma.github.io/Logging_2284/artfynd/A 43604-2023 artfynd.xlsx", "A 43604-2023")</f>
        <v/>
      </c>
      <c r="W11">
        <f>HYPERLINK("https://klasma.github.io/Logging_2284/kartor/A 43604-2023 karta.png", "A 43604-2023")</f>
        <v/>
      </c>
      <c r="Y11">
        <f>HYPERLINK("https://klasma.github.io/Logging_2284/klagomål/A 43604-2023 FSC-klagomål.docx", "A 43604-2023")</f>
        <v/>
      </c>
      <c r="Z11">
        <f>HYPERLINK("https://klasma.github.io/Logging_2284/klagomålsmail/A 43604-2023 FSC-klagomål mail.docx", "A 43604-2023")</f>
        <v/>
      </c>
      <c r="AA11">
        <f>HYPERLINK("https://klasma.github.io/Logging_2284/tillsyn/A 43604-2023 tillsynsbegäran.docx", "A 43604-2023")</f>
        <v/>
      </c>
      <c r="AB11">
        <f>HYPERLINK("https://klasma.github.io/Logging_2284/tillsynsmail/A 43604-2023 tillsynsbegäran mail.docx", "A 43604-2023")</f>
        <v/>
      </c>
      <c r="AC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46218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s="2" t="inlineStr">
        <is>
          <t>Aspgelélav
Garnlav
Lunglav
Skogshare
Talltita
Tretåig hackspett
Ullticka
Älg
Rävticka
Skinnlav
Vedticka
Järpe
Spillkråka
Tjäder</t>
        </is>
      </c>
      <c r="V12">
        <f>HYPERLINK("https://klasma.github.io/Logging_2284/artfynd/A 10398-2026 artfynd.xlsx", "A 10398-2026")</f>
        <v/>
      </c>
      <c r="W12">
        <f>HYPERLINK("https://klasma.github.io/Logging_2284/kartor/A 10398-2026 karta.png", "A 10398-2026")</f>
        <v/>
      </c>
      <c r="Y12">
        <f>HYPERLINK("https://klasma.github.io/Logging_2284/klagomål/A 10398-2026 FSC-klagomål.docx", "A 10398-2026")</f>
        <v/>
      </c>
      <c r="Z12">
        <f>HYPERLINK("https://klasma.github.io/Logging_2284/klagomålsmail/A 10398-2026 FSC-klagomål mail.docx", "A 10398-2026")</f>
        <v/>
      </c>
      <c r="AA12">
        <f>HYPERLINK("https://klasma.github.io/Logging_2284/tillsyn/A 10398-2026 tillsynsbegäran.docx", "A 10398-2026")</f>
        <v/>
      </c>
      <c r="AB12">
        <f>HYPERLINK("https://klasma.github.io/Logging_2284/tillsynsmail/A 10398-2026 tillsynsbegäran mail.docx", "A 10398-2026")</f>
        <v/>
      </c>
      <c r="AC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46218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s="2" t="inlineStr">
        <is>
          <t>Doftticka
Garnlav
Knärot
Gammelgransskål
Harticka
Lunglav
Skrovellav
Talltita
Tretåig hackspett
Norrlandslav
Skinnlav
Stuplav
Järpe
Tjäder</t>
        </is>
      </c>
      <c r="V13">
        <f>HYPERLINK("https://klasma.github.io/Logging_2284/artfynd/S 171-2026 artfynd.xlsx", "S 171-2026")</f>
        <v/>
      </c>
      <c r="W13">
        <f>HYPERLINK("https://klasma.github.io/Logging_2284/kartor/S 171-2026 karta.png", "S 171-2026")</f>
        <v/>
      </c>
      <c r="X13">
        <f>HYPERLINK("https://klasma.github.io/Logging_2284/knärot/S 171-2026 karta knärot.png", "S 171-2026")</f>
        <v/>
      </c>
      <c r="Y13">
        <f>HYPERLINK("https://klasma.github.io/Logging_2284/klagomål/S 171-2026 FSC-klagomål.docx", "S 171-2026")</f>
        <v/>
      </c>
      <c r="Z13">
        <f>HYPERLINK("https://klasma.github.io/Logging_2284/klagomålsmail/S 171-2026 FSC-klagomål mail.docx", "S 171-2026")</f>
        <v/>
      </c>
      <c r="AA13">
        <f>HYPERLINK("https://klasma.github.io/Logging_2284/tillsyn/S 171-2026 tillsynsbegäran.docx", "S 171-2026")</f>
        <v/>
      </c>
      <c r="AB13">
        <f>HYPERLINK("https://klasma.github.io/Logging_2284/tillsynsmail/S 171-2026 tillsynsbegäran mail.docx", "S 171-2026")</f>
        <v/>
      </c>
      <c r="AC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46218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s="2" t="inlineStr">
        <is>
          <t>Knärot
Skrovlig taggsvamp
Gammelgransskål
Lunglav
Orange taggsvamp
Skarp dropptaggsvamp
Talltita
Vedskivlav
Violettgrå tagellav
Vågticka
Skinnlav
Järpe
Spillkråka</t>
        </is>
      </c>
      <c r="V14">
        <f>HYPERLINK("https://klasma.github.io/Logging_2284/artfynd/A 50533-2023 artfynd.xlsx", "A 50533-2023")</f>
        <v/>
      </c>
      <c r="W14">
        <f>HYPERLINK("https://klasma.github.io/Logging_2284/kartor/A 50533-2023 karta.png", "A 50533-2023")</f>
        <v/>
      </c>
      <c r="X14">
        <f>HYPERLINK("https://klasma.github.io/Logging_2284/knärot/A 50533-2023 karta knärot.png", "A 50533-2023")</f>
        <v/>
      </c>
      <c r="Y14">
        <f>HYPERLINK("https://klasma.github.io/Logging_2284/klagomål/A 50533-2023 FSC-klagomål.docx", "A 50533-2023")</f>
        <v/>
      </c>
      <c r="Z14">
        <f>HYPERLINK("https://klasma.github.io/Logging_2284/klagomålsmail/A 50533-2023 FSC-klagomål mail.docx", "A 50533-2023")</f>
        <v/>
      </c>
      <c r="AA14">
        <f>HYPERLINK("https://klasma.github.io/Logging_2284/tillsyn/A 50533-2023 tillsynsbegäran.docx", "A 50533-2023")</f>
        <v/>
      </c>
      <c r="AB14">
        <f>HYPERLINK("https://klasma.github.io/Logging_2284/tillsynsmail/A 50533-2023 tillsynsbegäran mail.docx", "A 50533-2023")</f>
        <v/>
      </c>
      <c r="AC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46218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s="2" t="inlineStr">
        <is>
          <t>Garnlav
Knärot
Ulltickeporing
Lunglav
Rosenticka
Skogshare
Tretåig hackspett
Ullticka
Älg
Korallblylav
Stuplav
Spillkråka
Revlummer</t>
        </is>
      </c>
      <c r="V15">
        <f>HYPERLINK("https://klasma.github.io/Logging_2284/artfynd/A 11228-2026 artfynd.xlsx", "A 11228-2026")</f>
        <v/>
      </c>
      <c r="W15">
        <f>HYPERLINK("https://klasma.github.io/Logging_2284/kartor/A 11228-2026 karta.png", "A 11228-2026")</f>
        <v/>
      </c>
      <c r="X15">
        <f>HYPERLINK("https://klasma.github.io/Logging_2284/knärot/A 11228-2026 karta knärot.png", "A 11228-2026")</f>
        <v/>
      </c>
      <c r="Y15">
        <f>HYPERLINK("https://klasma.github.io/Logging_2284/klagomål/A 11228-2026 FSC-klagomål.docx", "A 11228-2026")</f>
        <v/>
      </c>
      <c r="Z15">
        <f>HYPERLINK("https://klasma.github.io/Logging_2284/klagomålsmail/A 11228-2026 FSC-klagomål mail.docx", "A 11228-2026")</f>
        <v/>
      </c>
      <c r="AA15">
        <f>HYPERLINK("https://klasma.github.io/Logging_2284/tillsyn/A 11228-2026 tillsynsbegäran.docx", "A 11228-2026")</f>
        <v/>
      </c>
      <c r="AB15">
        <f>HYPERLINK("https://klasma.github.io/Logging_2284/tillsynsmail/A 11228-2026 tillsynsbegäran mail.docx", "A 11228-2026")</f>
        <v/>
      </c>
      <c r="AC15">
        <f>HYPERLINK("https://klasma.github.io/Logging_2284/fåglar/A 11228-2026 prioriterade fågelarter.docx", "A 11228-2026")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46218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s="2" t="inlineStr">
        <is>
          <t>Garnlav
Gränsticka
Doftskinn
Duvhök
Dvärgbägarlav
Gammelgransskål
Lunglav
Rosenticka
Rynkskinn
Stjärntagging
Vedflamlav
Vedskivlav</t>
        </is>
      </c>
      <c r="V16">
        <f>HYPERLINK("https://klasma.github.io/Logging_2284/artfynd/A 59005-2025 artfynd.xlsx", "A 59005-2025")</f>
        <v/>
      </c>
      <c r="W16">
        <f>HYPERLINK("https://klasma.github.io/Logging_2284/kartor/A 59005-2025 karta.png", "A 59005-2025")</f>
        <v/>
      </c>
      <c r="Y16">
        <f>HYPERLINK("https://klasma.github.io/Logging_2284/klagomål/A 59005-2025 FSC-klagomål.docx", "A 59005-2025")</f>
        <v/>
      </c>
      <c r="Z16">
        <f>HYPERLINK("https://klasma.github.io/Logging_2284/klagomålsmail/A 59005-2025 FSC-klagomål mail.docx", "A 59005-2025")</f>
        <v/>
      </c>
      <c r="AA16">
        <f>HYPERLINK("https://klasma.github.io/Logging_2284/tillsyn/A 59005-2025 tillsynsbegäran.docx", "A 59005-2025")</f>
        <v/>
      </c>
      <c r="AB16">
        <f>HYPERLINK("https://klasma.github.io/Logging_2284/tillsynsmail/A 59005-2025 tillsynsbegäran mail.docx", "A 59005-2025")</f>
        <v/>
      </c>
      <c r="AC16">
        <f>HYPERLINK("https://klasma.github.io/Logging_2284/fåglar/A 59005-2025 prioriterade fågelarter.docx", "A 59005-2025")</f>
        <v/>
      </c>
    </row>
    <row r="17" ht="15" customHeight="1">
      <c r="A17" t="inlineStr">
        <is>
          <t>A 3288-2026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46041</v>
      </c>
      <c r="E17" s="1" t="n">
        <v>46218</v>
      </c>
      <c r="F17" t="inlineStr">
        <is>
          <t>VÄSTERNORRLANDS LÄN</t>
        </is>
      </c>
      <c r="G17" t="inlineStr">
        <is>
          <t>ÖRNSKÖLDSVIK</t>
        </is>
      </c>
      <c r="I17" t="n">
        <v>1.4</v>
      </c>
      <c r="J17" t="n">
        <v>6</v>
      </c>
      <c r="K17" t="n">
        <v>1</v>
      </c>
      <c r="L17" t="n">
        <v>8</v>
      </c>
      <c r="M17" t="n">
        <v>1</v>
      </c>
      <c r="N17" t="n">
        <v>0</v>
      </c>
      <c r="O17" t="n">
        <v>0</v>
      </c>
      <c r="P17" t="n">
        <v>0</v>
      </c>
      <c r="Q17" t="n">
        <v>9</v>
      </c>
      <c r="R17" t="n">
        <v>1</v>
      </c>
      <c r="S17" t="n">
        <v>12</v>
      </c>
      <c r="T17" t="n">
        <v>32</v>
      </c>
      <c r="U17" s="2" t="inlineStr">
        <is>
          <t>Knärot
Gammelgransskål
Lavskrika
Rosenticka
Rynkskinn
Stjärntagging
Talltita
Tretåig hackspett
Ullticka
Vedticka
Järpe
Revlummer</t>
        </is>
      </c>
      <c r="V17">
        <f>HYPERLINK("https://klasma.github.io/Logging_2284/artfynd/A 3288-2026 artfynd.xlsx", "A 3288-2026")</f>
        <v/>
      </c>
      <c r="W17">
        <f>HYPERLINK("https://klasma.github.io/Logging_2284/kartor/A 3288-2026 karta.png", "A 3288-2026")</f>
        <v/>
      </c>
      <c r="X17">
        <f>HYPERLINK("https://klasma.github.io/Logging_2284/knärot/A 3288-2026 karta knärot.png", "A 3288-2026")</f>
        <v/>
      </c>
      <c r="Y17">
        <f>HYPERLINK("https://klasma.github.io/Logging_2284/klagomål/A 3288-2026 FSC-klagomål.docx", "A 3288-2026")</f>
        <v/>
      </c>
      <c r="Z17">
        <f>HYPERLINK("https://klasma.github.io/Logging_2284/klagomålsmail/A 3288-2026 FSC-klagomål mail.docx", "A 3288-2026")</f>
        <v/>
      </c>
      <c r="AA17">
        <f>HYPERLINK("https://klasma.github.io/Logging_2284/tillsyn/A 3288-2026 tillsynsbegäran.docx", "A 3288-2026")</f>
        <v/>
      </c>
      <c r="AB17">
        <f>HYPERLINK("https://klasma.github.io/Logging_2284/tillsynsmail/A 3288-2026 tillsynsbegäran mail.docx", "A 3288-2026")</f>
        <v/>
      </c>
      <c r="AC17">
        <f>HYPERLINK("https://klasma.github.io/Logging_2284/fåglar/A 3288-2026 prioriterade fågelarter.docx", "A 3288-2026")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46218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s="2" t="inlineStr">
        <is>
          <t>Garnlav
Gammelgransskål
Småflikig brosklav
Ullticka
Nästlav
Plattlummer
Vedticka
Järpe
Spillkråka
Fläcknycklar
Revlummer</t>
        </is>
      </c>
      <c r="V18">
        <f>HYPERLINK("https://klasma.github.io/Logging_2284/artfynd/A 23771-2025 artfynd.xlsx", "A 23771-2025")</f>
        <v/>
      </c>
      <c r="W18">
        <f>HYPERLINK("https://klasma.github.io/Logging_2284/kartor/A 23771-2025 karta.png", "A 23771-2025")</f>
        <v/>
      </c>
      <c r="Y18">
        <f>HYPERLINK("https://klasma.github.io/Logging_2284/klagomål/A 23771-2025 FSC-klagomål.docx", "A 23771-2025")</f>
        <v/>
      </c>
      <c r="Z18">
        <f>HYPERLINK("https://klasma.github.io/Logging_2284/klagomålsmail/A 23771-2025 FSC-klagomål mail.docx", "A 23771-2025")</f>
        <v/>
      </c>
      <c r="AA18">
        <f>HYPERLINK("https://klasma.github.io/Logging_2284/tillsyn/A 23771-2025 tillsynsbegäran.docx", "A 23771-2025")</f>
        <v/>
      </c>
      <c r="AB18">
        <f>HYPERLINK("https://klasma.github.io/Logging_2284/tillsynsmail/A 23771-2025 tillsynsbegäran mail.docx", "A 23771-2025")</f>
        <v/>
      </c>
      <c r="AC18">
        <f>HYPERLINK("https://klasma.github.io/Logging_2284/fåglar/A 23771-2025 prioriterade fågelarter.docx", "A 23771-2025")</f>
        <v/>
      </c>
    </row>
    <row r="19" ht="15" customHeight="1">
      <c r="A19" t="inlineStr">
        <is>
          <t>A 32076-2025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45835</v>
      </c>
      <c r="E19" s="1" t="n">
        <v>46218</v>
      </c>
      <c r="F19" t="inlineStr">
        <is>
          <t>VÄSTERNORRLANDS LÄN</t>
        </is>
      </c>
      <c r="G19" t="inlineStr">
        <is>
          <t>ÖRNSKÖLDSVIK</t>
        </is>
      </c>
      <c r="I19" t="n">
        <v>6.3</v>
      </c>
      <c r="J19" t="n">
        <v>2</v>
      </c>
      <c r="K19" t="n">
        <v>2</v>
      </c>
      <c r="L19" t="n">
        <v>6</v>
      </c>
      <c r="M19" t="n">
        <v>2</v>
      </c>
      <c r="N19" t="n">
        <v>0</v>
      </c>
      <c r="O19" t="n">
        <v>0</v>
      </c>
      <c r="P19" t="n">
        <v>0</v>
      </c>
      <c r="Q19" t="n">
        <v>8</v>
      </c>
      <c r="R19" t="n">
        <v>2</v>
      </c>
      <c r="S19" t="n">
        <v>11</v>
      </c>
      <c r="T19" t="n">
        <v>32</v>
      </c>
      <c r="U19" s="2" t="inlineStr">
        <is>
          <t>Garnlav
Ulltickeporing
Doftskinn
Kötticka
Rosenticka
Rynkskinn
Tretåig hackspett
Ullticka
Trådticka
Vedticka
Järpe</t>
        </is>
      </c>
      <c r="V19">
        <f>HYPERLINK("https://klasma.github.io/Logging_2284/artfynd/A 32076-2025 artfynd.xlsx", "A 32076-2025")</f>
        <v/>
      </c>
      <c r="W19">
        <f>HYPERLINK("https://klasma.github.io/Logging_2284/kartor/A 32076-2025 karta.png", "A 32076-2025")</f>
        <v/>
      </c>
      <c r="Y19">
        <f>HYPERLINK("https://klasma.github.io/Logging_2284/klagomål/A 32076-2025 FSC-klagomål.docx", "A 32076-2025")</f>
        <v/>
      </c>
      <c r="Z19">
        <f>HYPERLINK("https://klasma.github.io/Logging_2284/klagomålsmail/A 32076-2025 FSC-klagomål mail.docx", "A 32076-2025")</f>
        <v/>
      </c>
      <c r="AA19">
        <f>HYPERLINK("https://klasma.github.io/Logging_2284/tillsyn/A 32076-2025 tillsynsbegäran.docx", "A 32076-2025")</f>
        <v/>
      </c>
      <c r="AB19">
        <f>HYPERLINK("https://klasma.github.io/Logging_2284/tillsynsmail/A 32076-2025 tillsynsbegäran mail.docx", "A 32076-2025")</f>
        <v/>
      </c>
      <c r="AC19">
        <f>HYPERLINK("https://klasma.github.io/Logging_2284/fåglar/A 32076-2025 prioriterade fågelarter.docx", "A 32076-2025")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46218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s="2" t="inlineStr">
        <is>
          <t>Blå taggsvamp
Dvärgbägarlav
Kolflarnlav
Kortskaftad ärgspik
Kötticka
Lunglav
Mörk kolflarnlav
Orange taggsvamp
Stjärntagging
Vedflamlav
Vedskivlav</t>
        </is>
      </c>
      <c r="V20">
        <f>HYPERLINK("https://klasma.github.io/Logging_2284/artfynd/S 1333-2025 artfynd.xlsx", "S 1333-2025")</f>
        <v/>
      </c>
      <c r="W20">
        <f>HYPERLINK("https://klasma.github.io/Logging_2284/kartor/S 1333-2025 karta.png", "S 1333-2025")</f>
        <v/>
      </c>
      <c r="Y20">
        <f>HYPERLINK("https://klasma.github.io/Logging_2284/klagomål/S 1333-2025 FSC-klagomål.docx", "S 1333-2025")</f>
        <v/>
      </c>
      <c r="Z20">
        <f>HYPERLINK("https://klasma.github.io/Logging_2284/klagomålsmail/S 1333-2025 FSC-klagomål mail.docx", "S 1333-2025")</f>
        <v/>
      </c>
      <c r="AA20">
        <f>HYPERLINK("https://klasma.github.io/Logging_2284/tillsyn/S 1333-2025 tillsynsbegäran.docx", "S 1333-2025")</f>
        <v/>
      </c>
      <c r="AB20">
        <f>HYPERLINK("https://klasma.github.io/Logging_2284/tillsynsmail/S 1333-2025 tillsynsbegäran mail.docx", "S 1333-2025")</f>
        <v/>
      </c>
    </row>
    <row r="21" ht="15" customHeight="1">
      <c r="A21" t="inlineStr">
        <is>
          <t>A 41254-2021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44424</v>
      </c>
      <c r="E21" s="1" t="n">
        <v>46218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2.6</v>
      </c>
      <c r="J21" t="n">
        <v>2</v>
      </c>
      <c r="K21" t="n">
        <v>2</v>
      </c>
      <c r="L21" t="n">
        <v>6</v>
      </c>
      <c r="M21" t="n">
        <v>2</v>
      </c>
      <c r="N21" t="n">
        <v>0</v>
      </c>
      <c r="O21" t="n">
        <v>0</v>
      </c>
      <c r="P21" t="n">
        <v>0</v>
      </c>
      <c r="Q21" t="n">
        <v>8</v>
      </c>
      <c r="R21" t="n">
        <v>2</v>
      </c>
      <c r="S21" t="n">
        <v>10</v>
      </c>
      <c r="T21" t="n">
        <v>22</v>
      </c>
      <c r="U21" s="2" t="inlineStr">
        <is>
          <t>Garnlav
Knärot
Doftskinn
Lunglav
Rosenticka
Rynkskinn
Talltita
Ullticka
Korallblylav
Vedticka</t>
        </is>
      </c>
      <c r="V21">
        <f>HYPERLINK("https://klasma.github.io/Logging_2284/artfynd/A 41254-2021 artfynd.xlsx", "A 41254-2021")</f>
        <v/>
      </c>
      <c r="W21">
        <f>HYPERLINK("https://klasma.github.io/Logging_2284/kartor/A 41254-2021 karta.png", "A 41254-2021")</f>
        <v/>
      </c>
      <c r="X21">
        <f>HYPERLINK("https://klasma.github.io/Logging_2284/knärot/A 41254-2021 karta knärot.png", "A 41254-2021")</f>
        <v/>
      </c>
      <c r="Y21">
        <f>HYPERLINK("https://klasma.github.io/Logging_2284/klagomål/A 41254-2021 FSC-klagomål.docx", "A 41254-2021")</f>
        <v/>
      </c>
      <c r="Z21">
        <f>HYPERLINK("https://klasma.github.io/Logging_2284/klagomålsmail/A 41254-2021 FSC-klagomål mail.docx", "A 41254-2021")</f>
        <v/>
      </c>
      <c r="AA21">
        <f>HYPERLINK("https://klasma.github.io/Logging_2284/tillsyn/A 41254-2021 tillsynsbegäran.docx", "A 41254-2021")</f>
        <v/>
      </c>
      <c r="AB21">
        <f>HYPERLINK("https://klasma.github.io/Logging_2284/tillsynsmail/A 41254-2021 tillsynsbegäran mail.docx", "A 41254-2021")</f>
        <v/>
      </c>
      <c r="AC21">
        <f>HYPERLINK("https://klasma.github.io/Logging_2284/fåglar/A 41254-2021 prioriterade fågelarter.docx", "A 41254-2021")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46218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s="2" t="inlineStr">
        <is>
          <t>Gränsticka
Doftskinn
Gammelgransskål
Rynkskinn
Tallfingersvamp
Talltita
Ullticka
Vedflamlav
Vedskivlav
Spillkråka</t>
        </is>
      </c>
      <c r="V22">
        <f>HYPERLINK("https://klasma.github.io/Logging_2284/artfynd/A 43682-2025 artfynd.xlsx", "A 43682-2025")</f>
        <v/>
      </c>
      <c r="W22">
        <f>HYPERLINK("https://klasma.github.io/Logging_2284/kartor/A 43682-2025 karta.png", "A 43682-2025")</f>
        <v/>
      </c>
      <c r="Y22">
        <f>HYPERLINK("https://klasma.github.io/Logging_2284/klagomål/A 43682-2025 FSC-klagomål.docx", "A 43682-2025")</f>
        <v/>
      </c>
      <c r="Z22">
        <f>HYPERLINK("https://klasma.github.io/Logging_2284/klagomålsmail/A 43682-2025 FSC-klagomål mail.docx", "A 43682-2025")</f>
        <v/>
      </c>
      <c r="AA22">
        <f>HYPERLINK("https://klasma.github.io/Logging_2284/tillsyn/A 43682-2025 tillsynsbegäran.docx", "A 43682-2025")</f>
        <v/>
      </c>
      <c r="AB22">
        <f>HYPERLINK("https://klasma.github.io/Logging_2284/tillsynsmail/A 43682-2025 tillsynsbegäran mail.docx", "A 43682-2025")</f>
        <v/>
      </c>
      <c r="AC22">
        <f>HYPERLINK("https://klasma.github.io/Logging_2284/fåglar/A 43682-2025 prioriterade fågelarter.docx", "A 43682-2025")</f>
        <v/>
      </c>
    </row>
    <row r="23" ht="15" customHeight="1">
      <c r="A23" t="inlineStr">
        <is>
          <t>A 21981-2026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46218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4.6</v>
      </c>
      <c r="J23" t="n">
        <v>6</v>
      </c>
      <c r="K23" t="n">
        <v>1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10</v>
      </c>
      <c r="T23" t="n">
        <v>33</v>
      </c>
      <c r="U23" s="2" t="inlineStr">
        <is>
          <t>Garnlav
Grantickeporing
Gränsticka
Rödvingetrast
Talltita
Tretåig hackspett
Vedticka
Spillkråka
Vanlig groda
Fläcknycklar</t>
        </is>
      </c>
      <c r="V23">
        <f>HYPERLINK("https://klasma.github.io/Logging_2284/artfynd/A 21981-2026 artfynd.xlsx", "A 21981-2026")</f>
        <v/>
      </c>
      <c r="W23">
        <f>HYPERLINK("https://klasma.github.io/Logging_2284/kartor/A 21981-2026 karta.png", "A 21981-2026")</f>
        <v/>
      </c>
      <c r="Y23">
        <f>HYPERLINK("https://klasma.github.io/Logging_2284/klagomål/A 21981-2026 FSC-klagomål.docx", "A 21981-2026")</f>
        <v/>
      </c>
      <c r="Z23">
        <f>HYPERLINK("https://klasma.github.io/Logging_2284/klagomålsmail/A 21981-2026 FSC-klagomål mail.docx", "A 21981-2026")</f>
        <v/>
      </c>
      <c r="AA23">
        <f>HYPERLINK("https://klasma.github.io/Logging_2284/tillsyn/A 21981-2026 tillsynsbegäran.docx", "A 21981-2026")</f>
        <v/>
      </c>
      <c r="AB23">
        <f>HYPERLINK("https://klasma.github.io/Logging_2284/tillsynsmail/A 21981-2026 tillsynsbegäran mail.docx", "A 21981-2026")</f>
        <v/>
      </c>
      <c r="AC23">
        <f>HYPERLINK("https://klasma.github.io/Logging_2284/fåglar/A 21981-2026 prioriterade fågelarter.docx", "A 21981-2026")</f>
        <v/>
      </c>
    </row>
    <row r="24" ht="15" customHeight="1">
      <c r="A24" t="inlineStr">
        <is>
          <t>A 21979-2026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46218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2.5</v>
      </c>
      <c r="J24" t="n">
        <v>6</v>
      </c>
      <c r="K24" t="n">
        <v>1</v>
      </c>
      <c r="L24" t="n">
        <v>4</v>
      </c>
      <c r="M24" t="n">
        <v>1</v>
      </c>
      <c r="N24" t="n">
        <v>0</v>
      </c>
      <c r="O24" t="n">
        <v>0</v>
      </c>
      <c r="P24" t="n">
        <v>0</v>
      </c>
      <c r="Q24" t="n">
        <v>5</v>
      </c>
      <c r="R24" t="n">
        <v>1</v>
      </c>
      <c r="S24" t="n">
        <v>10</v>
      </c>
      <c r="T24" t="n">
        <v>28</v>
      </c>
      <c r="U24" s="2" t="inlineStr">
        <is>
          <t>Garnlav
Rosenticka
Talltita
Tretåig hackspett
Ullticka
Vedticka
Järpe
Spillkråka
Svartvit flugsnappare
Revlummer</t>
        </is>
      </c>
      <c r="V24">
        <f>HYPERLINK("https://klasma.github.io/Logging_2284/artfynd/A 21979-2026 artfynd.xlsx", "A 21979-2026")</f>
        <v/>
      </c>
      <c r="W24">
        <f>HYPERLINK("https://klasma.github.io/Logging_2284/kartor/A 21979-2026 karta.png", "A 21979-2026")</f>
        <v/>
      </c>
      <c r="Y24">
        <f>HYPERLINK("https://klasma.github.io/Logging_2284/klagomål/A 21979-2026 FSC-klagomål.docx", "A 21979-2026")</f>
        <v/>
      </c>
      <c r="Z24">
        <f>HYPERLINK("https://klasma.github.io/Logging_2284/klagomålsmail/A 21979-2026 FSC-klagomål mail.docx", "A 21979-2026")</f>
        <v/>
      </c>
      <c r="AA24">
        <f>HYPERLINK("https://klasma.github.io/Logging_2284/tillsyn/A 21979-2026 tillsynsbegäran.docx", "A 21979-2026")</f>
        <v/>
      </c>
      <c r="AB24">
        <f>HYPERLINK("https://klasma.github.io/Logging_2284/tillsynsmail/A 21979-2026 tillsynsbegäran mail.docx", "A 21979-2026")</f>
        <v/>
      </c>
      <c r="AC24">
        <f>HYPERLINK("https://klasma.github.io/Logging_2284/fåglar/A 21979-2026 prioriterade fågelarter.docx", "A 21979-2026")</f>
        <v/>
      </c>
    </row>
    <row r="25" ht="15" customHeight="1">
      <c r="A25" t="inlineStr">
        <is>
          <t>A 30045-2026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46206</v>
      </c>
      <c r="E25" s="1" t="n">
        <v>46218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1.6</v>
      </c>
      <c r="J25" t="n">
        <v>2</v>
      </c>
      <c r="K25" t="n">
        <v>2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10</v>
      </c>
      <c r="T25" t="n">
        <v>14</v>
      </c>
      <c r="U25" s="2" t="inlineStr">
        <is>
          <t>Garnlav
Blågrå svartspik
Gammelgransskål
Lunglav
Ullticka
Vitgrynig nållav
Granriska
Vedticka
Spillkråka
Kungsfågel</t>
        </is>
      </c>
      <c r="V25">
        <f>HYPERLINK("https://klasma.github.io/Logging_2284/artfynd/A 30045-2026 artfynd.xlsx", "A 30045-2026")</f>
        <v/>
      </c>
      <c r="W25">
        <f>HYPERLINK("https://klasma.github.io/Logging_2284/kartor/A 30045-2026 karta.png", "A 30045-2026")</f>
        <v/>
      </c>
      <c r="Y25">
        <f>HYPERLINK("https://klasma.github.io/Logging_2284/klagomål/A 30045-2026 FSC-klagomål.docx", "A 30045-2026")</f>
        <v/>
      </c>
      <c r="Z25">
        <f>HYPERLINK("https://klasma.github.io/Logging_2284/klagomålsmail/A 30045-2026 FSC-klagomål mail.docx", "A 30045-2026")</f>
        <v/>
      </c>
      <c r="AA25">
        <f>HYPERLINK("https://klasma.github.io/Logging_2284/tillsyn/A 30045-2026 tillsynsbegäran.docx", "A 30045-2026")</f>
        <v/>
      </c>
      <c r="AB25">
        <f>HYPERLINK("https://klasma.github.io/Logging_2284/tillsynsmail/A 30045-2026 tillsynsbegäran mail.docx", "A 30045-2026")</f>
        <v/>
      </c>
      <c r="AC25">
        <f>HYPERLINK("https://klasma.github.io/Logging_2284/fåglar/A 30045-2026 prioriterade fågelarter.docx", "A 30045-2026")</f>
        <v/>
      </c>
    </row>
    <row r="26" ht="15" customHeight="1">
      <c r="A26" t="inlineStr">
        <is>
          <t>A 46958-2023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45195</v>
      </c>
      <c r="E26" s="1" t="n">
        <v>46218</v>
      </c>
      <c r="F26" t="inlineStr">
        <is>
          <t>VÄSTERNORRLANDS LÄN</t>
        </is>
      </c>
      <c r="G26" t="inlineStr">
        <is>
          <t>ÖRNSKÖLDSVIK</t>
        </is>
      </c>
      <c r="I26" t="n">
        <v>6.1</v>
      </c>
      <c r="J26" t="n">
        <v>4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37</v>
      </c>
      <c r="U26" s="2" t="inlineStr">
        <is>
          <t>Garnlav
Knärot
Lappticka
Lavskrika
Rosenticka
Tretåig hackspett
Ullticka
Stor aspticka
Spillkråka</t>
        </is>
      </c>
      <c r="V26">
        <f>HYPERLINK("https://klasma.github.io/Logging_2284/artfynd/A 46958-2023 artfynd.xlsx", "A 46958-2023")</f>
        <v/>
      </c>
      <c r="W26">
        <f>HYPERLINK("https://klasma.github.io/Logging_2284/kartor/A 46958-2023 karta.png", "A 46958-2023")</f>
        <v/>
      </c>
      <c r="X26">
        <f>HYPERLINK("https://klasma.github.io/Logging_2284/knärot/A 46958-2023 karta knärot.png", "A 46958-2023")</f>
        <v/>
      </c>
      <c r="Y26">
        <f>HYPERLINK("https://klasma.github.io/Logging_2284/klagomål/A 46958-2023 FSC-klagomål.docx", "A 46958-2023")</f>
        <v/>
      </c>
      <c r="Z26">
        <f>HYPERLINK("https://klasma.github.io/Logging_2284/klagomålsmail/A 46958-2023 FSC-klagomål mail.docx", "A 46958-2023")</f>
        <v/>
      </c>
      <c r="AA26">
        <f>HYPERLINK("https://klasma.github.io/Logging_2284/tillsyn/A 46958-2023 tillsynsbegäran.docx", "A 46958-2023")</f>
        <v/>
      </c>
      <c r="AB26">
        <f>HYPERLINK("https://klasma.github.io/Logging_2284/tillsynsmail/A 46958-2023 tillsynsbegäran mail.docx", "A 46958-2023")</f>
        <v/>
      </c>
      <c r="AC26">
        <f>HYPERLINK("https://klasma.github.io/Logging_2284/fåglar/A 46958-2023 prioriterade fågelarter.docx", "A 46958-2023")</f>
        <v/>
      </c>
    </row>
    <row r="27" ht="15" customHeight="1">
      <c r="A27" t="inlineStr">
        <is>
          <t>A 12336-2026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46218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Kommuner</t>
        </is>
      </c>
      <c r="I27" t="n">
        <v>6.1</v>
      </c>
      <c r="J27" t="n">
        <v>3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24</v>
      </c>
      <c r="U27" s="2" t="inlineStr">
        <is>
          <t>Garnlav
Gränsticka
Knärot
Rynkskinn
Stjärntagging
Talltita
Ullticka
Vedticka
Spillkråka</t>
        </is>
      </c>
      <c r="V27">
        <f>HYPERLINK("https://klasma.github.io/Logging_2284/artfynd/A 12336-2026 artfynd.xlsx", "A 12336-2026")</f>
        <v/>
      </c>
      <c r="W27">
        <f>HYPERLINK("https://klasma.github.io/Logging_2284/kartor/A 12336-2026 karta.png", "A 12336-2026")</f>
        <v/>
      </c>
      <c r="X27">
        <f>HYPERLINK("https://klasma.github.io/Logging_2284/knärot/A 12336-2026 karta knärot.png", "A 12336-2026")</f>
        <v/>
      </c>
      <c r="Y27">
        <f>HYPERLINK("https://klasma.github.io/Logging_2284/klagomål/A 12336-2026 FSC-klagomål.docx", "A 12336-2026")</f>
        <v/>
      </c>
      <c r="Z27">
        <f>HYPERLINK("https://klasma.github.io/Logging_2284/klagomålsmail/A 12336-2026 FSC-klagomål mail.docx", "A 12336-2026")</f>
        <v/>
      </c>
      <c r="AA27">
        <f>HYPERLINK("https://klasma.github.io/Logging_2284/tillsyn/A 12336-2026 tillsynsbegäran.docx", "A 12336-2026")</f>
        <v/>
      </c>
      <c r="AB27">
        <f>HYPERLINK("https://klasma.github.io/Logging_2284/tillsynsmail/A 12336-2026 tillsynsbegäran mail.docx", "A 12336-2026")</f>
        <v/>
      </c>
      <c r="AC27">
        <f>HYPERLINK("https://klasma.github.io/Logging_2284/fåglar/A 12336-2026 prioriterade fågelarter.docx", "A 12336-2026")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46218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s="2" t="inlineStr">
        <is>
          <t>Blå taggsvamp
Dropptaggsvamp
Kolflarnlav
Lunglav
Reliktbock
Tretåig hackspett
Korallblylav
Trådticka</t>
        </is>
      </c>
      <c r="V28">
        <f>HYPERLINK("https://klasma.github.io/Logging_2284/artfynd/S 1669-2026 artfynd.xlsx", "S 1669-2026")</f>
        <v/>
      </c>
      <c r="W28">
        <f>HYPERLINK("https://klasma.github.io/Logging_2284/kartor/S 1669-2026 karta.png", "S 1669-2026")</f>
        <v/>
      </c>
      <c r="Y28">
        <f>HYPERLINK("https://klasma.github.io/Logging_2284/klagomål/S 1669-2026 FSC-klagomål.docx", "S 1669-2026")</f>
        <v/>
      </c>
      <c r="Z28">
        <f>HYPERLINK("https://klasma.github.io/Logging_2284/klagomålsmail/S 1669-2026 FSC-klagomål mail.docx", "S 1669-2026")</f>
        <v/>
      </c>
      <c r="AA28">
        <f>HYPERLINK("https://klasma.github.io/Logging_2284/tillsyn/S 1669-2026 tillsynsbegäran.docx", "S 1669-2026")</f>
        <v/>
      </c>
      <c r="AB28">
        <f>HYPERLINK("https://klasma.github.io/Logging_2284/tillsynsmail/S 1669-2026 tillsynsbegäran mail.docx", "S 1669-2026")</f>
        <v/>
      </c>
      <c r="AC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46218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s="2" t="inlineStr">
        <is>
          <t>Garnlav
Kolflarnlav
Motaggsvamp
Mörk kolflarnlav
Tretåig hackspett
Vedskivlav
Norrlandslav</t>
        </is>
      </c>
      <c r="V29">
        <f>HYPERLINK("https://klasma.github.io/Logging_2284/artfynd/A 41191-2022 artfynd.xlsx", "A 41191-2022")</f>
        <v/>
      </c>
      <c r="W29">
        <f>HYPERLINK("https://klasma.github.io/Logging_2284/kartor/A 41191-2022 karta.png", "A 41191-2022")</f>
        <v/>
      </c>
      <c r="Y29">
        <f>HYPERLINK("https://klasma.github.io/Logging_2284/klagomål/A 41191-2022 FSC-klagomål.docx", "A 41191-2022")</f>
        <v/>
      </c>
      <c r="Z29">
        <f>HYPERLINK("https://klasma.github.io/Logging_2284/klagomålsmail/A 41191-2022 FSC-klagomål mail.docx", "A 41191-2022")</f>
        <v/>
      </c>
      <c r="AA29">
        <f>HYPERLINK("https://klasma.github.io/Logging_2284/tillsyn/A 41191-2022 tillsynsbegäran.docx", "A 41191-2022")</f>
        <v/>
      </c>
      <c r="AB29">
        <f>HYPERLINK("https://klasma.github.io/Logging_2284/tillsynsmail/A 41191-2022 tillsynsbegäran mail.docx", "A 41191-2022")</f>
        <v/>
      </c>
      <c r="AC29">
        <f>HYPERLINK("https://klasma.github.io/Logging_2284/fåglar/A 41191-2022 prioriterade fågelarter.docx", "A 41191-2022")</f>
        <v/>
      </c>
    </row>
    <row r="30" ht="15" customHeight="1">
      <c r="A30" t="inlineStr">
        <is>
          <t>A 57858-2022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44898</v>
      </c>
      <c r="E30" s="1" t="n">
        <v>46218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4.8</v>
      </c>
      <c r="J30" t="n">
        <v>4</v>
      </c>
      <c r="K30" t="n">
        <v>1</v>
      </c>
      <c r="L30" t="n">
        <v>4</v>
      </c>
      <c r="M30" t="n">
        <v>2</v>
      </c>
      <c r="N30" t="n">
        <v>0</v>
      </c>
      <c r="O30" t="n">
        <v>0</v>
      </c>
      <c r="P30" t="n">
        <v>0</v>
      </c>
      <c r="Q30" t="n">
        <v>6</v>
      </c>
      <c r="R30" t="n">
        <v>2</v>
      </c>
      <c r="S30" t="n">
        <v>7</v>
      </c>
      <c r="T30" t="n">
        <v>8</v>
      </c>
      <c r="U30" s="2" t="inlineStr">
        <is>
          <t>Garnlav
Knärot
Kolflarnlav
Lavskrika
Lunglav
Tretåig hackspett
Plattlummer</t>
        </is>
      </c>
      <c r="V30">
        <f>HYPERLINK("https://klasma.github.io/Logging_2284/artfynd/A 57858-2022 artfynd.xlsx", "A 57858-2022")</f>
        <v/>
      </c>
      <c r="W30">
        <f>HYPERLINK("https://klasma.github.io/Logging_2284/kartor/A 57858-2022 karta.png", "A 57858-2022")</f>
        <v/>
      </c>
      <c r="X30">
        <f>HYPERLINK("https://klasma.github.io/Logging_2284/knärot/A 57858-2022 karta knärot.png", "A 57858-2022")</f>
        <v/>
      </c>
      <c r="Y30">
        <f>HYPERLINK("https://klasma.github.io/Logging_2284/klagomål/A 57858-2022 FSC-klagomål.docx", "A 57858-2022")</f>
        <v/>
      </c>
      <c r="Z30">
        <f>HYPERLINK("https://klasma.github.io/Logging_2284/klagomålsmail/A 57858-2022 FSC-klagomål mail.docx", "A 57858-2022")</f>
        <v/>
      </c>
      <c r="AA30">
        <f>HYPERLINK("https://klasma.github.io/Logging_2284/tillsyn/A 57858-2022 tillsynsbegäran.docx", "A 57858-2022")</f>
        <v/>
      </c>
      <c r="AB30">
        <f>HYPERLINK("https://klasma.github.io/Logging_2284/tillsynsmail/A 57858-2022 tillsynsbegäran mail.docx", "A 57858-2022")</f>
        <v/>
      </c>
      <c r="AC30">
        <f>HYPERLINK("https://klasma.github.io/Logging_2284/fåglar/A 57858-2022 prioriterade fågelarter.docx", "A 57858-2022")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46218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s="2" t="inlineStr">
        <is>
          <t>Gammelgransskål
Lavskrika
Lunglav
Rynkskinn
Ullticka
Bårdlav
Stuplav</t>
        </is>
      </c>
      <c r="V31">
        <f>HYPERLINK("https://klasma.github.io/Logging_2284/artfynd/A 44376-2024 artfynd.xlsx", "A 44376-2024")</f>
        <v/>
      </c>
      <c r="W31">
        <f>HYPERLINK("https://klasma.github.io/Logging_2284/kartor/A 44376-2024 karta.png", "A 44376-2024")</f>
        <v/>
      </c>
      <c r="Y31">
        <f>HYPERLINK("https://klasma.github.io/Logging_2284/klagomål/A 44376-2024 FSC-klagomål.docx", "A 44376-2024")</f>
        <v/>
      </c>
      <c r="Z31">
        <f>HYPERLINK("https://klasma.github.io/Logging_2284/klagomålsmail/A 44376-2024 FSC-klagomål mail.docx", "A 44376-2024")</f>
        <v/>
      </c>
      <c r="AA31">
        <f>HYPERLINK("https://klasma.github.io/Logging_2284/tillsyn/A 44376-2024 tillsynsbegäran.docx", "A 44376-2024")</f>
        <v/>
      </c>
      <c r="AB31">
        <f>HYPERLINK("https://klasma.github.io/Logging_2284/tillsynsmail/A 44376-2024 tillsynsbegäran mail.docx", "A 44376-2024")</f>
        <v/>
      </c>
      <c r="AC31">
        <f>HYPERLINK("https://klasma.github.io/Logging_2284/fåglar/A 44376-2024 prioriterade fågelarter.docx", "A 44376-2024")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46218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s="2" t="inlineStr">
        <is>
          <t>Garnlav
Kolflarnlav
Lunglav
Mörk kolflarnlav
Bårdlav
Stuplav
Spillkråka</t>
        </is>
      </c>
      <c r="V32">
        <f>HYPERLINK("https://klasma.github.io/Logging_2284/artfynd/A 25009-2025 artfynd.xlsx", "A 25009-2025")</f>
        <v/>
      </c>
      <c r="W32">
        <f>HYPERLINK("https://klasma.github.io/Logging_2284/kartor/A 25009-2025 karta.png", "A 25009-2025")</f>
        <v/>
      </c>
      <c r="Y32">
        <f>HYPERLINK("https://klasma.github.io/Logging_2284/klagomål/A 25009-2025 FSC-klagomål.docx", "A 25009-2025")</f>
        <v/>
      </c>
      <c r="Z32">
        <f>HYPERLINK("https://klasma.github.io/Logging_2284/klagomålsmail/A 25009-2025 FSC-klagomål mail.docx", "A 25009-2025")</f>
        <v/>
      </c>
      <c r="AA32">
        <f>HYPERLINK("https://klasma.github.io/Logging_2284/tillsyn/A 25009-2025 tillsynsbegäran.docx", "A 25009-2025")</f>
        <v/>
      </c>
      <c r="AB32">
        <f>HYPERLINK("https://klasma.github.io/Logging_2284/tillsynsmail/A 25009-2025 tillsynsbegäran mail.docx", "A 25009-2025")</f>
        <v/>
      </c>
      <c r="AC32">
        <f>HYPERLINK("https://klasma.github.io/Logging_2284/fåglar/A 25009-2025 prioriterade fågelarter.docx", "A 25009-2025")</f>
        <v/>
      </c>
    </row>
    <row r="33" ht="15" customHeight="1">
      <c r="A33" t="inlineStr">
        <is>
          <t>A 2011-2023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44939</v>
      </c>
      <c r="E33" s="1" t="n">
        <v>46218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7.4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s="2" t="inlineStr">
        <is>
          <t>Garnlav
Kolflarnlav
Lunglav
Tallticka
Vedflamlav
Spindelblomster
Stuplav</t>
        </is>
      </c>
      <c r="V33">
        <f>HYPERLINK("https://klasma.github.io/Logging_2284/artfynd/A 2011-2023 artfynd.xlsx", "A 2011-2023")</f>
        <v/>
      </c>
      <c r="W33">
        <f>HYPERLINK("https://klasma.github.io/Logging_2284/kartor/A 2011-2023 karta.png", "A 2011-2023")</f>
        <v/>
      </c>
      <c r="Y33">
        <f>HYPERLINK("https://klasma.github.io/Logging_2284/klagomål/A 2011-2023 FSC-klagomål.docx", "A 2011-2023")</f>
        <v/>
      </c>
      <c r="Z33">
        <f>HYPERLINK("https://klasma.github.io/Logging_2284/klagomålsmail/A 2011-2023 FSC-klagomål mail.docx", "A 2011-2023")</f>
        <v/>
      </c>
      <c r="AA33">
        <f>HYPERLINK("https://klasma.github.io/Logging_2284/tillsyn/A 2011-2023 tillsynsbegäran.docx", "A 2011-2023")</f>
        <v/>
      </c>
      <c r="AB33">
        <f>HYPERLINK("https://klasma.github.io/Logging_2284/tillsynsmail/A 2011-2023 tillsynsbegäran mail.docx", "A 2011-2023")</f>
        <v/>
      </c>
    </row>
    <row r="34" ht="15" customHeight="1">
      <c r="A34" t="inlineStr">
        <is>
          <t>A 27533-2024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45474</v>
      </c>
      <c r="E34" s="1" t="n">
        <v>46218</v>
      </c>
      <c r="F34" t="inlineStr">
        <is>
          <t>VÄSTERNORRLANDS LÄN</t>
        </is>
      </c>
      <c r="G34" t="inlineStr">
        <is>
          <t>ÖRNSKÖLDSVIK</t>
        </is>
      </c>
      <c r="I34" t="n">
        <v>8.699999999999999</v>
      </c>
      <c r="J34" t="n">
        <v>3</v>
      </c>
      <c r="K34" t="n">
        <v>2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7</v>
      </c>
      <c r="T34" t="n">
        <v>23</v>
      </c>
      <c r="U34" s="2" t="inlineStr">
        <is>
          <t>Knärot
Lunglav
Rynkskinn
Ullticka
Spindelblomster
Spädstarr
Fläcknycklar</t>
        </is>
      </c>
      <c r="V34">
        <f>HYPERLINK("https://klasma.github.io/Logging_2284/artfynd/A 27533-2024 artfynd.xlsx", "A 27533-2024")</f>
        <v/>
      </c>
      <c r="W34">
        <f>HYPERLINK("https://klasma.github.io/Logging_2284/kartor/A 27533-2024 karta.png", "A 27533-2024")</f>
        <v/>
      </c>
      <c r="X34">
        <f>HYPERLINK("https://klasma.github.io/Logging_2284/knärot/A 27533-2024 karta knärot.png", "A 27533-2024")</f>
        <v/>
      </c>
      <c r="Y34">
        <f>HYPERLINK("https://klasma.github.io/Logging_2284/klagomål/A 27533-2024 FSC-klagomål.docx", "A 27533-2024")</f>
        <v/>
      </c>
      <c r="Z34">
        <f>HYPERLINK("https://klasma.github.io/Logging_2284/klagomålsmail/A 27533-2024 FSC-klagomål mail.docx", "A 27533-2024")</f>
        <v/>
      </c>
      <c r="AA34">
        <f>HYPERLINK("https://klasma.github.io/Logging_2284/tillsyn/A 27533-2024 tillsynsbegäran.docx", "A 27533-2024")</f>
        <v/>
      </c>
      <c r="AB34">
        <f>HYPERLINK("https://klasma.github.io/Logging_2284/tillsynsmail/A 27533-2024 tillsynsbegäran mail.docx", "A 27533-2024")</f>
        <v/>
      </c>
    </row>
    <row r="35" ht="15" customHeight="1">
      <c r="A35" t="inlineStr">
        <is>
          <t>A 35994-2025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45863</v>
      </c>
      <c r="E35" s="1" t="n">
        <v>46218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3.3</v>
      </c>
      <c r="J35" t="n">
        <v>0</v>
      </c>
      <c r="K35" t="n">
        <v>3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7</v>
      </c>
      <c r="T35" t="n">
        <v>7</v>
      </c>
      <c r="U35" s="2" t="inlineStr">
        <is>
          <t>Garnlav
Gammelgransskål
Ullticka
Violettgrå tagellav
Barkkornlav
Mörk husmossa
Stuplav</t>
        </is>
      </c>
      <c r="V35">
        <f>HYPERLINK("https://klasma.github.io/Logging_2284/artfynd/A 35994-2025 artfynd.xlsx", "A 35994-2025")</f>
        <v/>
      </c>
      <c r="W35">
        <f>HYPERLINK("https://klasma.github.io/Logging_2284/kartor/A 35994-2025 karta.png", "A 35994-2025")</f>
        <v/>
      </c>
      <c r="Y35">
        <f>HYPERLINK("https://klasma.github.io/Logging_2284/klagomål/A 35994-2025 FSC-klagomål.docx", "A 35994-2025")</f>
        <v/>
      </c>
      <c r="Z35">
        <f>HYPERLINK("https://klasma.github.io/Logging_2284/klagomålsmail/A 35994-2025 FSC-klagomål mail.docx", "A 35994-2025")</f>
        <v/>
      </c>
      <c r="AA35">
        <f>HYPERLINK("https://klasma.github.io/Logging_2284/tillsyn/A 35994-2025 tillsynsbegäran.docx", "A 35994-2025")</f>
        <v/>
      </c>
      <c r="AB35">
        <f>HYPERLINK("https://klasma.github.io/Logging_2284/tillsynsmail/A 35994-2025 tillsynsbegäran mail.docx", "A 35994-2025")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46218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s="2" t="inlineStr">
        <is>
          <t>Garnlav
Kolflarnlav
Lunglav
Tallticka
Vedflamlav
Spindelblomster
Stuplav</t>
        </is>
      </c>
      <c r="V36">
        <f>HYPERLINK("https://klasma.github.io/Logging_2284/artfynd/S 2156-2022 artfynd.xlsx", "S 2156-2022")</f>
        <v/>
      </c>
      <c r="W36">
        <f>HYPERLINK("https://klasma.github.io/Logging_2284/kartor/S 2156-2022 karta.png", "S 2156-2022")</f>
        <v/>
      </c>
      <c r="Y36">
        <f>HYPERLINK("https://klasma.github.io/Logging_2284/klagomål/S 2156-2022 FSC-klagomål.docx", "S 2156-2022")</f>
        <v/>
      </c>
      <c r="Z36">
        <f>HYPERLINK("https://klasma.github.io/Logging_2284/klagomålsmail/S 2156-2022 FSC-klagomål mail.docx", "S 2156-2022")</f>
        <v/>
      </c>
      <c r="AA36">
        <f>HYPERLINK("https://klasma.github.io/Logging_2284/tillsyn/S 2156-2022 tillsynsbegäran.docx", "S 2156-2022")</f>
        <v/>
      </c>
      <c r="AB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46218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s="2" t="inlineStr">
        <is>
          <t>Gammelgransskål
Lavskrika
Lunglav
Rynkskinn
Talltita
Ullticka
Stuplav</t>
        </is>
      </c>
      <c r="V37">
        <f>HYPERLINK("https://klasma.github.io/Logging_2284/artfynd/S 1164-2026 artfynd.xlsx", "S 1164-2026")</f>
        <v/>
      </c>
      <c r="W37">
        <f>HYPERLINK("https://klasma.github.io/Logging_2284/kartor/S 1164-2026 karta.png", "S 1164-2026")</f>
        <v/>
      </c>
      <c r="Y37">
        <f>HYPERLINK("https://klasma.github.io/Logging_2284/klagomål/S 1164-2026 FSC-klagomål.docx", "S 1164-2026")</f>
        <v/>
      </c>
      <c r="Z37">
        <f>HYPERLINK("https://klasma.github.io/Logging_2284/klagomålsmail/S 1164-2026 FSC-klagomål mail.docx", "S 1164-2026")</f>
        <v/>
      </c>
      <c r="AA37">
        <f>HYPERLINK("https://klasma.github.io/Logging_2284/tillsyn/S 1164-2026 tillsynsbegäran.docx", "S 1164-2026")</f>
        <v/>
      </c>
      <c r="AB37">
        <f>HYPERLINK("https://klasma.github.io/Logging_2284/tillsynsmail/S 1164-2026 tillsynsbegäran mail.docx", "S 1164-2026")</f>
        <v/>
      </c>
      <c r="AC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46218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s="2" t="inlineStr">
        <is>
          <t>Garnlav
Blå taggsvamp
Dropptaggsvamp
Kolflarnlav
Skarp dropptaggsvamp
Skinnlav</t>
        </is>
      </c>
      <c r="V38">
        <f>HYPERLINK("https://klasma.github.io/Logging_2284/artfynd/A 36923-2022 artfynd.xlsx", "A 36923-2022")</f>
        <v/>
      </c>
      <c r="W38">
        <f>HYPERLINK("https://klasma.github.io/Logging_2284/kartor/A 36923-2022 karta.png", "A 36923-2022")</f>
        <v/>
      </c>
      <c r="Y38">
        <f>HYPERLINK("https://klasma.github.io/Logging_2284/klagomål/A 36923-2022 FSC-klagomål.docx", "A 36923-2022")</f>
        <v/>
      </c>
      <c r="Z38">
        <f>HYPERLINK("https://klasma.github.io/Logging_2284/klagomålsmail/A 36923-2022 FSC-klagomål mail.docx", "A 36923-2022")</f>
        <v/>
      </c>
      <c r="AA38">
        <f>HYPERLINK("https://klasma.github.io/Logging_2284/tillsyn/A 36923-2022 tillsynsbegäran.docx", "A 36923-2022")</f>
        <v/>
      </c>
      <c r="AB38">
        <f>HYPERLINK("https://klasma.github.io/Logging_2284/tillsynsmail/A 36923-2022 tillsynsbegäran mail.docx", "A 36923-2022")</f>
        <v/>
      </c>
    </row>
    <row r="39" ht="15" customHeight="1">
      <c r="A39" t="inlineStr">
        <is>
          <t>A 69250-2021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44531</v>
      </c>
      <c r="E39" s="1" t="n">
        <v>46218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1</v>
      </c>
      <c r="K39" t="n">
        <v>2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11</v>
      </c>
      <c r="U39" s="2" t="inlineStr">
        <is>
          <t>Garnlav
Gammelgransskål
Kolflarnlav
Tretåig hackspett
Skinnlav
Vedticka</t>
        </is>
      </c>
      <c r="V39">
        <f>HYPERLINK("https://klasma.github.io/Logging_2284/artfynd/A 69250-2021 artfynd.xlsx", "A 69250-2021")</f>
        <v/>
      </c>
      <c r="W39">
        <f>HYPERLINK("https://klasma.github.io/Logging_2284/kartor/A 69250-2021 karta.png", "A 69250-2021")</f>
        <v/>
      </c>
      <c r="Y39">
        <f>HYPERLINK("https://klasma.github.io/Logging_2284/klagomål/A 69250-2021 FSC-klagomål.docx", "A 69250-2021")</f>
        <v/>
      </c>
      <c r="Z39">
        <f>HYPERLINK("https://klasma.github.io/Logging_2284/klagomålsmail/A 69250-2021 FSC-klagomål mail.docx", "A 69250-2021")</f>
        <v/>
      </c>
      <c r="AA39">
        <f>HYPERLINK("https://klasma.github.io/Logging_2284/tillsyn/A 69250-2021 tillsynsbegäran.docx", "A 69250-2021")</f>
        <v/>
      </c>
      <c r="AB39">
        <f>HYPERLINK("https://klasma.github.io/Logging_2284/tillsynsmail/A 69250-2021 tillsynsbegäran mail.docx", "A 69250-2021")</f>
        <v/>
      </c>
      <c r="AC39">
        <f>HYPERLINK("https://klasma.github.io/Logging_2284/fåglar/A 69250-2021 prioriterade fågelarter.docx", "A 69250-2021")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46218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s="2" t="inlineStr">
        <is>
          <t>Garnlav
Lunglav
Rosenticka
Rynkskinn
Talltita
Ullticka</t>
        </is>
      </c>
      <c r="V40">
        <f>HYPERLINK("https://klasma.github.io/Logging_2284/artfynd/A 46423-2024 artfynd.xlsx", "A 46423-2024")</f>
        <v/>
      </c>
      <c r="W40">
        <f>HYPERLINK("https://klasma.github.io/Logging_2284/kartor/A 46423-2024 karta.png", "A 46423-2024")</f>
        <v/>
      </c>
      <c r="Y40">
        <f>HYPERLINK("https://klasma.github.io/Logging_2284/klagomål/A 46423-2024 FSC-klagomål.docx", "A 46423-2024")</f>
        <v/>
      </c>
      <c r="Z40">
        <f>HYPERLINK("https://klasma.github.io/Logging_2284/klagomålsmail/A 46423-2024 FSC-klagomål mail.docx", "A 46423-2024")</f>
        <v/>
      </c>
      <c r="AA40">
        <f>HYPERLINK("https://klasma.github.io/Logging_2284/tillsyn/A 46423-2024 tillsynsbegäran.docx", "A 46423-2024")</f>
        <v/>
      </c>
      <c r="AB40">
        <f>HYPERLINK("https://klasma.github.io/Logging_2284/tillsynsmail/A 46423-2024 tillsynsbegäran mail.docx", "A 46423-2024")</f>
        <v/>
      </c>
      <c r="AC40">
        <f>HYPERLINK("https://klasma.github.io/Logging_2284/fåglar/A 46423-2024 prioriterade fågelarter.docx", "A 46423-2024")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46218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s="2" t="inlineStr">
        <is>
          <t>Knärot
Lunglav
Ullticka
Bårdlav
Skinnlav
Stuplav</t>
        </is>
      </c>
      <c r="V41">
        <f>HYPERLINK("https://klasma.github.io/Logging_2284/artfynd/A 50264-2024 artfynd.xlsx", "A 50264-2024")</f>
        <v/>
      </c>
      <c r="W41">
        <f>HYPERLINK("https://klasma.github.io/Logging_2284/kartor/A 50264-2024 karta.png", "A 50264-2024")</f>
        <v/>
      </c>
      <c r="X41">
        <f>HYPERLINK("https://klasma.github.io/Logging_2284/knärot/A 50264-2024 karta knärot.png", "A 50264-2024")</f>
        <v/>
      </c>
      <c r="Y41">
        <f>HYPERLINK("https://klasma.github.io/Logging_2284/klagomål/A 50264-2024 FSC-klagomål.docx", "A 50264-2024")</f>
        <v/>
      </c>
      <c r="Z41">
        <f>HYPERLINK("https://klasma.github.io/Logging_2284/klagomålsmail/A 50264-2024 FSC-klagomål mail.docx", "A 50264-2024")</f>
        <v/>
      </c>
      <c r="AA41">
        <f>HYPERLINK("https://klasma.github.io/Logging_2284/tillsyn/A 50264-2024 tillsynsbegäran.docx", "A 50264-2024")</f>
        <v/>
      </c>
      <c r="AB41">
        <f>HYPERLINK("https://klasma.github.io/Logging_2284/tillsynsmail/A 50264-2024 tillsynsbegäran mail.docx", "A 50264-2024")</f>
        <v/>
      </c>
    </row>
    <row r="42" ht="15" customHeight="1">
      <c r="A42" t="inlineStr">
        <is>
          <t>A 26810-2025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45810</v>
      </c>
      <c r="E42" s="1" t="n">
        <v>46218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4.7</v>
      </c>
      <c r="J42" t="n">
        <v>2</v>
      </c>
      <c r="K42" t="n">
        <v>3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6</v>
      </c>
      <c r="T42" t="n">
        <v>7</v>
      </c>
      <c r="U42" s="2" t="inlineStr">
        <is>
          <t>Garnlav
Lunglav
Bårdlav
Plattlummer
Stuplav
Spillkråka</t>
        </is>
      </c>
      <c r="V42">
        <f>HYPERLINK("https://klasma.github.io/Logging_2284/artfynd/A 26810-2025 artfynd.xlsx", "A 26810-2025")</f>
        <v/>
      </c>
      <c r="W42">
        <f>HYPERLINK("https://klasma.github.io/Logging_2284/kartor/A 26810-2025 karta.png", "A 26810-2025")</f>
        <v/>
      </c>
      <c r="Y42">
        <f>HYPERLINK("https://klasma.github.io/Logging_2284/klagomål/A 26810-2025 FSC-klagomål.docx", "A 26810-2025")</f>
        <v/>
      </c>
      <c r="Z42">
        <f>HYPERLINK("https://klasma.github.io/Logging_2284/klagomålsmail/A 26810-2025 FSC-klagomål mail.docx", "A 26810-2025")</f>
        <v/>
      </c>
      <c r="AA42">
        <f>HYPERLINK("https://klasma.github.io/Logging_2284/tillsyn/A 26810-2025 tillsynsbegäran.docx", "A 26810-2025")</f>
        <v/>
      </c>
      <c r="AB42">
        <f>HYPERLINK("https://klasma.github.io/Logging_2284/tillsynsmail/A 26810-2025 tillsynsbegäran mail.docx", "A 26810-2025")</f>
        <v/>
      </c>
      <c r="AC42">
        <f>HYPERLINK("https://klasma.github.io/Logging_2284/fåglar/A 26810-2025 prioriterade fågelarter.docx", "A 26810-2025")</f>
        <v/>
      </c>
    </row>
    <row r="43" ht="15" customHeight="1">
      <c r="A43" t="inlineStr">
        <is>
          <t>A 63343-2025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46010</v>
      </c>
      <c r="E43" s="1" t="n">
        <v>46218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4.5</v>
      </c>
      <c r="J43" t="n">
        <v>1</v>
      </c>
      <c r="K43" t="n">
        <v>1</v>
      </c>
      <c r="L43" t="n">
        <v>2</v>
      </c>
      <c r="M43" t="n">
        <v>3</v>
      </c>
      <c r="N43" t="n">
        <v>0</v>
      </c>
      <c r="O43" t="n">
        <v>0</v>
      </c>
      <c r="P43" t="n">
        <v>0</v>
      </c>
      <c r="Q43" t="n">
        <v>5</v>
      </c>
      <c r="R43" t="n">
        <v>3</v>
      </c>
      <c r="S43" t="n">
        <v>6</v>
      </c>
      <c r="T43" t="n">
        <v>8</v>
      </c>
      <c r="U43" s="2" t="inlineStr">
        <is>
          <t>Garnlav
Gränsticka
Knärot
Lunglav
Ullticka
Stuplav</t>
        </is>
      </c>
      <c r="V43">
        <f>HYPERLINK("https://klasma.github.io/Logging_2284/artfynd/A 63343-2025 artfynd.xlsx", "A 63343-2025")</f>
        <v/>
      </c>
      <c r="W43">
        <f>HYPERLINK("https://klasma.github.io/Logging_2284/kartor/A 63343-2025 karta.png", "A 63343-2025")</f>
        <v/>
      </c>
      <c r="X43">
        <f>HYPERLINK("https://klasma.github.io/Logging_2284/knärot/A 63343-2025 karta knärot.png", "A 63343-2025")</f>
        <v/>
      </c>
      <c r="Y43">
        <f>HYPERLINK("https://klasma.github.io/Logging_2284/klagomål/A 63343-2025 FSC-klagomål.docx", "A 63343-2025")</f>
        <v/>
      </c>
      <c r="Z43">
        <f>HYPERLINK("https://klasma.github.io/Logging_2284/klagomålsmail/A 63343-2025 FSC-klagomål mail.docx", "A 63343-2025")</f>
        <v/>
      </c>
      <c r="AA43">
        <f>HYPERLINK("https://klasma.github.io/Logging_2284/tillsyn/A 63343-2025 tillsynsbegäran.docx", "A 63343-2025")</f>
        <v/>
      </c>
      <c r="AB43">
        <f>HYPERLINK("https://klasma.github.io/Logging_2284/tillsynsmail/A 63343-2025 tillsynsbegäran mail.docx", "A 63343-2025")</f>
        <v/>
      </c>
    </row>
    <row r="44" ht="15" customHeight="1">
      <c r="A44" t="inlineStr">
        <is>
          <t>A 61109-2022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44908</v>
      </c>
      <c r="E44" s="1" t="n">
        <v>46218</v>
      </c>
      <c r="F44" t="inlineStr">
        <is>
          <t>VÄSTERNORRLANDS LÄN</t>
        </is>
      </c>
      <c r="G44" t="inlineStr">
        <is>
          <t>ÖRNSKÖLDSVIK</t>
        </is>
      </c>
      <c r="I44" t="n">
        <v>3.6</v>
      </c>
      <c r="J44" t="n">
        <v>5</v>
      </c>
      <c r="K44" t="n">
        <v>0</v>
      </c>
      <c r="L44" t="n">
        <v>2</v>
      </c>
      <c r="M44" t="n">
        <v>2</v>
      </c>
      <c r="N44" t="n">
        <v>1</v>
      </c>
      <c r="O44" t="n">
        <v>0</v>
      </c>
      <c r="P44" t="n">
        <v>0</v>
      </c>
      <c r="Q44" t="n">
        <v>5</v>
      </c>
      <c r="R44" t="n">
        <v>3</v>
      </c>
      <c r="S44" t="n">
        <v>6</v>
      </c>
      <c r="T44" t="n">
        <v>11</v>
      </c>
      <c r="U44" s="2" t="inlineStr">
        <is>
          <t>Storspov
Brunfläckig pärlemorfjäril
Knärot
Gulsparv
Sädesärla
Grönsiska</t>
        </is>
      </c>
      <c r="V44">
        <f>HYPERLINK("https://klasma.github.io/Logging_2284/artfynd/A 61109-2022 artfynd.xlsx", "A 61109-2022")</f>
        <v/>
      </c>
      <c r="W44">
        <f>HYPERLINK("https://klasma.github.io/Logging_2284/kartor/A 61109-2022 karta.png", "A 61109-2022")</f>
        <v/>
      </c>
      <c r="X44">
        <f>HYPERLINK("https://klasma.github.io/Logging_2284/knärot/A 61109-2022 karta knärot.png", "A 61109-2022")</f>
        <v/>
      </c>
      <c r="Y44">
        <f>HYPERLINK("https://klasma.github.io/Logging_2284/klagomål/A 61109-2022 FSC-klagomål.docx", "A 61109-2022")</f>
        <v/>
      </c>
      <c r="Z44">
        <f>HYPERLINK("https://klasma.github.io/Logging_2284/klagomålsmail/A 61109-2022 FSC-klagomål mail.docx", "A 61109-2022")</f>
        <v/>
      </c>
      <c r="AA44">
        <f>HYPERLINK("https://klasma.github.io/Logging_2284/tillsyn/A 61109-2022 tillsynsbegäran.docx", "A 61109-2022")</f>
        <v/>
      </c>
      <c r="AB44">
        <f>HYPERLINK("https://klasma.github.io/Logging_2284/tillsynsmail/A 61109-2022 tillsynsbegäran mail.docx", "A 61109-2022")</f>
        <v/>
      </c>
      <c r="AC44">
        <f>HYPERLINK("https://klasma.github.io/Logging_2284/fåglar/A 61109-2022 prioriterade fågelarter.docx", "A 61109-2022")</f>
        <v/>
      </c>
    </row>
    <row r="45" ht="15" customHeight="1">
      <c r="A45" t="inlineStr">
        <is>
          <t>A 16226-2026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46111</v>
      </c>
      <c r="E45" s="1" t="n">
        <v>46218</v>
      </c>
      <c r="F45" t="inlineStr">
        <is>
          <t>VÄSTERNORRLANDS LÄN</t>
        </is>
      </c>
      <c r="G45" t="inlineStr">
        <is>
          <t>ÖRNSKÖLDSVIK</t>
        </is>
      </c>
      <c r="I45" t="n">
        <v>8.300000000000001</v>
      </c>
      <c r="J45" t="n">
        <v>3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6</v>
      </c>
      <c r="T45" t="n">
        <v>14</v>
      </c>
      <c r="U45" s="2" t="inlineStr">
        <is>
          <t>Garnlav
Lunglav
Talltita
Ullticka
Tjäder
Revlummer</t>
        </is>
      </c>
      <c r="V45">
        <f>HYPERLINK("https://klasma.github.io/Logging_2284/artfynd/A 16226-2026 artfynd.xlsx", "A 16226-2026")</f>
        <v/>
      </c>
      <c r="W45">
        <f>HYPERLINK("https://klasma.github.io/Logging_2284/kartor/A 16226-2026 karta.png", "A 16226-2026")</f>
        <v/>
      </c>
      <c r="Y45">
        <f>HYPERLINK("https://klasma.github.io/Logging_2284/klagomål/A 16226-2026 FSC-klagomål.docx", "A 16226-2026")</f>
        <v/>
      </c>
      <c r="Z45">
        <f>HYPERLINK("https://klasma.github.io/Logging_2284/klagomålsmail/A 16226-2026 FSC-klagomål mail.docx", "A 16226-2026")</f>
        <v/>
      </c>
      <c r="AA45">
        <f>HYPERLINK("https://klasma.github.io/Logging_2284/tillsyn/A 16226-2026 tillsynsbegäran.docx", "A 16226-2026")</f>
        <v/>
      </c>
      <c r="AB45">
        <f>HYPERLINK("https://klasma.github.io/Logging_2284/tillsynsmail/A 16226-2026 tillsynsbegäran mail.docx", "A 16226-2026")</f>
        <v/>
      </c>
      <c r="AC45">
        <f>HYPERLINK("https://klasma.github.io/Logging_2284/fåglar/A 16226-2026 prioriterade fågelarter.docx", "A 16226-2026")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46218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s="2" t="inlineStr">
        <is>
          <t>Skrovlig taggsvamp
Lunglav
Mörk kolflarnlav
Nordtagging
Ullticka
Vedskivlav</t>
        </is>
      </c>
      <c r="V46">
        <f>HYPERLINK("https://klasma.github.io/Logging_2284/artfynd/S 1158-2025 artfynd.xlsx", "S 1158-2025")</f>
        <v/>
      </c>
      <c r="W46">
        <f>HYPERLINK("https://klasma.github.io/Logging_2284/kartor/S 1158-2025 karta.png", "S 1158-2025")</f>
        <v/>
      </c>
      <c r="Y46">
        <f>HYPERLINK("https://klasma.github.io/Logging_2284/klagomål/S 1158-2025 FSC-klagomål.docx", "S 1158-2025")</f>
        <v/>
      </c>
      <c r="Z46">
        <f>HYPERLINK("https://klasma.github.io/Logging_2284/klagomålsmail/S 1158-2025 FSC-klagomål mail.docx", "S 1158-2025")</f>
        <v/>
      </c>
      <c r="AA46">
        <f>HYPERLINK("https://klasma.github.io/Logging_2284/tillsyn/S 1158-2025 tillsynsbegäran.docx", "S 1158-2025")</f>
        <v/>
      </c>
      <c r="AB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46218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s="2" t="inlineStr">
        <is>
          <t>Dropptaggsvamp
Kolflarnlav
Lunglav
Bårdlav
Källmossor
Skinnlav</t>
        </is>
      </c>
      <c r="V47">
        <f>HYPERLINK("https://klasma.github.io/Logging_2284/artfynd/S 958-2026 artfynd.xlsx", "S 958-2026")</f>
        <v/>
      </c>
      <c r="W47">
        <f>HYPERLINK("https://klasma.github.io/Logging_2284/kartor/S 958-2026 karta.png", "S 958-2026")</f>
        <v/>
      </c>
      <c r="Y47">
        <f>HYPERLINK("https://klasma.github.io/Logging_2284/klagomål/S 958-2026 FSC-klagomål.docx", "S 958-2026")</f>
        <v/>
      </c>
      <c r="Z47">
        <f>HYPERLINK("https://klasma.github.io/Logging_2284/klagomålsmail/S 958-2026 FSC-klagomål mail.docx", "S 958-2026")</f>
        <v/>
      </c>
      <c r="AA47">
        <f>HYPERLINK("https://klasma.github.io/Logging_2284/tillsyn/S 958-2026 tillsynsbegäran.docx", "S 958-2026")</f>
        <v/>
      </c>
      <c r="AB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46218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s="2" t="inlineStr">
        <is>
          <t>Garnlav
Kolflarnlav
Lunglav
Bårdlav
Stor aspticka
Stuplav</t>
        </is>
      </c>
      <c r="V48">
        <f>HYPERLINK("https://klasma.github.io/Logging_2284/artfynd/S 1040-2026 artfynd.xlsx", "S 1040-2026")</f>
        <v/>
      </c>
      <c r="W48">
        <f>HYPERLINK("https://klasma.github.io/Logging_2284/kartor/S 1040-2026 karta.png", "S 1040-2026")</f>
        <v/>
      </c>
      <c r="Y48">
        <f>HYPERLINK("https://klasma.github.io/Logging_2284/klagomål/S 1040-2026 FSC-klagomål.docx", "S 1040-2026")</f>
        <v/>
      </c>
      <c r="Z48">
        <f>HYPERLINK("https://klasma.github.io/Logging_2284/klagomålsmail/S 1040-2026 FSC-klagomål mail.docx", "S 1040-2026")</f>
        <v/>
      </c>
      <c r="AA48">
        <f>HYPERLINK("https://klasma.github.io/Logging_2284/tillsyn/S 1040-2026 tillsynsbegäran.docx", "S 1040-2026")</f>
        <v/>
      </c>
      <c r="AB48">
        <f>HYPERLINK("https://klasma.github.io/Logging_2284/tillsynsmail/S 1040-2026 tillsynsbegäran mail.docx", "S 1040-2026")</f>
        <v/>
      </c>
    </row>
    <row r="49" ht="15" customHeight="1">
      <c r="A49" t="inlineStr">
        <is>
          <t>A 41267-2021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44424</v>
      </c>
      <c r="E49" s="1" t="n">
        <v>46218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1.5</v>
      </c>
      <c r="J49" t="n">
        <v>1</v>
      </c>
      <c r="K49" t="n">
        <v>1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5</v>
      </c>
      <c r="T49" t="n">
        <v>10</v>
      </c>
      <c r="U49" s="2" t="inlineStr">
        <is>
          <t>Garnlav
Gammelgransskål
Tretåig hackspett
Ullticka
Vedticka</t>
        </is>
      </c>
      <c r="V49">
        <f>HYPERLINK("https://klasma.github.io/Logging_2284/artfynd/A 41267-2021 artfynd.xlsx", "A 41267-2021")</f>
        <v/>
      </c>
      <c r="W49">
        <f>HYPERLINK("https://klasma.github.io/Logging_2284/kartor/A 41267-2021 karta.png", "A 41267-2021")</f>
        <v/>
      </c>
      <c r="Y49">
        <f>HYPERLINK("https://klasma.github.io/Logging_2284/klagomål/A 41267-2021 FSC-klagomål.docx", "A 41267-2021")</f>
        <v/>
      </c>
      <c r="Z49">
        <f>HYPERLINK("https://klasma.github.io/Logging_2284/klagomålsmail/A 41267-2021 FSC-klagomål mail.docx", "A 41267-2021")</f>
        <v/>
      </c>
      <c r="AA49">
        <f>HYPERLINK("https://klasma.github.io/Logging_2284/tillsyn/A 41267-2021 tillsynsbegäran.docx", "A 41267-2021")</f>
        <v/>
      </c>
      <c r="AB49">
        <f>HYPERLINK("https://klasma.github.io/Logging_2284/tillsynsmail/A 41267-2021 tillsynsbegäran mail.docx", "A 41267-2021")</f>
        <v/>
      </c>
      <c r="AC49">
        <f>HYPERLINK("https://klasma.github.io/Logging_2284/fåglar/A 41267-2021 prioriterade fågelarter.docx", "A 41267-2021")</f>
        <v/>
      </c>
    </row>
    <row r="50" ht="15" customHeight="1">
      <c r="A50" t="inlineStr">
        <is>
          <t>A 58162-2021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44487</v>
      </c>
      <c r="E50" s="1" t="n">
        <v>46218</v>
      </c>
      <c r="F50" t="inlineStr">
        <is>
          <t>VÄSTERNORRLANDS LÄN</t>
        </is>
      </c>
      <c r="G50" t="inlineStr">
        <is>
          <t>ÖRNSKÖLDSVIK</t>
        </is>
      </c>
      <c r="I50" t="n">
        <v>4.9</v>
      </c>
      <c r="J50" t="n">
        <v>4</v>
      </c>
      <c r="K50" t="n">
        <v>3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5</v>
      </c>
      <c r="T50" t="n">
        <v>6</v>
      </c>
      <c r="U50" s="2" t="inlineStr">
        <is>
          <t>Knottblomster
Gräsull
Korallrot
Spindelblomster
Fläcknycklar</t>
        </is>
      </c>
      <c r="V50">
        <f>HYPERLINK("https://klasma.github.io/Logging_2284/artfynd/A 58162-2021 artfynd.xlsx", "A 58162-2021")</f>
        <v/>
      </c>
      <c r="W50">
        <f>HYPERLINK("https://klasma.github.io/Logging_2284/kartor/A 58162-2021 karta.png", "A 58162-2021")</f>
        <v/>
      </c>
      <c r="Y50">
        <f>HYPERLINK("https://klasma.github.io/Logging_2284/klagomål/A 58162-2021 FSC-klagomål.docx", "A 58162-2021")</f>
        <v/>
      </c>
      <c r="Z50">
        <f>HYPERLINK("https://klasma.github.io/Logging_2284/klagomålsmail/A 58162-2021 FSC-klagomål mail.docx", "A 58162-2021")</f>
        <v/>
      </c>
      <c r="AA50">
        <f>HYPERLINK("https://klasma.github.io/Logging_2284/tillsyn/A 58162-2021 tillsynsbegäran.docx", "A 58162-2021")</f>
        <v/>
      </c>
      <c r="AB50">
        <f>HYPERLINK("https://klasma.github.io/Logging_2284/tillsynsmail/A 58162-2021 tillsynsbegäran mail.docx", "A 58162-2021")</f>
        <v/>
      </c>
    </row>
    <row r="51" ht="15" customHeight="1">
      <c r="A51" t="inlineStr">
        <is>
          <t>A 3544-2024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45320</v>
      </c>
      <c r="E51" s="1" t="n">
        <v>46218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7.3</v>
      </c>
      <c r="J51" t="n">
        <v>0</v>
      </c>
      <c r="K51" t="n">
        <v>1</v>
      </c>
      <c r="L51" t="n">
        <v>2</v>
      </c>
      <c r="M51" t="n">
        <v>2</v>
      </c>
      <c r="N51" t="n">
        <v>0</v>
      </c>
      <c r="O51" t="n">
        <v>0</v>
      </c>
      <c r="P51" t="n">
        <v>0</v>
      </c>
      <c r="Q51" t="n">
        <v>4</v>
      </c>
      <c r="R51" t="n">
        <v>2</v>
      </c>
      <c r="S51" t="n">
        <v>5</v>
      </c>
      <c r="T51" t="n">
        <v>5</v>
      </c>
      <c r="U51" s="2" t="inlineStr">
        <is>
          <t>Garnlav
Gräddporing
Doftskinn
Reliktbock
Grovticka</t>
        </is>
      </c>
      <c r="V51">
        <f>HYPERLINK("https://klasma.github.io/Logging_2284/artfynd/A 3544-2024 artfynd.xlsx", "A 3544-2024")</f>
        <v/>
      </c>
      <c r="W51">
        <f>HYPERLINK("https://klasma.github.io/Logging_2284/kartor/A 3544-2024 karta.png", "A 3544-2024")</f>
        <v/>
      </c>
      <c r="Y51">
        <f>HYPERLINK("https://klasma.github.io/Logging_2284/klagomål/A 3544-2024 FSC-klagomål.docx", "A 3544-2024")</f>
        <v/>
      </c>
      <c r="Z51">
        <f>HYPERLINK("https://klasma.github.io/Logging_2284/klagomålsmail/A 3544-2024 FSC-klagomål mail.docx", "A 3544-2024")</f>
        <v/>
      </c>
      <c r="AA51">
        <f>HYPERLINK("https://klasma.github.io/Logging_2284/tillsyn/A 3544-2024 tillsynsbegäran.docx", "A 3544-2024")</f>
        <v/>
      </c>
      <c r="AB51">
        <f>HYPERLINK("https://klasma.github.io/Logging_2284/tillsynsmail/A 3544-2024 tillsynsbegäran mail.docx", "A 3544-2024")</f>
        <v/>
      </c>
    </row>
    <row r="52" ht="15" customHeight="1">
      <c r="A52" t="inlineStr">
        <is>
          <t>A 62584-2023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45270</v>
      </c>
      <c r="E52" s="1" t="n">
        <v>46218</v>
      </c>
      <c r="F52" t="inlineStr">
        <is>
          <t>VÄSTERNORRLANDS LÄN</t>
        </is>
      </c>
      <c r="G52" t="inlineStr">
        <is>
          <t>ÖRNSKÖLDSVIK</t>
        </is>
      </c>
      <c r="I52" t="n">
        <v>9.9</v>
      </c>
      <c r="J52" t="n">
        <v>4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8</v>
      </c>
      <c r="U52" s="2" t="inlineStr">
        <is>
          <t>Knärot
Ullticka
Tjäder
Fläcknycklar
Revlummer</t>
        </is>
      </c>
      <c r="V52">
        <f>HYPERLINK("https://klasma.github.io/Logging_2284/artfynd/A 62584-2023 artfynd.xlsx", "A 62584-2023")</f>
        <v/>
      </c>
      <c r="W52">
        <f>HYPERLINK("https://klasma.github.io/Logging_2284/kartor/A 62584-2023 karta.png", "A 62584-2023")</f>
        <v/>
      </c>
      <c r="X52">
        <f>HYPERLINK("https://klasma.github.io/Logging_2284/knärot/A 62584-2023 karta knärot.png", "A 62584-2023")</f>
        <v/>
      </c>
      <c r="Y52">
        <f>HYPERLINK("https://klasma.github.io/Logging_2284/klagomål/A 62584-2023 FSC-klagomål.docx", "A 62584-2023")</f>
        <v/>
      </c>
      <c r="Z52">
        <f>HYPERLINK("https://klasma.github.io/Logging_2284/klagomålsmail/A 62584-2023 FSC-klagomål mail.docx", "A 62584-2023")</f>
        <v/>
      </c>
      <c r="AA52">
        <f>HYPERLINK("https://klasma.github.io/Logging_2284/tillsyn/A 62584-2023 tillsynsbegäran.docx", "A 62584-2023")</f>
        <v/>
      </c>
      <c r="AB52">
        <f>HYPERLINK("https://klasma.github.io/Logging_2284/tillsynsmail/A 62584-2023 tillsynsbegäran mail.docx", "A 62584-2023")</f>
        <v/>
      </c>
      <c r="AC52">
        <f>HYPERLINK("https://klasma.github.io/Logging_2284/fåglar/A 62584-2023 prioriterade fågelarter.docx", "A 62584-2023")</f>
        <v/>
      </c>
    </row>
    <row r="53" ht="15" customHeight="1">
      <c r="A53" t="inlineStr">
        <is>
          <t>A 54155-2023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46218</v>
      </c>
      <c r="F53" t="inlineStr">
        <is>
          <t>VÄSTERNORRLANDS LÄN</t>
        </is>
      </c>
      <c r="G53" t="inlineStr">
        <is>
          <t>ÖRNSKÖLDSVIK</t>
        </is>
      </c>
      <c r="I53" t="n">
        <v>2.5</v>
      </c>
      <c r="J53" t="n">
        <v>0</v>
      </c>
      <c r="K53" t="n">
        <v>2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5</v>
      </c>
      <c r="T53" t="n">
        <v>9</v>
      </c>
      <c r="U53" s="2" t="inlineStr">
        <is>
          <t>Liten hornflikmossa
Timmerskapania
Vedtrappmossa
Skogshakmossa
Stor aspticka</t>
        </is>
      </c>
      <c r="V53">
        <f>HYPERLINK("https://klasma.github.io/Logging_2284/artfynd/A 54155-2023 artfynd.xlsx", "A 54155-2023")</f>
        <v/>
      </c>
      <c r="W53">
        <f>HYPERLINK("https://klasma.github.io/Logging_2284/kartor/A 54155-2023 karta.png", "A 54155-2023")</f>
        <v/>
      </c>
      <c r="Y53">
        <f>HYPERLINK("https://klasma.github.io/Logging_2284/klagomål/A 54155-2023 FSC-klagomål.docx", "A 54155-2023")</f>
        <v/>
      </c>
      <c r="Z53">
        <f>HYPERLINK("https://klasma.github.io/Logging_2284/klagomålsmail/A 54155-2023 FSC-klagomål mail.docx", "A 54155-2023")</f>
        <v/>
      </c>
      <c r="AA53">
        <f>HYPERLINK("https://klasma.github.io/Logging_2284/tillsyn/A 54155-2023 tillsynsbegäran.docx", "A 54155-2023")</f>
        <v/>
      </c>
      <c r="AB53">
        <f>HYPERLINK("https://klasma.github.io/Logging_2284/tillsynsmail/A 54155-2023 tillsynsbegäran mail.docx", "A 54155-2023")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46218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s="2" t="inlineStr">
        <is>
          <t>Hornslamslända
Björktrast
Spillkråka
Grönsiska
Kungsfågel</t>
        </is>
      </c>
      <c r="V54">
        <f>HYPERLINK("https://klasma.github.io/Logging_2284/artfynd/A 56775-2024 artfynd.xlsx", "A 56775-2024")</f>
        <v/>
      </c>
      <c r="W54">
        <f>HYPERLINK("https://klasma.github.io/Logging_2284/kartor/A 56775-2024 karta.png", "A 56775-2024")</f>
        <v/>
      </c>
      <c r="Y54">
        <f>HYPERLINK("https://klasma.github.io/Logging_2284/klagomål/A 56775-2024 FSC-klagomål.docx", "A 56775-2024")</f>
        <v/>
      </c>
      <c r="Z54">
        <f>HYPERLINK("https://klasma.github.io/Logging_2284/klagomålsmail/A 56775-2024 FSC-klagomål mail.docx", "A 56775-2024")</f>
        <v/>
      </c>
      <c r="AA54">
        <f>HYPERLINK("https://klasma.github.io/Logging_2284/tillsyn/A 56775-2024 tillsynsbegäran.docx", "A 56775-2024")</f>
        <v/>
      </c>
      <c r="AB54">
        <f>HYPERLINK("https://klasma.github.io/Logging_2284/tillsynsmail/A 56775-2024 tillsynsbegäran mail.docx", "A 56775-2024")</f>
        <v/>
      </c>
      <c r="AC54">
        <f>HYPERLINK("https://klasma.github.io/Logging_2284/fåglar/A 56775-2024 prioriterade fågelarter.docx", "A 56775-2024")</f>
        <v/>
      </c>
    </row>
    <row r="55" ht="15" customHeight="1">
      <c r="A55" t="inlineStr">
        <is>
          <t>A 14959-2023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45015</v>
      </c>
      <c r="E55" s="1" t="n">
        <v>46218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8.4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9</v>
      </c>
      <c r="U55" s="2" t="inlineStr">
        <is>
          <t>Aspgelélav
Lunglav
Korallblylav
Skinnlav
Stuplav</t>
        </is>
      </c>
      <c r="V55">
        <f>HYPERLINK("https://klasma.github.io/Logging_2284/artfynd/A 14959-2023 artfynd.xlsx", "A 14959-2023")</f>
        <v/>
      </c>
      <c r="W55">
        <f>HYPERLINK("https://klasma.github.io/Logging_2284/kartor/A 14959-2023 karta.png", "A 14959-2023")</f>
        <v/>
      </c>
      <c r="Y55">
        <f>HYPERLINK("https://klasma.github.io/Logging_2284/klagomål/A 14959-2023 FSC-klagomål.docx", "A 14959-2023")</f>
        <v/>
      </c>
      <c r="Z55">
        <f>HYPERLINK("https://klasma.github.io/Logging_2284/klagomålsmail/A 14959-2023 FSC-klagomål mail.docx", "A 14959-2023")</f>
        <v/>
      </c>
      <c r="AA55">
        <f>HYPERLINK("https://klasma.github.io/Logging_2284/tillsyn/A 14959-2023 tillsynsbegäran.docx", "A 14959-2023")</f>
        <v/>
      </c>
      <c r="AB55">
        <f>HYPERLINK("https://klasma.github.io/Logging_2284/tillsynsmail/A 14959-2023 tillsynsbegäran mail.docx", "A 14959-2023")</f>
        <v/>
      </c>
    </row>
    <row r="56" ht="15" customHeight="1">
      <c r="A56" t="inlineStr">
        <is>
          <t>A 17925-2023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45040</v>
      </c>
      <c r="E56" s="1" t="n">
        <v>46218</v>
      </c>
      <c r="F56" t="inlineStr">
        <is>
          <t>VÄSTERNORRLANDS LÄN</t>
        </is>
      </c>
      <c r="G56" t="inlineStr">
        <is>
          <t>ÖRNSKÖLDSVIK</t>
        </is>
      </c>
      <c r="I56" t="n">
        <v>14.5</v>
      </c>
      <c r="J56" t="n">
        <v>1</v>
      </c>
      <c r="K56" t="n">
        <v>0</v>
      </c>
      <c r="L56" t="n">
        <v>4</v>
      </c>
      <c r="M56" t="n">
        <v>1</v>
      </c>
      <c r="N56" t="n">
        <v>0</v>
      </c>
      <c r="O56" t="n">
        <v>0</v>
      </c>
      <c r="P56" t="n">
        <v>0</v>
      </c>
      <c r="Q56" t="n">
        <v>5</v>
      </c>
      <c r="R56" t="n">
        <v>1</v>
      </c>
      <c r="S56" t="n">
        <v>5</v>
      </c>
      <c r="T56" t="n">
        <v>9</v>
      </c>
      <c r="U56" s="2" t="inlineStr">
        <is>
          <t>Knärot
Lunglav
Rosenticka
Rynkskinn
Ullticka</t>
        </is>
      </c>
      <c r="V56">
        <f>HYPERLINK("https://klasma.github.io/Logging_2284/artfynd/A 17925-2023 artfynd.xlsx", "A 17925-2023")</f>
        <v/>
      </c>
      <c r="W56">
        <f>HYPERLINK("https://klasma.github.io/Logging_2284/kartor/A 17925-2023 karta.png", "A 17925-2023")</f>
        <v/>
      </c>
      <c r="X56">
        <f>HYPERLINK("https://klasma.github.io/Logging_2284/knärot/A 17925-2023 karta knärot.png", "A 17925-2023")</f>
        <v/>
      </c>
      <c r="Y56">
        <f>HYPERLINK("https://klasma.github.io/Logging_2284/klagomål/A 17925-2023 FSC-klagomål.docx", "A 17925-2023")</f>
        <v/>
      </c>
      <c r="Z56">
        <f>HYPERLINK("https://klasma.github.io/Logging_2284/klagomålsmail/A 17925-2023 FSC-klagomål mail.docx", "A 17925-2023")</f>
        <v/>
      </c>
      <c r="AA56">
        <f>HYPERLINK("https://klasma.github.io/Logging_2284/tillsyn/A 17925-2023 tillsynsbegäran.docx", "A 17925-2023")</f>
        <v/>
      </c>
      <c r="AB56">
        <f>HYPERLINK("https://klasma.github.io/Logging_2284/tillsynsmail/A 17925-2023 tillsynsbegäran mail.docx", "A 17925-2023")</f>
        <v/>
      </c>
    </row>
    <row r="57" ht="15" customHeight="1">
      <c r="A57" t="inlineStr">
        <is>
          <t>A 7587-2024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45348</v>
      </c>
      <c r="E57" s="1" t="n">
        <v>46218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10.6</v>
      </c>
      <c r="J57" t="n">
        <v>0</v>
      </c>
      <c r="K57" t="n">
        <v>0</v>
      </c>
      <c r="L57" t="n">
        <v>4</v>
      </c>
      <c r="M57" t="n">
        <v>1</v>
      </c>
      <c r="N57" t="n">
        <v>0</v>
      </c>
      <c r="O57" t="n">
        <v>0</v>
      </c>
      <c r="P57" t="n">
        <v>0</v>
      </c>
      <c r="Q57" t="n">
        <v>5</v>
      </c>
      <c r="R57" t="n">
        <v>1</v>
      </c>
      <c r="S57" t="n">
        <v>5</v>
      </c>
      <c r="T57" t="n">
        <v>25</v>
      </c>
      <c r="U57" s="2" t="inlineStr">
        <is>
          <t>Skrovlig taggsvamp
Dvärgbägarlav
Kolflarnlav
Orange taggsvamp
Vaddporing</t>
        </is>
      </c>
      <c r="V57">
        <f>HYPERLINK("https://klasma.github.io/Logging_2284/artfynd/A 7587-2024 artfynd.xlsx", "A 7587-2024")</f>
        <v/>
      </c>
      <c r="W57">
        <f>HYPERLINK("https://klasma.github.io/Logging_2284/kartor/A 7587-2024 karta.png", "A 7587-2024")</f>
        <v/>
      </c>
      <c r="Y57">
        <f>HYPERLINK("https://klasma.github.io/Logging_2284/klagomål/A 7587-2024 FSC-klagomål.docx", "A 7587-2024")</f>
        <v/>
      </c>
      <c r="Z57">
        <f>HYPERLINK("https://klasma.github.io/Logging_2284/klagomålsmail/A 7587-2024 FSC-klagomål mail.docx", "A 7587-2024")</f>
        <v/>
      </c>
      <c r="AA57">
        <f>HYPERLINK("https://klasma.github.io/Logging_2284/tillsyn/A 7587-2024 tillsynsbegäran.docx", "A 7587-2024")</f>
        <v/>
      </c>
      <c r="AB57">
        <f>HYPERLINK("https://klasma.github.io/Logging_2284/tillsynsmail/A 7587-2024 tillsynsbegäran mail.docx", "A 7587-2024")</f>
        <v/>
      </c>
    </row>
    <row r="58" ht="15" customHeight="1">
      <c r="A58" t="inlineStr">
        <is>
          <t>A 23987-2026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46167</v>
      </c>
      <c r="E58" s="1" t="n">
        <v>46218</v>
      </c>
      <c r="F58" t="inlineStr">
        <is>
          <t>VÄSTERNORRLANDS LÄN</t>
        </is>
      </c>
      <c r="G58" t="inlineStr">
        <is>
          <t>ÖRNSKÖLDSVIK</t>
        </is>
      </c>
      <c r="I58" t="n">
        <v>6.5</v>
      </c>
      <c r="J58" t="n">
        <v>3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5</v>
      </c>
      <c r="T58" t="n">
        <v>12</v>
      </c>
      <c r="U58" s="2" t="inlineStr">
        <is>
          <t>Guckusko
Spädstarr
Tibast
Blåsippa
Fläcknycklar</t>
        </is>
      </c>
      <c r="V58">
        <f>HYPERLINK("https://klasma.github.io/Logging_2284/artfynd/A 23987-2026 artfynd.xlsx", "A 23987-2026")</f>
        <v/>
      </c>
      <c r="W58">
        <f>HYPERLINK("https://klasma.github.io/Logging_2284/kartor/A 23987-2026 karta.png", "A 23987-2026")</f>
        <v/>
      </c>
      <c r="Y58">
        <f>HYPERLINK("https://klasma.github.io/Logging_2284/klagomål/A 23987-2026 FSC-klagomål.docx", "A 23987-2026")</f>
        <v/>
      </c>
      <c r="Z58">
        <f>HYPERLINK("https://klasma.github.io/Logging_2284/klagomålsmail/A 23987-2026 FSC-klagomål mail.docx", "A 23987-2026")</f>
        <v/>
      </c>
      <c r="AA58">
        <f>HYPERLINK("https://klasma.github.io/Logging_2284/tillsyn/A 23987-2026 tillsynsbegäran.docx", "A 23987-2026")</f>
        <v/>
      </c>
      <c r="AB58">
        <f>HYPERLINK("https://klasma.github.io/Logging_2284/tillsynsmail/A 23987-2026 tillsynsbegäran mail.docx", "A 23987-2026")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46218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s="2" t="inlineStr">
        <is>
          <t>Garnlav
Lunglav
Stor aspticka
Stuplav
Vedticka</t>
        </is>
      </c>
      <c r="V59">
        <f>HYPERLINK("https://klasma.github.io/Logging_2284/artfynd/S 6952-2022 artfynd.xlsx", "S 6952-2022")</f>
        <v/>
      </c>
      <c r="W59">
        <f>HYPERLINK("https://klasma.github.io/Logging_2284/kartor/S 6952-2022 karta.png", "S 6952-2022")</f>
        <v/>
      </c>
      <c r="Y59">
        <f>HYPERLINK("https://klasma.github.io/Logging_2284/klagomål/S 6952-2022 FSC-klagomål.docx", "S 6952-2022")</f>
        <v/>
      </c>
      <c r="Z59">
        <f>HYPERLINK("https://klasma.github.io/Logging_2284/klagomålsmail/S 6952-2022 FSC-klagomål mail.docx", "S 6952-2022")</f>
        <v/>
      </c>
      <c r="AA59">
        <f>HYPERLINK("https://klasma.github.io/Logging_2284/tillsyn/S 6952-2022 tillsynsbegäran.docx", "S 6952-2022")</f>
        <v/>
      </c>
      <c r="AB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46218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s="2" t="inlineStr">
        <is>
          <t>Garnlav
Lunglav
Bårdlav
Stuplav
Järpe</t>
        </is>
      </c>
      <c r="V60">
        <f>HYPERLINK("https://klasma.github.io/Logging_2284/artfynd/S 3285-2025 artfynd.xlsx", "S 3285-2025")</f>
        <v/>
      </c>
      <c r="W60">
        <f>HYPERLINK("https://klasma.github.io/Logging_2284/kartor/S 3285-2025 karta.png", "S 3285-2025")</f>
        <v/>
      </c>
      <c r="Y60">
        <f>HYPERLINK("https://klasma.github.io/Logging_2284/klagomål/S 3285-2025 FSC-klagomål.docx", "S 3285-2025")</f>
        <v/>
      </c>
      <c r="Z60">
        <f>HYPERLINK("https://klasma.github.io/Logging_2284/klagomålsmail/S 3285-2025 FSC-klagomål mail.docx", "S 3285-2025")</f>
        <v/>
      </c>
      <c r="AA60">
        <f>HYPERLINK("https://klasma.github.io/Logging_2284/tillsyn/S 3285-2025 tillsynsbegäran.docx", "S 3285-2025")</f>
        <v/>
      </c>
      <c r="AB60">
        <f>HYPERLINK("https://klasma.github.io/Logging_2284/tillsynsmail/S 3285-2025 tillsynsbegäran mail.docx", "S 3285-2025")</f>
        <v/>
      </c>
      <c r="AC60">
        <f>HYPERLINK("https://klasma.github.io/Logging_2284/fåglar/S 3285-2025 prioriterade fågelarter.docx", "S 3285-2025")</f>
        <v/>
      </c>
    </row>
    <row r="61" ht="15" customHeight="1">
      <c r="A61" t="inlineStr">
        <is>
          <t>S 959-2026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46114</v>
      </c>
      <c r="E61" s="1" t="n">
        <v>46218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3.5</v>
      </c>
      <c r="J61" t="n">
        <v>3</v>
      </c>
      <c r="K61" t="n">
        <v>1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5</v>
      </c>
      <c r="T61" t="n">
        <v>5</v>
      </c>
      <c r="U61" s="2" t="inlineStr">
        <is>
          <t>Garnlav
Lavskrika
Tretåig hackspett
Trådticka
Buskskvätta</t>
        </is>
      </c>
      <c r="V61">
        <f>HYPERLINK("https://klasma.github.io/Logging_2284/artfynd/S 959-2026 artfynd.xlsx", "S 959-2026")</f>
        <v/>
      </c>
      <c r="W61">
        <f>HYPERLINK("https://klasma.github.io/Logging_2284/kartor/S 959-2026 karta.png", "S 959-2026")</f>
        <v/>
      </c>
      <c r="Y61">
        <f>HYPERLINK("https://klasma.github.io/Logging_2284/klagomål/S 959-2026 FSC-klagomål.docx", "S 959-2026")</f>
        <v/>
      </c>
      <c r="Z61">
        <f>HYPERLINK("https://klasma.github.io/Logging_2284/klagomålsmail/S 959-2026 FSC-klagomål mail.docx", "S 959-2026")</f>
        <v/>
      </c>
      <c r="AA61">
        <f>HYPERLINK("https://klasma.github.io/Logging_2284/tillsyn/S 959-2026 tillsynsbegäran.docx", "S 959-2026")</f>
        <v/>
      </c>
      <c r="AB61">
        <f>HYPERLINK("https://klasma.github.io/Logging_2284/tillsynsmail/S 959-2026 tillsynsbegäran mail.docx", "S 959-2026")</f>
        <v/>
      </c>
      <c r="AC61">
        <f>HYPERLINK("https://klasma.github.io/Logging_2284/fåglar/S 959-2026 prioriterade fågelarter.docx", "S 959-2026")</f>
        <v/>
      </c>
    </row>
    <row r="62" ht="15" customHeight="1">
      <c r="A62" t="inlineStr">
        <is>
          <t>S 961-2026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46113</v>
      </c>
      <c r="E62" s="1" t="n">
        <v>46218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5.6</v>
      </c>
      <c r="J62" t="n">
        <v>1</v>
      </c>
      <c r="K62" t="n">
        <v>0</v>
      </c>
      <c r="L62" t="n">
        <v>2</v>
      </c>
      <c r="M62" t="n">
        <v>3</v>
      </c>
      <c r="N62" t="n">
        <v>0</v>
      </c>
      <c r="O62" t="n">
        <v>0</v>
      </c>
      <c r="P62" t="n">
        <v>0</v>
      </c>
      <c r="Q62" t="n">
        <v>5</v>
      </c>
      <c r="R62" t="n">
        <v>3</v>
      </c>
      <c r="S62" t="n">
        <v>5</v>
      </c>
      <c r="T62" t="n">
        <v>8</v>
      </c>
      <c r="U62" s="2" t="inlineStr">
        <is>
          <t>Garnlav
Knärot
Lappticka
Doftskinn
Kolflarnlav</t>
        </is>
      </c>
      <c r="V62">
        <f>HYPERLINK("https://klasma.github.io/Logging_2284/artfynd/S 961-2026 artfynd.xlsx", "S 961-2026")</f>
        <v/>
      </c>
      <c r="W62">
        <f>HYPERLINK("https://klasma.github.io/Logging_2284/kartor/S 961-2026 karta.png", "S 961-2026")</f>
        <v/>
      </c>
      <c r="X62">
        <f>HYPERLINK("https://klasma.github.io/Logging_2284/knärot/S 961-2026 karta knärot.png", "S 961-2026")</f>
        <v/>
      </c>
      <c r="Y62">
        <f>HYPERLINK("https://klasma.github.io/Logging_2284/klagomål/S 961-2026 FSC-klagomål.docx", "S 961-2026")</f>
        <v/>
      </c>
      <c r="Z62">
        <f>HYPERLINK("https://klasma.github.io/Logging_2284/klagomålsmail/S 961-2026 FSC-klagomål mail.docx", "S 961-2026")</f>
        <v/>
      </c>
      <c r="AA62">
        <f>HYPERLINK("https://klasma.github.io/Logging_2284/tillsyn/S 961-2026 tillsynsbegäran.docx", "S 961-2026")</f>
        <v/>
      </c>
      <c r="AB62">
        <f>HYPERLINK("https://klasma.github.io/Logging_2284/tillsynsmail/S 961-2026 tillsynsbegäran mail.docx", "S 961-2026")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46218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s="2" t="inlineStr">
        <is>
          <t>Blå taggsvamp
Dropptaggsvamp
Kolflarnlav
Lunglav
Vedticka</t>
        </is>
      </c>
      <c r="V63">
        <f>HYPERLINK("https://klasma.github.io/Logging_2284/artfynd/S 1165-2026 artfynd.xlsx", "S 1165-2026")</f>
        <v/>
      </c>
      <c r="W63">
        <f>HYPERLINK("https://klasma.github.io/Logging_2284/kartor/S 1165-2026 karta.png", "S 1165-2026")</f>
        <v/>
      </c>
      <c r="Y63">
        <f>HYPERLINK("https://klasma.github.io/Logging_2284/klagomål/S 1165-2026 FSC-klagomål.docx", "S 1165-2026")</f>
        <v/>
      </c>
      <c r="Z63">
        <f>HYPERLINK("https://klasma.github.io/Logging_2284/klagomålsmail/S 1165-2026 FSC-klagomål mail.docx", "S 1165-2026")</f>
        <v/>
      </c>
      <c r="AA63">
        <f>HYPERLINK("https://klasma.github.io/Logging_2284/tillsyn/S 1165-2026 tillsynsbegäran.docx", "S 1165-2026")</f>
        <v/>
      </c>
      <c r="AB63">
        <f>HYPERLINK("https://klasma.github.io/Logging_2284/tillsynsmail/S 1165-2026 tillsynsbegäran mail.docx", "S 1165-2026")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46218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s="2" t="inlineStr">
        <is>
          <t>Garnlav
Rödvingetrast
Vanlig groda
Fläcknycklar</t>
        </is>
      </c>
      <c r="V64">
        <f>HYPERLINK("https://klasma.github.io/Logging_2284/artfynd/A 52575-2022 artfynd.xlsx", "A 52575-2022")</f>
        <v/>
      </c>
      <c r="W64">
        <f>HYPERLINK("https://klasma.github.io/Logging_2284/kartor/A 52575-2022 karta.png", "A 52575-2022")</f>
        <v/>
      </c>
      <c r="Y64">
        <f>HYPERLINK("https://klasma.github.io/Logging_2284/klagomål/A 52575-2022 FSC-klagomål.docx", "A 52575-2022")</f>
        <v/>
      </c>
      <c r="Z64">
        <f>HYPERLINK("https://klasma.github.io/Logging_2284/klagomålsmail/A 52575-2022 FSC-klagomål mail.docx", "A 52575-2022")</f>
        <v/>
      </c>
      <c r="AA64">
        <f>HYPERLINK("https://klasma.github.io/Logging_2284/tillsyn/A 52575-2022 tillsynsbegäran.docx", "A 52575-2022")</f>
        <v/>
      </c>
      <c r="AB64">
        <f>HYPERLINK("https://klasma.github.io/Logging_2284/tillsynsmail/A 52575-2022 tillsynsbegäran mail.docx", "A 52575-2022")</f>
        <v/>
      </c>
      <c r="AC64">
        <f>HYPERLINK("https://klasma.github.io/Logging_2284/fåglar/A 52575-2022 prioriterade fågelarter.docx", "A 52575-2022")</f>
        <v/>
      </c>
    </row>
    <row r="65" ht="15" customHeight="1">
      <c r="A65" t="inlineStr">
        <is>
          <t>A 12698-2024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45384</v>
      </c>
      <c r="E65" s="1" t="n">
        <v>46218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7.3</v>
      </c>
      <c r="J65" t="n">
        <v>0</v>
      </c>
      <c r="K65" t="n">
        <v>0</v>
      </c>
      <c r="L65" t="n">
        <v>3</v>
      </c>
      <c r="M65" t="n">
        <v>1</v>
      </c>
      <c r="N65" t="n">
        <v>0</v>
      </c>
      <c r="O65" t="n">
        <v>0</v>
      </c>
      <c r="P65" t="n">
        <v>0</v>
      </c>
      <c r="Q65" t="n">
        <v>4</v>
      </c>
      <c r="R65" t="n">
        <v>1</v>
      </c>
      <c r="S65" t="n">
        <v>4</v>
      </c>
      <c r="T65" t="n">
        <v>5</v>
      </c>
      <c r="U65" s="2" t="inlineStr">
        <is>
          <t>Garnlav
Kolflarnlav
Reliktbock
Tallticka</t>
        </is>
      </c>
      <c r="V65">
        <f>HYPERLINK("https://klasma.github.io/Logging_2284/artfynd/A 12698-2024 artfynd.xlsx", "A 12698-2024")</f>
        <v/>
      </c>
      <c r="W65">
        <f>HYPERLINK("https://klasma.github.io/Logging_2284/kartor/A 12698-2024 karta.png", "A 12698-2024")</f>
        <v/>
      </c>
      <c r="Y65">
        <f>HYPERLINK("https://klasma.github.io/Logging_2284/klagomål/A 12698-2024 FSC-klagomål.docx", "A 12698-2024")</f>
        <v/>
      </c>
      <c r="Z65">
        <f>HYPERLINK("https://klasma.github.io/Logging_2284/klagomålsmail/A 12698-2024 FSC-klagomål mail.docx", "A 12698-2024")</f>
        <v/>
      </c>
      <c r="AA65">
        <f>HYPERLINK("https://klasma.github.io/Logging_2284/tillsyn/A 12698-2024 tillsynsbegäran.docx", "A 12698-2024")</f>
        <v/>
      </c>
      <c r="AB65">
        <f>HYPERLINK("https://klasma.github.io/Logging_2284/tillsynsmail/A 12698-2024 tillsynsbegäran mail.docx", "A 12698-2024")</f>
        <v/>
      </c>
    </row>
    <row r="66" ht="15" customHeight="1">
      <c r="A66" t="inlineStr">
        <is>
          <t>A 6571-2025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45699</v>
      </c>
      <c r="E66" s="1" t="n">
        <v>46218</v>
      </c>
      <c r="F66" t="inlineStr">
        <is>
          <t>VÄSTERNORRLANDS LÄN</t>
        </is>
      </c>
      <c r="G66" t="inlineStr">
        <is>
          <t>ÖRNSKÖLDSVIK</t>
        </is>
      </c>
      <c r="I66" t="n">
        <v>1.8</v>
      </c>
      <c r="J66" t="n">
        <v>2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16</v>
      </c>
      <c r="U66" s="2" t="inlineStr">
        <is>
          <t>Knärot
Ullticka
Vedticka
Fläcknycklar</t>
        </is>
      </c>
      <c r="V66">
        <f>HYPERLINK("https://klasma.github.io/Logging_2284/artfynd/A 6571-2025 artfynd.xlsx", "A 6571-2025")</f>
        <v/>
      </c>
      <c r="W66">
        <f>HYPERLINK("https://klasma.github.io/Logging_2284/kartor/A 6571-2025 karta.png", "A 6571-2025")</f>
        <v/>
      </c>
      <c r="X66">
        <f>HYPERLINK("https://klasma.github.io/Logging_2284/knärot/A 6571-2025 karta knärot.png", "A 6571-2025")</f>
        <v/>
      </c>
      <c r="Y66">
        <f>HYPERLINK("https://klasma.github.io/Logging_2284/klagomål/A 6571-2025 FSC-klagomål.docx", "A 6571-2025")</f>
        <v/>
      </c>
      <c r="Z66">
        <f>HYPERLINK("https://klasma.github.io/Logging_2284/klagomålsmail/A 6571-2025 FSC-klagomål mail.docx", "A 6571-2025")</f>
        <v/>
      </c>
      <c r="AA66">
        <f>HYPERLINK("https://klasma.github.io/Logging_2284/tillsyn/A 6571-2025 tillsynsbegäran.docx", "A 6571-2025")</f>
        <v/>
      </c>
      <c r="AB66">
        <f>HYPERLINK("https://klasma.github.io/Logging_2284/tillsynsmail/A 6571-2025 tillsynsbegäran mail.docx", "A 6571-2025")</f>
        <v/>
      </c>
    </row>
    <row r="67" ht="15" customHeight="1">
      <c r="A67" t="inlineStr">
        <is>
          <t>A 56492-2022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46218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8.300000000000001</v>
      </c>
      <c r="J67" t="n">
        <v>1</v>
      </c>
      <c r="K67" t="n">
        <v>2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4</v>
      </c>
      <c r="U67" s="2" t="inlineStr">
        <is>
          <t>Knärot
Lunglav
Bårdlav
Skinnlav</t>
        </is>
      </c>
      <c r="V67">
        <f>HYPERLINK("https://klasma.github.io/Logging_2284/artfynd/A 56492-2022 artfynd.xlsx", "A 56492-2022")</f>
        <v/>
      </c>
      <c r="W67">
        <f>HYPERLINK("https://klasma.github.io/Logging_2284/kartor/A 56492-2022 karta.png", "A 56492-2022")</f>
        <v/>
      </c>
      <c r="X67">
        <f>HYPERLINK("https://klasma.github.io/Logging_2284/knärot/A 56492-2022 karta knärot.png", "A 56492-2022")</f>
        <v/>
      </c>
      <c r="Y67">
        <f>HYPERLINK("https://klasma.github.io/Logging_2284/klagomål/A 56492-2022 FSC-klagomål.docx", "A 56492-2022")</f>
        <v/>
      </c>
      <c r="Z67">
        <f>HYPERLINK("https://klasma.github.io/Logging_2284/klagomålsmail/A 56492-2022 FSC-klagomål mail.docx", "A 56492-2022")</f>
        <v/>
      </c>
      <c r="AA67">
        <f>HYPERLINK("https://klasma.github.io/Logging_2284/tillsyn/A 56492-2022 tillsynsbegäran.docx", "A 56492-2022")</f>
        <v/>
      </c>
      <c r="AB67">
        <f>HYPERLINK("https://klasma.github.io/Logging_2284/tillsynsmail/A 56492-2022 tillsynsbegäran mail.docx", "A 56492-2022")</f>
        <v/>
      </c>
    </row>
    <row r="68" ht="15" customHeight="1">
      <c r="A68" t="inlineStr">
        <is>
          <t>A 26251-2026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46218</v>
      </c>
      <c r="F68" t="inlineStr">
        <is>
          <t>VÄSTERNORRLANDS LÄN</t>
        </is>
      </c>
      <c r="G68" t="inlineStr">
        <is>
          <t>ÖRNSKÖLDSVIK</t>
        </is>
      </c>
      <c r="I68" t="n">
        <v>1</v>
      </c>
      <c r="J68" t="n">
        <v>4</v>
      </c>
      <c r="K68" t="n">
        <v>0</v>
      </c>
      <c r="L68" t="n">
        <v>2</v>
      </c>
      <c r="M68" t="n">
        <v>0</v>
      </c>
      <c r="N68" t="n">
        <v>1</v>
      </c>
      <c r="O68" t="n">
        <v>0</v>
      </c>
      <c r="P68" t="n">
        <v>0</v>
      </c>
      <c r="Q68" t="n">
        <v>3</v>
      </c>
      <c r="R68" t="n">
        <v>1</v>
      </c>
      <c r="S68" t="n">
        <v>4</v>
      </c>
      <c r="T68" t="n">
        <v>4</v>
      </c>
      <c r="U68" s="2" t="inlineStr">
        <is>
          <t>Storspov
Björktrast
Rödvingetrast
Svartvit flugsnappare</t>
        </is>
      </c>
      <c r="V68">
        <f>HYPERLINK("https://klasma.github.io/Logging_2284/artfynd/A 26251-2026 artfynd.xlsx", "A 26251-2026")</f>
        <v/>
      </c>
      <c r="W68">
        <f>HYPERLINK("https://klasma.github.io/Logging_2284/kartor/A 26251-2026 karta.png", "A 26251-2026")</f>
        <v/>
      </c>
      <c r="Y68">
        <f>HYPERLINK("https://klasma.github.io/Logging_2284/klagomål/A 26251-2026 FSC-klagomål.docx", "A 26251-2026")</f>
        <v/>
      </c>
      <c r="Z68">
        <f>HYPERLINK("https://klasma.github.io/Logging_2284/klagomålsmail/A 26251-2026 FSC-klagomål mail.docx", "A 26251-2026")</f>
        <v/>
      </c>
      <c r="AA68">
        <f>HYPERLINK("https://klasma.github.io/Logging_2284/tillsyn/A 26251-2026 tillsynsbegäran.docx", "A 26251-2026")</f>
        <v/>
      </c>
      <c r="AB68">
        <f>HYPERLINK("https://klasma.github.io/Logging_2284/tillsynsmail/A 26251-2026 tillsynsbegäran mail.docx", "A 26251-2026")</f>
        <v/>
      </c>
      <c r="AC68">
        <f>HYPERLINK("https://klasma.github.io/Logging_2284/fåglar/A 26251-2026 prioriterade fågelarter.docx", "A 26251-2026")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46218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s="2" t="inlineStr">
        <is>
          <t>Lunglav
Rosenticka
Rynkskinn
Ullticka</t>
        </is>
      </c>
      <c r="V69">
        <f>HYPERLINK("https://klasma.github.io/Logging_2284/artfynd/S 1153-2025 artfynd.xlsx", "S 1153-2025")</f>
        <v/>
      </c>
      <c r="W69">
        <f>HYPERLINK("https://klasma.github.io/Logging_2284/kartor/S 1153-2025 karta.png", "S 1153-2025")</f>
        <v/>
      </c>
      <c r="Y69">
        <f>HYPERLINK("https://klasma.github.io/Logging_2284/klagomål/S 1153-2025 FSC-klagomål.docx", "S 1153-2025")</f>
        <v/>
      </c>
      <c r="Z69">
        <f>HYPERLINK("https://klasma.github.io/Logging_2284/klagomålsmail/S 1153-2025 FSC-klagomål mail.docx", "S 1153-2025")</f>
        <v/>
      </c>
      <c r="AA69">
        <f>HYPERLINK("https://klasma.github.io/Logging_2284/tillsyn/S 1153-2025 tillsynsbegäran.docx", "S 1153-2025")</f>
        <v/>
      </c>
      <c r="AB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46218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s="2" t="inlineStr">
        <is>
          <t>Gammelgransskål
Bollvitmossa
Norrlandslav
Vanlig padda</t>
        </is>
      </c>
      <c r="V70">
        <f>HYPERLINK("https://klasma.github.io/Logging_2284/artfynd/S 1383-2025 artfynd.xlsx", "S 1383-2025")</f>
        <v/>
      </c>
      <c r="W70">
        <f>HYPERLINK("https://klasma.github.io/Logging_2284/kartor/S 1383-2025 karta.png", "S 1383-2025")</f>
        <v/>
      </c>
      <c r="Y70">
        <f>HYPERLINK("https://klasma.github.io/Logging_2284/klagomål/S 1383-2025 FSC-klagomål.docx", "S 1383-2025")</f>
        <v/>
      </c>
      <c r="Z70">
        <f>HYPERLINK("https://klasma.github.io/Logging_2284/klagomålsmail/S 1383-2025 FSC-klagomål mail.docx", "S 1383-2025")</f>
        <v/>
      </c>
      <c r="AA70">
        <f>HYPERLINK("https://klasma.github.io/Logging_2284/tillsyn/S 1383-2025 tillsynsbegäran.docx", "S 1383-2025")</f>
        <v/>
      </c>
      <c r="AB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46218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s="2" t="inlineStr">
        <is>
          <t>Garnlav
Lunglav
Rosenticka
Ullticka</t>
        </is>
      </c>
      <c r="V71">
        <f>HYPERLINK("https://klasma.github.io/Logging_2284/artfynd/S 981-2026 artfynd.xlsx", "S 981-2026")</f>
        <v/>
      </c>
      <c r="W71">
        <f>HYPERLINK("https://klasma.github.io/Logging_2284/kartor/S 981-2026 karta.png", "S 981-2026")</f>
        <v/>
      </c>
      <c r="Y71">
        <f>HYPERLINK("https://klasma.github.io/Logging_2284/klagomål/S 981-2026 FSC-klagomål.docx", "S 981-2026")</f>
        <v/>
      </c>
      <c r="Z71">
        <f>HYPERLINK("https://klasma.github.io/Logging_2284/klagomålsmail/S 981-2026 FSC-klagomål mail.docx", "S 981-2026")</f>
        <v/>
      </c>
      <c r="AA71">
        <f>HYPERLINK("https://klasma.github.io/Logging_2284/tillsyn/S 981-2026 tillsynsbegäran.docx", "S 981-2026")</f>
        <v/>
      </c>
      <c r="AB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46218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s="2" t="inlineStr">
        <is>
          <t>Garnlav
Lunglav
Ullticka
Vitgrynig nållav</t>
        </is>
      </c>
      <c r="V72">
        <f>HYPERLINK("https://klasma.github.io/Logging_2284/artfynd/S 1719-2026 artfynd.xlsx", "S 1719-2026")</f>
        <v/>
      </c>
      <c r="W72">
        <f>HYPERLINK("https://klasma.github.io/Logging_2284/kartor/S 1719-2026 karta.png", "S 1719-2026")</f>
        <v/>
      </c>
      <c r="Y72">
        <f>HYPERLINK("https://klasma.github.io/Logging_2284/klagomål/S 1719-2026 FSC-klagomål.docx", "S 1719-2026")</f>
        <v/>
      </c>
      <c r="Z72">
        <f>HYPERLINK("https://klasma.github.io/Logging_2284/klagomålsmail/S 1719-2026 FSC-klagomål mail.docx", "S 1719-2026")</f>
        <v/>
      </c>
      <c r="AA72">
        <f>HYPERLINK("https://klasma.github.io/Logging_2284/tillsyn/S 1719-2026 tillsynsbegäran.docx", "S 1719-2026")</f>
        <v/>
      </c>
      <c r="AB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46218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s="2" t="inlineStr">
        <is>
          <t>Motaggsvamp
Mörk kolflarnlav
Norrlandslav</t>
        </is>
      </c>
      <c r="V73">
        <f>HYPERLINK("https://klasma.github.io/Logging_2284/artfynd/A 41184-2022 artfynd.xlsx", "A 41184-2022")</f>
        <v/>
      </c>
      <c r="W73">
        <f>HYPERLINK("https://klasma.github.io/Logging_2284/kartor/A 41184-2022 karta.png", "A 41184-2022")</f>
        <v/>
      </c>
      <c r="Y73">
        <f>HYPERLINK("https://klasma.github.io/Logging_2284/klagomål/A 41184-2022 FSC-klagomål.docx", "A 41184-2022")</f>
        <v/>
      </c>
      <c r="Z73">
        <f>HYPERLINK("https://klasma.github.io/Logging_2284/klagomålsmail/A 41184-2022 FSC-klagomål mail.docx", "A 41184-2022")</f>
        <v/>
      </c>
      <c r="AA73">
        <f>HYPERLINK("https://klasma.github.io/Logging_2284/tillsyn/A 41184-2022 tillsynsbegäran.docx", "A 41184-2022")</f>
        <v/>
      </c>
      <c r="AB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46218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s="2" t="inlineStr">
        <is>
          <t>Dvärgbägarlav
Kolflarnlav
Tallticka</t>
        </is>
      </c>
      <c r="V74">
        <f>HYPERLINK("https://klasma.github.io/Logging_2284/artfynd/A 16235-2022 artfynd.xlsx", "A 16235-2022")</f>
        <v/>
      </c>
      <c r="W74">
        <f>HYPERLINK("https://klasma.github.io/Logging_2284/kartor/A 16235-2022 karta.png", "A 16235-2022")</f>
        <v/>
      </c>
      <c r="Y74">
        <f>HYPERLINK("https://klasma.github.io/Logging_2284/klagomål/A 16235-2022 FSC-klagomål.docx", "A 16235-2022")</f>
        <v/>
      </c>
      <c r="Z74">
        <f>HYPERLINK("https://klasma.github.io/Logging_2284/klagomålsmail/A 16235-2022 FSC-klagomål mail.docx", "A 16235-2022")</f>
        <v/>
      </c>
      <c r="AA74">
        <f>HYPERLINK("https://klasma.github.io/Logging_2284/tillsyn/A 16235-2022 tillsynsbegäran.docx", "A 16235-2022")</f>
        <v/>
      </c>
      <c r="AB74">
        <f>HYPERLINK("https://klasma.github.io/Logging_2284/tillsynsmail/A 16235-2022 tillsynsbegäran mail.docx", "A 16235-2022")</f>
        <v/>
      </c>
    </row>
    <row r="75" ht="15" customHeight="1">
      <c r="A75" t="inlineStr">
        <is>
          <t>A 30492-2023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46218</v>
      </c>
      <c r="F75" t="inlineStr">
        <is>
          <t>VÄSTERNORRLANDS LÄN</t>
        </is>
      </c>
      <c r="G75" t="inlineStr">
        <is>
          <t>ÖRNSKÖLDSVIK</t>
        </is>
      </c>
      <c r="I75" t="n">
        <v>3.4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s="2" t="inlineStr">
        <is>
          <t>Rosenticka
Källmossor
Strutbräken</t>
        </is>
      </c>
      <c r="V75">
        <f>HYPERLINK("https://klasma.github.io/Logging_2284/artfynd/A 30492-2023 artfynd.xlsx", "A 30492-2023")</f>
        <v/>
      </c>
      <c r="W75">
        <f>HYPERLINK("https://klasma.github.io/Logging_2284/kartor/A 30492-2023 karta.png", "A 30492-2023")</f>
        <v/>
      </c>
      <c r="Y75">
        <f>HYPERLINK("https://klasma.github.io/Logging_2284/klagomål/A 30492-2023 FSC-klagomål.docx", "A 30492-2023")</f>
        <v/>
      </c>
      <c r="Z75">
        <f>HYPERLINK("https://klasma.github.io/Logging_2284/klagomålsmail/A 30492-2023 FSC-klagomål mail.docx", "A 30492-2023")</f>
        <v/>
      </c>
      <c r="AA75">
        <f>HYPERLINK("https://klasma.github.io/Logging_2284/tillsyn/A 30492-2023 tillsynsbegäran.docx", "A 30492-2023")</f>
        <v/>
      </c>
      <c r="AB75">
        <f>HYPERLINK("https://klasma.github.io/Logging_2284/tillsynsmail/A 30492-2023 tillsynsbegäran mail.docx", "A 30492-2023")</f>
        <v/>
      </c>
    </row>
    <row r="76" ht="15" customHeight="1">
      <c r="A76" t="inlineStr">
        <is>
          <t>A 32388-2023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45110</v>
      </c>
      <c r="E76" s="1" t="n">
        <v>46218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Kyrkan</t>
        </is>
      </c>
      <c r="I76" t="n">
        <v>4.9</v>
      </c>
      <c r="J76" t="n">
        <v>1</v>
      </c>
      <c r="K76" t="n">
        <v>2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4</v>
      </c>
      <c r="U76" s="2" t="inlineStr">
        <is>
          <t>Ullticka
Spindelblomster
Vedticka</t>
        </is>
      </c>
      <c r="V76">
        <f>HYPERLINK("https://klasma.github.io/Logging_2284/artfynd/A 32388-2023 artfynd.xlsx", "A 32388-2023")</f>
        <v/>
      </c>
      <c r="W76">
        <f>HYPERLINK("https://klasma.github.io/Logging_2284/kartor/A 32388-2023 karta.png", "A 32388-2023")</f>
        <v/>
      </c>
      <c r="Y76">
        <f>HYPERLINK("https://klasma.github.io/Logging_2284/klagomål/A 32388-2023 FSC-klagomål.docx", "A 32388-2023")</f>
        <v/>
      </c>
      <c r="Z76">
        <f>HYPERLINK("https://klasma.github.io/Logging_2284/klagomålsmail/A 32388-2023 FSC-klagomål mail.docx", "A 32388-2023")</f>
        <v/>
      </c>
      <c r="AA76">
        <f>HYPERLINK("https://klasma.github.io/Logging_2284/tillsyn/A 32388-2023 tillsynsbegäran.docx", "A 32388-2023")</f>
        <v/>
      </c>
      <c r="AB76">
        <f>HYPERLINK("https://klasma.github.io/Logging_2284/tillsynsmail/A 32388-2023 tillsynsbegäran mail.docx", "A 32388-2023")</f>
        <v/>
      </c>
    </row>
    <row r="77" ht="15" customHeight="1">
      <c r="A77" t="inlineStr">
        <is>
          <t>A 10157-2024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45364</v>
      </c>
      <c r="E77" s="1" t="n">
        <v>46218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3.1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s="2" t="inlineStr">
        <is>
          <t>Lunglav
Ullticka
Bårdlav</t>
        </is>
      </c>
      <c r="V77">
        <f>HYPERLINK("https://klasma.github.io/Logging_2284/artfynd/A 10157-2024 artfynd.xlsx", "A 10157-2024")</f>
        <v/>
      </c>
      <c r="W77">
        <f>HYPERLINK("https://klasma.github.io/Logging_2284/kartor/A 10157-2024 karta.png", "A 10157-2024")</f>
        <v/>
      </c>
      <c r="Y77">
        <f>HYPERLINK("https://klasma.github.io/Logging_2284/klagomål/A 10157-2024 FSC-klagomål.docx", "A 10157-2024")</f>
        <v/>
      </c>
      <c r="Z77">
        <f>HYPERLINK("https://klasma.github.io/Logging_2284/klagomålsmail/A 10157-2024 FSC-klagomål mail.docx", "A 10157-2024")</f>
        <v/>
      </c>
      <c r="AA77">
        <f>HYPERLINK("https://klasma.github.io/Logging_2284/tillsyn/A 10157-2024 tillsynsbegäran.docx", "A 10157-2024")</f>
        <v/>
      </c>
      <c r="AB77">
        <f>HYPERLINK("https://klasma.github.io/Logging_2284/tillsynsmail/A 10157-2024 tillsynsbegäran mail.docx", "A 10157-2024")</f>
        <v/>
      </c>
    </row>
    <row r="78" ht="15" customHeight="1">
      <c r="A78" t="inlineStr">
        <is>
          <t>A 20841-2024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45439</v>
      </c>
      <c r="E78" s="1" t="n">
        <v>46218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5.9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s="2" t="inlineStr">
        <is>
          <t>Lunglav
Tallticka
Bårdlav</t>
        </is>
      </c>
      <c r="V78">
        <f>HYPERLINK("https://klasma.github.io/Logging_2284/artfynd/A 20841-2024 artfynd.xlsx", "A 20841-2024")</f>
        <v/>
      </c>
      <c r="W78">
        <f>HYPERLINK("https://klasma.github.io/Logging_2284/kartor/A 20841-2024 karta.png", "A 20841-2024")</f>
        <v/>
      </c>
      <c r="Y78">
        <f>HYPERLINK("https://klasma.github.io/Logging_2284/klagomål/A 20841-2024 FSC-klagomål.docx", "A 20841-2024")</f>
        <v/>
      </c>
      <c r="Z78">
        <f>HYPERLINK("https://klasma.github.io/Logging_2284/klagomålsmail/A 20841-2024 FSC-klagomål mail.docx", "A 20841-2024")</f>
        <v/>
      </c>
      <c r="AA78">
        <f>HYPERLINK("https://klasma.github.io/Logging_2284/tillsyn/A 20841-2024 tillsynsbegäran.docx", "A 20841-2024")</f>
        <v/>
      </c>
      <c r="AB78">
        <f>HYPERLINK("https://klasma.github.io/Logging_2284/tillsynsmail/A 20841-2024 tillsynsbegäran mail.docx", "A 20841-2024")</f>
        <v/>
      </c>
    </row>
    <row r="79" ht="15" customHeight="1">
      <c r="A79" t="inlineStr">
        <is>
          <t>A 40059-2023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46218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1.6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3</v>
      </c>
      <c r="U79" s="2" t="inlineStr">
        <is>
          <t>Lunglav
Reliktbock
Ullticka</t>
        </is>
      </c>
      <c r="V79">
        <f>HYPERLINK("https://klasma.github.io/Logging_2284/artfynd/A 40059-2023 artfynd.xlsx", "A 40059-2023")</f>
        <v/>
      </c>
      <c r="W79">
        <f>HYPERLINK("https://klasma.github.io/Logging_2284/kartor/A 40059-2023 karta.png", "A 40059-2023")</f>
        <v/>
      </c>
      <c r="Y79">
        <f>HYPERLINK("https://klasma.github.io/Logging_2284/klagomål/A 40059-2023 FSC-klagomål.docx", "A 40059-2023")</f>
        <v/>
      </c>
      <c r="Z79">
        <f>HYPERLINK("https://klasma.github.io/Logging_2284/klagomålsmail/A 40059-2023 FSC-klagomål mail.docx", "A 40059-2023")</f>
        <v/>
      </c>
      <c r="AA79">
        <f>HYPERLINK("https://klasma.github.io/Logging_2284/tillsyn/A 40059-2023 tillsynsbegäran.docx", "A 40059-2023")</f>
        <v/>
      </c>
      <c r="AB79">
        <f>HYPERLINK("https://klasma.github.io/Logging_2284/tillsynsmail/A 40059-2023 tillsynsbegäran mail.docx", "A 40059-2023")</f>
        <v/>
      </c>
    </row>
    <row r="80" ht="15" customHeight="1">
      <c r="A80" t="inlineStr">
        <is>
          <t>A 58070-2022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46218</v>
      </c>
      <c r="F80" t="inlineStr">
        <is>
          <t>VÄSTERNORRLANDS LÄN</t>
        </is>
      </c>
      <c r="G80" t="inlineStr">
        <is>
          <t>ÖRNSKÖLDSVIK</t>
        </is>
      </c>
      <c r="I80" t="n">
        <v>3.1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4</v>
      </c>
      <c r="U80" s="2" t="inlineStr">
        <is>
          <t>Dropptaggsvamp
Skogsduva
Ärtsångare</t>
        </is>
      </c>
      <c r="V80">
        <f>HYPERLINK("https://klasma.github.io/Logging_2284/artfynd/A 58070-2022 artfynd.xlsx", "A 58070-2022")</f>
        <v/>
      </c>
      <c r="W80">
        <f>HYPERLINK("https://klasma.github.io/Logging_2284/kartor/A 58070-2022 karta.png", "A 58070-2022")</f>
        <v/>
      </c>
      <c r="Y80">
        <f>HYPERLINK("https://klasma.github.io/Logging_2284/klagomål/A 58070-2022 FSC-klagomål.docx", "A 58070-2022")</f>
        <v/>
      </c>
      <c r="Z80">
        <f>HYPERLINK("https://klasma.github.io/Logging_2284/klagomålsmail/A 58070-2022 FSC-klagomål mail.docx", "A 58070-2022")</f>
        <v/>
      </c>
      <c r="AA80">
        <f>HYPERLINK("https://klasma.github.io/Logging_2284/tillsyn/A 58070-2022 tillsynsbegäran.docx", "A 58070-2022")</f>
        <v/>
      </c>
      <c r="AB80">
        <f>HYPERLINK("https://klasma.github.io/Logging_2284/tillsynsmail/A 58070-2022 tillsynsbegäran mail.docx", "A 58070-2022")</f>
        <v/>
      </c>
    </row>
    <row r="81" ht="15" customHeight="1">
      <c r="A81" t="inlineStr">
        <is>
          <t>A 58121-2021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46218</v>
      </c>
      <c r="F81" t="inlineStr">
        <is>
          <t>VÄSTERNORRLANDS LÄN</t>
        </is>
      </c>
      <c r="G81" t="inlineStr">
        <is>
          <t>ÖRNSKÖLDSVIK</t>
        </is>
      </c>
      <c r="I81" t="n">
        <v>13.8</v>
      </c>
      <c r="J81" t="n">
        <v>0</v>
      </c>
      <c r="K81" t="n">
        <v>3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3</v>
      </c>
      <c r="T81" t="n">
        <v>3</v>
      </c>
      <c r="U81" s="2" t="inlineStr">
        <is>
          <t>Bronshjon
Svart trolldruva
Thomsons trägnagare</t>
        </is>
      </c>
      <c r="V81">
        <f>HYPERLINK("https://klasma.github.io/Logging_2284/artfynd/A 58121-2021 artfynd.xlsx", "A 58121-2021")</f>
        <v/>
      </c>
      <c r="W81">
        <f>HYPERLINK("https://klasma.github.io/Logging_2284/kartor/A 58121-2021 karta.png", "A 58121-2021")</f>
        <v/>
      </c>
      <c r="Y81">
        <f>HYPERLINK("https://klasma.github.io/Logging_2284/klagomål/A 58121-2021 FSC-klagomål.docx", "A 58121-2021")</f>
        <v/>
      </c>
      <c r="Z81">
        <f>HYPERLINK("https://klasma.github.io/Logging_2284/klagomålsmail/A 58121-2021 FSC-klagomål mail.docx", "A 58121-2021")</f>
        <v/>
      </c>
      <c r="AA81">
        <f>HYPERLINK("https://klasma.github.io/Logging_2284/tillsyn/A 58121-2021 tillsynsbegäran.docx", "A 58121-2021")</f>
        <v/>
      </c>
      <c r="AB81">
        <f>HYPERLINK("https://klasma.github.io/Logging_2284/tillsynsmail/A 58121-2021 tillsynsbegäran mail.docx", "A 58121-2021")</f>
        <v/>
      </c>
    </row>
    <row r="82" ht="15" customHeight="1">
      <c r="A82" t="inlineStr">
        <is>
          <t>A 56530-2022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46218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2.2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s="2" t="inlineStr">
        <is>
          <t>Lunglav
Violettgrå tagellav
Skinnlav</t>
        </is>
      </c>
      <c r="V82">
        <f>HYPERLINK("https://klasma.github.io/Logging_2284/artfynd/A 56530-2022 artfynd.xlsx", "A 56530-2022")</f>
        <v/>
      </c>
      <c r="W82">
        <f>HYPERLINK("https://klasma.github.io/Logging_2284/kartor/A 56530-2022 karta.png", "A 56530-2022")</f>
        <v/>
      </c>
      <c r="Y82">
        <f>HYPERLINK("https://klasma.github.io/Logging_2284/klagomål/A 56530-2022 FSC-klagomål.docx", "A 56530-2022")</f>
        <v/>
      </c>
      <c r="Z82">
        <f>HYPERLINK("https://klasma.github.io/Logging_2284/klagomålsmail/A 56530-2022 FSC-klagomål mail.docx", "A 56530-2022")</f>
        <v/>
      </c>
      <c r="AA82">
        <f>HYPERLINK("https://klasma.github.io/Logging_2284/tillsyn/A 56530-2022 tillsynsbegäran.docx", "A 56530-2022")</f>
        <v/>
      </c>
      <c r="AB82">
        <f>HYPERLINK("https://klasma.github.io/Logging_2284/tillsynsmail/A 56530-2022 tillsynsbegäran mail.docx", "A 56530-2022")</f>
        <v/>
      </c>
    </row>
    <row r="83" ht="15" customHeight="1">
      <c r="A83" t="inlineStr">
        <is>
          <t>A 62864-2025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46218</v>
      </c>
      <c r="F83" t="inlineStr">
        <is>
          <t>VÄSTERNORRLANDS LÄN</t>
        </is>
      </c>
      <c r="G83" t="inlineStr">
        <is>
          <t>ÖRNSKÖLDSVIK</t>
        </is>
      </c>
      <c r="I83" t="n">
        <v>10.1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3</v>
      </c>
      <c r="U83" s="2" t="inlineStr">
        <is>
          <t>Lunglav
Bollvitmossa
Lappranunkel</t>
        </is>
      </c>
      <c r="V83">
        <f>HYPERLINK("https://klasma.github.io/Logging_2284/artfynd/A 62864-2025 artfynd.xlsx", "A 62864-2025")</f>
        <v/>
      </c>
      <c r="W83">
        <f>HYPERLINK("https://klasma.github.io/Logging_2284/kartor/A 62864-2025 karta.png", "A 62864-2025")</f>
        <v/>
      </c>
      <c r="Y83">
        <f>HYPERLINK("https://klasma.github.io/Logging_2284/klagomål/A 62864-2025 FSC-klagomål.docx", "A 62864-2025")</f>
        <v/>
      </c>
      <c r="Z83">
        <f>HYPERLINK("https://klasma.github.io/Logging_2284/klagomålsmail/A 62864-2025 FSC-klagomål mail.docx", "A 62864-2025")</f>
        <v/>
      </c>
      <c r="AA83">
        <f>HYPERLINK("https://klasma.github.io/Logging_2284/tillsyn/A 62864-2025 tillsynsbegäran.docx", "A 62864-2025")</f>
        <v/>
      </c>
      <c r="AB83">
        <f>HYPERLINK("https://klasma.github.io/Logging_2284/tillsynsmail/A 62864-2025 tillsynsbegäran mail.docx", "A 62864-2025")</f>
        <v/>
      </c>
    </row>
    <row r="84" ht="15" customHeight="1">
      <c r="A84" t="inlineStr">
        <is>
          <t>A 40197-2022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46218</v>
      </c>
      <c r="F84" t="inlineStr">
        <is>
          <t>VÄSTERNORRLANDS LÄN</t>
        </is>
      </c>
      <c r="G84" t="inlineStr">
        <is>
          <t>ÖRNSKÖLDSVIK</t>
        </is>
      </c>
      <c r="I84" t="n">
        <v>3.8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s="2" t="inlineStr">
        <is>
          <t>Rosenticka
Ullticka
Korallblylav</t>
        </is>
      </c>
      <c r="V84">
        <f>HYPERLINK("https://klasma.github.io/Logging_2284/artfynd/A 40197-2022 artfynd.xlsx", "A 40197-2022")</f>
        <v/>
      </c>
      <c r="W84">
        <f>HYPERLINK("https://klasma.github.io/Logging_2284/kartor/A 40197-2022 karta.png", "A 40197-2022")</f>
        <v/>
      </c>
      <c r="Y84">
        <f>HYPERLINK("https://klasma.github.io/Logging_2284/klagomål/A 40197-2022 FSC-klagomål.docx", "A 40197-2022")</f>
        <v/>
      </c>
      <c r="Z84">
        <f>HYPERLINK("https://klasma.github.io/Logging_2284/klagomålsmail/A 40197-2022 FSC-klagomål mail.docx", "A 40197-2022")</f>
        <v/>
      </c>
      <c r="AA84">
        <f>HYPERLINK("https://klasma.github.io/Logging_2284/tillsyn/A 40197-2022 tillsynsbegäran.docx", "A 40197-2022")</f>
        <v/>
      </c>
      <c r="AB84">
        <f>HYPERLINK("https://klasma.github.io/Logging_2284/tillsynsmail/A 40197-2022 tillsynsbegäran mail.docx", "A 40197-2022")</f>
        <v/>
      </c>
    </row>
    <row r="85" ht="15" customHeight="1">
      <c r="A85" t="inlineStr">
        <is>
          <t>A 12288-2024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45378</v>
      </c>
      <c r="E85" s="1" t="n">
        <v>46218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4.7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s="2" t="inlineStr">
        <is>
          <t>Lunglav
Vedskivlav
Luddlav</t>
        </is>
      </c>
      <c r="V85">
        <f>HYPERLINK("https://klasma.github.io/Logging_2284/artfynd/A 12288-2024 artfynd.xlsx", "A 12288-2024")</f>
        <v/>
      </c>
      <c r="W85">
        <f>HYPERLINK("https://klasma.github.io/Logging_2284/kartor/A 12288-2024 karta.png", "A 12288-2024")</f>
        <v/>
      </c>
      <c r="Y85">
        <f>HYPERLINK("https://klasma.github.io/Logging_2284/klagomål/A 12288-2024 FSC-klagomål.docx", "A 12288-2024")</f>
        <v/>
      </c>
      <c r="Z85">
        <f>HYPERLINK("https://klasma.github.io/Logging_2284/klagomålsmail/A 12288-2024 FSC-klagomål mail.docx", "A 12288-2024")</f>
        <v/>
      </c>
      <c r="AA85">
        <f>HYPERLINK("https://klasma.github.io/Logging_2284/tillsyn/A 12288-2024 tillsynsbegäran.docx", "A 12288-2024")</f>
        <v/>
      </c>
      <c r="AB85">
        <f>HYPERLINK("https://klasma.github.io/Logging_2284/tillsynsmail/A 12288-2024 tillsynsbegäran mail.docx", "A 12288-2024")</f>
        <v/>
      </c>
    </row>
    <row r="86" ht="15" customHeight="1">
      <c r="A86" t="inlineStr">
        <is>
          <t>A 28993-2026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46199</v>
      </c>
      <c r="E86" s="1" t="n">
        <v>46218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1.1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5</v>
      </c>
      <c r="U86" s="2" t="inlineStr">
        <is>
          <t>Garnlav
Doftskinn
Gammelgransskål</t>
        </is>
      </c>
      <c r="V86">
        <f>HYPERLINK("https://klasma.github.io/Logging_2284/artfynd/A 28993-2026 artfynd.xlsx", "A 28993-2026")</f>
        <v/>
      </c>
      <c r="W86">
        <f>HYPERLINK("https://klasma.github.io/Logging_2284/kartor/A 28993-2026 karta.png", "A 28993-2026")</f>
        <v/>
      </c>
      <c r="Y86">
        <f>HYPERLINK("https://klasma.github.io/Logging_2284/klagomål/A 28993-2026 FSC-klagomål.docx", "A 28993-2026")</f>
        <v/>
      </c>
      <c r="Z86">
        <f>HYPERLINK("https://klasma.github.io/Logging_2284/klagomålsmail/A 28993-2026 FSC-klagomål mail.docx", "A 28993-2026")</f>
        <v/>
      </c>
      <c r="AA86">
        <f>HYPERLINK("https://klasma.github.io/Logging_2284/tillsyn/A 28993-2026 tillsynsbegäran.docx", "A 28993-2026")</f>
        <v/>
      </c>
      <c r="AB86">
        <f>HYPERLINK("https://klasma.github.io/Logging_2284/tillsynsmail/A 28993-2026 tillsynsbegäran mail.docx", "A 28993-2026")</f>
        <v/>
      </c>
    </row>
    <row r="87" ht="15" customHeight="1">
      <c r="A87" t="inlineStr">
        <is>
          <t>A 16195-2026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46111</v>
      </c>
      <c r="E87" s="1" t="n">
        <v>46218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SCA</t>
        </is>
      </c>
      <c r="I87" t="n">
        <v>0.6</v>
      </c>
      <c r="J87" t="n">
        <v>0</v>
      </c>
      <c r="K87" t="n">
        <v>0</v>
      </c>
      <c r="L87" t="n">
        <v>2</v>
      </c>
      <c r="M87" t="n">
        <v>1</v>
      </c>
      <c r="N87" t="n">
        <v>0</v>
      </c>
      <c r="O87" t="n">
        <v>0</v>
      </c>
      <c r="P87" t="n">
        <v>0</v>
      </c>
      <c r="Q87" t="n">
        <v>3</v>
      </c>
      <c r="R87" t="n">
        <v>1</v>
      </c>
      <c r="S87" t="n">
        <v>3</v>
      </c>
      <c r="T87" t="n">
        <v>3</v>
      </c>
      <c r="U87" s="2" t="inlineStr">
        <is>
          <t>Garnlav
Dropptaggsvamp
Lunglav</t>
        </is>
      </c>
      <c r="V87">
        <f>HYPERLINK("https://klasma.github.io/Logging_2284/artfynd/A 16195-2026 artfynd.xlsx", "A 16195-2026")</f>
        <v/>
      </c>
      <c r="W87">
        <f>HYPERLINK("https://klasma.github.io/Logging_2284/kartor/A 16195-2026 karta.png", "A 16195-2026")</f>
        <v/>
      </c>
      <c r="Y87">
        <f>HYPERLINK("https://klasma.github.io/Logging_2284/klagomål/A 16195-2026 FSC-klagomål.docx", "A 16195-2026")</f>
        <v/>
      </c>
      <c r="Z87">
        <f>HYPERLINK("https://klasma.github.io/Logging_2284/klagomålsmail/A 16195-2026 FSC-klagomål mail.docx", "A 16195-2026")</f>
        <v/>
      </c>
      <c r="AA87">
        <f>HYPERLINK("https://klasma.github.io/Logging_2284/tillsyn/A 16195-2026 tillsynsbegäran.docx", "A 16195-2026")</f>
        <v/>
      </c>
      <c r="AB87">
        <f>HYPERLINK("https://klasma.github.io/Logging_2284/tillsynsmail/A 16195-2026 tillsynsbegäran mail.docx", "A 16195-2026")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46218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s="2" t="inlineStr">
        <is>
          <t>Tallriska
Stor aspticka
Fläcknycklar</t>
        </is>
      </c>
      <c r="V88">
        <f>HYPERLINK("https://klasma.github.io/Logging_2284/artfynd/S 4038-2023 artfynd.xlsx", "S 4038-2023")</f>
        <v/>
      </c>
      <c r="W88">
        <f>HYPERLINK("https://klasma.github.io/Logging_2284/kartor/S 4038-2023 karta.png", "S 4038-2023")</f>
        <v/>
      </c>
      <c r="X88">
        <f>HYPERLINK("https://klasma.github.io/Logging_2284/knärot/S 4038-2023 karta knärot.png", "S 4038-2023")</f>
        <v/>
      </c>
      <c r="Y88">
        <f>HYPERLINK("https://klasma.github.io/Logging_2284/klagomål/S 4038-2023 FSC-klagomål.docx", "S 4038-2023")</f>
        <v/>
      </c>
      <c r="Z88">
        <f>HYPERLINK("https://klasma.github.io/Logging_2284/klagomålsmail/S 4038-2023 FSC-klagomål mail.docx", "S 4038-2023")</f>
        <v/>
      </c>
      <c r="AA88">
        <f>HYPERLINK("https://klasma.github.io/Logging_2284/tillsyn/S 4038-2023 tillsynsbegäran.docx", "S 4038-2023")</f>
        <v/>
      </c>
      <c r="AB88">
        <f>HYPERLINK("https://klasma.github.io/Logging_2284/tillsynsmail/S 4038-2023 tillsynsbegäran mail.docx", "S 4038-2023")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46218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s="2" t="inlineStr">
        <is>
          <t>Dropptaggsvamp
Kolflarnlav
Violettgrå tagellav</t>
        </is>
      </c>
      <c r="V89">
        <f>HYPERLINK("https://klasma.github.io/Logging_2284/artfynd/S 957-2026 artfynd.xlsx", "S 957-2026")</f>
        <v/>
      </c>
      <c r="W89">
        <f>HYPERLINK("https://klasma.github.io/Logging_2284/kartor/S 957-2026 karta.png", "S 957-2026")</f>
        <v/>
      </c>
      <c r="Y89">
        <f>HYPERLINK("https://klasma.github.io/Logging_2284/klagomål/S 957-2026 FSC-klagomål.docx", "S 957-2026")</f>
        <v/>
      </c>
      <c r="Z89">
        <f>HYPERLINK("https://klasma.github.io/Logging_2284/klagomålsmail/S 957-2026 FSC-klagomål mail.docx", "S 957-2026")</f>
        <v/>
      </c>
      <c r="AA89">
        <f>HYPERLINK("https://klasma.github.io/Logging_2284/tillsyn/S 957-2026 tillsynsbegäran.docx", "S 957-2026")</f>
        <v/>
      </c>
      <c r="AB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46218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s="2" t="inlineStr">
        <is>
          <t>Dropptaggsvamp
Lunglav</t>
        </is>
      </c>
      <c r="V90">
        <f>HYPERLINK("https://klasma.github.io/Logging_2284/artfynd/A 49289-2022 artfynd.xlsx", "A 49289-2022")</f>
        <v/>
      </c>
      <c r="W90">
        <f>HYPERLINK("https://klasma.github.io/Logging_2284/kartor/A 49289-2022 karta.png", "A 49289-2022")</f>
        <v/>
      </c>
      <c r="Y90">
        <f>HYPERLINK("https://klasma.github.io/Logging_2284/klagomål/A 49289-2022 FSC-klagomål.docx", "A 49289-2022")</f>
        <v/>
      </c>
      <c r="Z90">
        <f>HYPERLINK("https://klasma.github.io/Logging_2284/klagomålsmail/A 49289-2022 FSC-klagomål mail.docx", "A 49289-2022")</f>
        <v/>
      </c>
      <c r="AA90">
        <f>HYPERLINK("https://klasma.github.io/Logging_2284/tillsyn/A 49289-2022 tillsynsbegäran.docx", "A 49289-2022")</f>
        <v/>
      </c>
      <c r="AB90">
        <f>HYPERLINK("https://klasma.github.io/Logging_2284/tillsynsmail/A 49289-2022 tillsynsbegäran mail.docx", "A 49289-2022")</f>
        <v/>
      </c>
    </row>
    <row r="91" ht="15" customHeight="1">
      <c r="A91" t="inlineStr">
        <is>
          <t>A 58802-2023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45247</v>
      </c>
      <c r="E91" s="1" t="n">
        <v>46218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Kommuner</t>
        </is>
      </c>
      <c r="I91" t="n">
        <v>3.4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4</v>
      </c>
      <c r="U91" s="2" t="inlineStr">
        <is>
          <t>Grönsiska
Svartvit flugsnappare</t>
        </is>
      </c>
      <c r="V91">
        <f>HYPERLINK("https://klasma.github.io/Logging_2284/artfynd/A 58802-2023 artfynd.xlsx", "A 58802-2023")</f>
        <v/>
      </c>
      <c r="W91">
        <f>HYPERLINK("https://klasma.github.io/Logging_2284/kartor/A 58802-2023 karta.png", "A 58802-2023")</f>
        <v/>
      </c>
      <c r="Y91">
        <f>HYPERLINK("https://klasma.github.io/Logging_2284/klagomål/A 58802-2023 FSC-klagomål.docx", "A 58802-2023")</f>
        <v/>
      </c>
      <c r="Z91">
        <f>HYPERLINK("https://klasma.github.io/Logging_2284/klagomålsmail/A 58802-2023 FSC-klagomål mail.docx", "A 58802-2023")</f>
        <v/>
      </c>
      <c r="AA91">
        <f>HYPERLINK("https://klasma.github.io/Logging_2284/tillsyn/A 58802-2023 tillsynsbegäran.docx", "A 58802-2023")</f>
        <v/>
      </c>
      <c r="AB91">
        <f>HYPERLINK("https://klasma.github.io/Logging_2284/tillsynsmail/A 58802-2023 tillsynsbegäran mail.docx", "A 58802-2023")</f>
        <v/>
      </c>
    </row>
    <row r="92" ht="15" customHeight="1">
      <c r="A92" t="inlineStr">
        <is>
          <t>A 15386-2023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45019</v>
      </c>
      <c r="E92" s="1" t="n">
        <v>46218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4.2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s="2" t="inlineStr">
        <is>
          <t>Lunglav
Tallticka</t>
        </is>
      </c>
      <c r="V92">
        <f>HYPERLINK("https://klasma.github.io/Logging_2284/artfynd/A 15386-2023 artfynd.xlsx", "A 15386-2023")</f>
        <v/>
      </c>
      <c r="W92">
        <f>HYPERLINK("https://klasma.github.io/Logging_2284/kartor/A 15386-2023 karta.png", "A 15386-2023")</f>
        <v/>
      </c>
      <c r="Y92">
        <f>HYPERLINK("https://klasma.github.io/Logging_2284/klagomål/A 15386-2023 FSC-klagomål.docx", "A 15386-2023")</f>
        <v/>
      </c>
      <c r="Z92">
        <f>HYPERLINK("https://klasma.github.io/Logging_2284/klagomålsmail/A 15386-2023 FSC-klagomål mail.docx", "A 15386-2023")</f>
        <v/>
      </c>
      <c r="AA92">
        <f>HYPERLINK("https://klasma.github.io/Logging_2284/tillsyn/A 15386-2023 tillsynsbegäran.docx", "A 15386-2023")</f>
        <v/>
      </c>
      <c r="AB92">
        <f>HYPERLINK("https://klasma.github.io/Logging_2284/tillsynsmail/A 15386-2023 tillsynsbegäran mail.docx", "A 15386-2023")</f>
        <v/>
      </c>
    </row>
    <row r="93" ht="15" customHeight="1">
      <c r="A93" t="inlineStr">
        <is>
          <t>A 47567-2024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45587</v>
      </c>
      <c r="E93" s="1" t="n">
        <v>46218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SCA</t>
        </is>
      </c>
      <c r="I93" t="n">
        <v>8.4</v>
      </c>
      <c r="J93" t="n">
        <v>1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s="2" t="inlineStr">
        <is>
          <t>Gammelgransskål
Tretåig hackspett</t>
        </is>
      </c>
      <c r="V93">
        <f>HYPERLINK("https://klasma.github.io/Logging_2284/artfynd/A 47567-2024 artfynd.xlsx", "A 47567-2024")</f>
        <v/>
      </c>
      <c r="W93">
        <f>HYPERLINK("https://klasma.github.io/Logging_2284/kartor/A 47567-2024 karta.png", "A 47567-2024")</f>
        <v/>
      </c>
      <c r="Y93">
        <f>HYPERLINK("https://klasma.github.io/Logging_2284/klagomål/A 47567-2024 FSC-klagomål.docx", "A 47567-2024")</f>
        <v/>
      </c>
      <c r="Z93">
        <f>HYPERLINK("https://klasma.github.io/Logging_2284/klagomålsmail/A 47567-2024 FSC-klagomål mail.docx", "A 47567-2024")</f>
        <v/>
      </c>
      <c r="AA93">
        <f>HYPERLINK("https://klasma.github.io/Logging_2284/tillsyn/A 47567-2024 tillsynsbegäran.docx", "A 47567-2024")</f>
        <v/>
      </c>
      <c r="AB93">
        <f>HYPERLINK("https://klasma.github.io/Logging_2284/tillsynsmail/A 47567-2024 tillsynsbegäran mail.docx", "A 47567-2024")</f>
        <v/>
      </c>
      <c r="AC93">
        <f>HYPERLINK("https://klasma.github.io/Logging_2284/fåglar/A 47567-2024 prioriterade fågelarter.docx", "A 47567-2024")</f>
        <v/>
      </c>
    </row>
    <row r="94" ht="15" customHeight="1">
      <c r="A94" t="inlineStr">
        <is>
          <t>A 4455-2023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44956</v>
      </c>
      <c r="E94" s="1" t="n">
        <v>46218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22.4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s="2" t="inlineStr">
        <is>
          <t>Lunglav
Skrovellav</t>
        </is>
      </c>
      <c r="V94">
        <f>HYPERLINK("https://klasma.github.io/Logging_2284/artfynd/A 4455-2023 artfynd.xlsx", "A 4455-2023")</f>
        <v/>
      </c>
      <c r="W94">
        <f>HYPERLINK("https://klasma.github.io/Logging_2284/kartor/A 4455-2023 karta.png", "A 4455-2023")</f>
        <v/>
      </c>
      <c r="Y94">
        <f>HYPERLINK("https://klasma.github.io/Logging_2284/klagomål/A 4455-2023 FSC-klagomål.docx", "A 4455-2023")</f>
        <v/>
      </c>
      <c r="Z94">
        <f>HYPERLINK("https://klasma.github.io/Logging_2284/klagomålsmail/A 4455-2023 FSC-klagomål mail.docx", "A 4455-2023")</f>
        <v/>
      </c>
      <c r="AA94">
        <f>HYPERLINK("https://klasma.github.io/Logging_2284/tillsyn/A 4455-2023 tillsynsbegäran.docx", "A 4455-2023")</f>
        <v/>
      </c>
      <c r="AB94">
        <f>HYPERLINK("https://klasma.github.io/Logging_2284/tillsynsmail/A 4455-2023 tillsynsbegäran mail.docx", "A 4455-2023")</f>
        <v/>
      </c>
    </row>
    <row r="95" ht="15" customHeight="1">
      <c r="A95" t="inlineStr">
        <is>
          <t>A 23100-2023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45075</v>
      </c>
      <c r="E95" s="1" t="n">
        <v>46218</v>
      </c>
      <c r="F95" t="inlineStr">
        <is>
          <t>VÄSTERNORRLANDS LÄN</t>
        </is>
      </c>
      <c r="G95" t="inlineStr">
        <is>
          <t>ÖRNSKÖLDSVIK</t>
        </is>
      </c>
      <c r="I95" t="n">
        <v>0.2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s="2" t="inlineStr">
        <is>
          <t>Garnlav
Fläcknycklar</t>
        </is>
      </c>
      <c r="V95">
        <f>HYPERLINK("https://klasma.github.io/Logging_2284/artfynd/A 23100-2023 artfynd.xlsx", "A 23100-2023")</f>
        <v/>
      </c>
      <c r="W95">
        <f>HYPERLINK("https://klasma.github.io/Logging_2284/kartor/A 23100-2023 karta.png", "A 23100-2023")</f>
        <v/>
      </c>
      <c r="Y95">
        <f>HYPERLINK("https://klasma.github.io/Logging_2284/klagomål/A 23100-2023 FSC-klagomål.docx", "A 23100-2023")</f>
        <v/>
      </c>
      <c r="Z95">
        <f>HYPERLINK("https://klasma.github.io/Logging_2284/klagomålsmail/A 23100-2023 FSC-klagomål mail.docx", "A 23100-2023")</f>
        <v/>
      </c>
      <c r="AA95">
        <f>HYPERLINK("https://klasma.github.io/Logging_2284/tillsyn/A 23100-2023 tillsynsbegäran.docx", "A 23100-2023")</f>
        <v/>
      </c>
      <c r="AB95">
        <f>HYPERLINK("https://klasma.github.io/Logging_2284/tillsynsmail/A 23100-2023 tillsynsbegäran mail.docx", "A 23100-2023")</f>
        <v/>
      </c>
    </row>
    <row r="96" ht="15" customHeight="1">
      <c r="A96" t="inlineStr">
        <is>
          <t>A 37479-2024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45541</v>
      </c>
      <c r="E96" s="1" t="n">
        <v>46218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1.9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3</v>
      </c>
      <c r="U96" s="2" t="inlineStr">
        <is>
          <t>Garnlav
Lunglav</t>
        </is>
      </c>
      <c r="V96">
        <f>HYPERLINK("https://klasma.github.io/Logging_2284/artfynd/A 37479-2024 artfynd.xlsx", "A 37479-2024")</f>
        <v/>
      </c>
      <c r="W96">
        <f>HYPERLINK("https://klasma.github.io/Logging_2284/kartor/A 37479-2024 karta.png", "A 37479-2024")</f>
        <v/>
      </c>
      <c r="Y96">
        <f>HYPERLINK("https://klasma.github.io/Logging_2284/klagomål/A 37479-2024 FSC-klagomål.docx", "A 37479-2024")</f>
        <v/>
      </c>
      <c r="Z96">
        <f>HYPERLINK("https://klasma.github.io/Logging_2284/klagomålsmail/A 37479-2024 FSC-klagomål mail.docx", "A 37479-2024")</f>
        <v/>
      </c>
      <c r="AA96">
        <f>HYPERLINK("https://klasma.github.io/Logging_2284/tillsyn/A 37479-2024 tillsynsbegäran.docx", "A 37479-2024")</f>
        <v/>
      </c>
      <c r="AB96">
        <f>HYPERLINK("https://klasma.github.io/Logging_2284/tillsynsmail/A 37479-2024 tillsynsbegäran mail.docx", "A 37479-2024")</f>
        <v/>
      </c>
    </row>
    <row r="97" ht="15" customHeight="1">
      <c r="A97" t="inlineStr">
        <is>
          <t>A 41942-2023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45177</v>
      </c>
      <c r="E97" s="1" t="n">
        <v>46218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8.4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s="2" t="inlineStr">
        <is>
          <t>Lunglav
Stuplav</t>
        </is>
      </c>
      <c r="V97">
        <f>HYPERLINK("https://klasma.github.io/Logging_2284/artfynd/A 41942-2023 artfynd.xlsx", "A 41942-2023")</f>
        <v/>
      </c>
      <c r="W97">
        <f>HYPERLINK("https://klasma.github.io/Logging_2284/kartor/A 41942-2023 karta.png", "A 41942-2023")</f>
        <v/>
      </c>
      <c r="Y97">
        <f>HYPERLINK("https://klasma.github.io/Logging_2284/klagomål/A 41942-2023 FSC-klagomål.docx", "A 41942-2023")</f>
        <v/>
      </c>
      <c r="Z97">
        <f>HYPERLINK("https://klasma.github.io/Logging_2284/klagomålsmail/A 41942-2023 FSC-klagomål mail.docx", "A 41942-2023")</f>
        <v/>
      </c>
      <c r="AA97">
        <f>HYPERLINK("https://klasma.github.io/Logging_2284/tillsyn/A 41942-2023 tillsynsbegäran.docx", "A 41942-2023")</f>
        <v/>
      </c>
      <c r="AB97">
        <f>HYPERLINK("https://klasma.github.io/Logging_2284/tillsynsmail/A 41942-2023 tillsynsbegäran mail.docx", "A 41942-2023")</f>
        <v/>
      </c>
    </row>
    <row r="98" ht="15" customHeight="1">
      <c r="A98" t="inlineStr">
        <is>
          <t>A 60137-2021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46218</v>
      </c>
      <c r="F98" t="inlineStr">
        <is>
          <t>VÄSTERNORRLANDS LÄN</t>
        </is>
      </c>
      <c r="G98" t="inlineStr">
        <is>
          <t>ÖRNSKÖLDSVIK</t>
        </is>
      </c>
      <c r="I98" t="n">
        <v>7.1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s="2" t="inlineStr">
        <is>
          <t>Harticka
Ullticka</t>
        </is>
      </c>
      <c r="V98">
        <f>HYPERLINK("https://klasma.github.io/Logging_2284/artfynd/A 60137-2021 artfynd.xlsx", "A 60137-2021")</f>
        <v/>
      </c>
      <c r="W98">
        <f>HYPERLINK("https://klasma.github.io/Logging_2284/kartor/A 60137-2021 karta.png", "A 60137-2021")</f>
        <v/>
      </c>
      <c r="Y98">
        <f>HYPERLINK("https://klasma.github.io/Logging_2284/klagomål/A 60137-2021 FSC-klagomål.docx", "A 60137-2021")</f>
        <v/>
      </c>
      <c r="Z98">
        <f>HYPERLINK("https://klasma.github.io/Logging_2284/klagomålsmail/A 60137-2021 FSC-klagomål mail.docx", "A 60137-2021")</f>
        <v/>
      </c>
      <c r="AA98">
        <f>HYPERLINK("https://klasma.github.io/Logging_2284/tillsyn/A 60137-2021 tillsynsbegäran.docx", "A 60137-2021")</f>
        <v/>
      </c>
      <c r="AB98">
        <f>HYPERLINK("https://klasma.github.io/Logging_2284/tillsynsmail/A 60137-2021 tillsynsbegäran mail.docx", "A 60137-2021")</f>
        <v/>
      </c>
    </row>
    <row r="99" ht="15" customHeight="1">
      <c r="A99" t="inlineStr">
        <is>
          <t>A 46634-2025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46218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2.8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s="2" t="inlineStr">
        <is>
          <t>Skrovlig taggsvamp
Dropptaggsvamp</t>
        </is>
      </c>
      <c r="V99">
        <f>HYPERLINK("https://klasma.github.io/Logging_2284/artfynd/A 46634-2025 artfynd.xlsx", "A 46634-2025")</f>
        <v/>
      </c>
      <c r="W99">
        <f>HYPERLINK("https://klasma.github.io/Logging_2284/kartor/A 46634-2025 karta.png", "A 46634-2025")</f>
        <v/>
      </c>
      <c r="Y99">
        <f>HYPERLINK("https://klasma.github.io/Logging_2284/klagomål/A 46634-2025 FSC-klagomål.docx", "A 46634-2025")</f>
        <v/>
      </c>
      <c r="Z99">
        <f>HYPERLINK("https://klasma.github.io/Logging_2284/klagomålsmail/A 46634-2025 FSC-klagomål mail.docx", "A 46634-2025")</f>
        <v/>
      </c>
      <c r="AA99">
        <f>HYPERLINK("https://klasma.github.io/Logging_2284/tillsyn/A 46634-2025 tillsynsbegäran.docx", "A 46634-2025")</f>
        <v/>
      </c>
      <c r="AB99">
        <f>HYPERLINK("https://klasma.github.io/Logging_2284/tillsynsmail/A 46634-2025 tillsynsbegäran mail.docx", "A 46634-2025")</f>
        <v/>
      </c>
    </row>
    <row r="100" ht="15" customHeight="1">
      <c r="A100" t="inlineStr">
        <is>
          <t>A 62080-2022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44918</v>
      </c>
      <c r="E100" s="1" t="n">
        <v>46218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SCA</t>
        </is>
      </c>
      <c r="I100" t="n">
        <v>4.8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3</v>
      </c>
      <c r="U100" s="2" t="inlineStr">
        <is>
          <t>Garnlav
Tretåig hackspett</t>
        </is>
      </c>
      <c r="V100">
        <f>HYPERLINK("https://klasma.github.io/Logging_2284/artfynd/A 62080-2022 artfynd.xlsx", "A 62080-2022")</f>
        <v/>
      </c>
      <c r="W100">
        <f>HYPERLINK("https://klasma.github.io/Logging_2284/kartor/A 62080-2022 karta.png", "A 62080-2022")</f>
        <v/>
      </c>
      <c r="Y100">
        <f>HYPERLINK("https://klasma.github.io/Logging_2284/klagomål/A 62080-2022 FSC-klagomål.docx", "A 62080-2022")</f>
        <v/>
      </c>
      <c r="Z100">
        <f>HYPERLINK("https://klasma.github.io/Logging_2284/klagomålsmail/A 62080-2022 FSC-klagomål mail.docx", "A 62080-2022")</f>
        <v/>
      </c>
      <c r="AA100">
        <f>HYPERLINK("https://klasma.github.io/Logging_2284/tillsyn/A 62080-2022 tillsynsbegäran.docx", "A 62080-2022")</f>
        <v/>
      </c>
      <c r="AB100">
        <f>HYPERLINK("https://klasma.github.io/Logging_2284/tillsynsmail/A 62080-2022 tillsynsbegäran mail.docx", "A 62080-2022")</f>
        <v/>
      </c>
      <c r="AC100">
        <f>HYPERLINK("https://klasma.github.io/Logging_2284/fåglar/A 62080-2022 prioriterade fågelarter.docx", "A 62080-2022")</f>
        <v/>
      </c>
    </row>
    <row r="101" ht="15" customHeight="1">
      <c r="A101" t="inlineStr">
        <is>
          <t>A 61515-2024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45646</v>
      </c>
      <c r="E101" s="1" t="n">
        <v>46218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2.5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s="2" t="inlineStr">
        <is>
          <t>Dropptaggsvamp
Motaggsvamp</t>
        </is>
      </c>
      <c r="V101">
        <f>HYPERLINK("https://klasma.github.io/Logging_2284/artfynd/A 61515-2024 artfynd.xlsx", "A 61515-2024")</f>
        <v/>
      </c>
      <c r="W101">
        <f>HYPERLINK("https://klasma.github.io/Logging_2284/kartor/A 61515-2024 karta.png", "A 61515-2024")</f>
        <v/>
      </c>
      <c r="Y101">
        <f>HYPERLINK("https://klasma.github.io/Logging_2284/klagomål/A 61515-2024 FSC-klagomål.docx", "A 61515-2024")</f>
        <v/>
      </c>
      <c r="Z101">
        <f>HYPERLINK("https://klasma.github.io/Logging_2284/klagomålsmail/A 61515-2024 FSC-klagomål mail.docx", "A 61515-2024")</f>
        <v/>
      </c>
      <c r="AA101">
        <f>HYPERLINK("https://klasma.github.io/Logging_2284/tillsyn/A 61515-2024 tillsynsbegäran.docx", "A 61515-2024")</f>
        <v/>
      </c>
      <c r="AB101">
        <f>HYPERLINK("https://klasma.github.io/Logging_2284/tillsynsmail/A 61515-2024 tillsynsbegäran mail.docx", "A 61515-2024")</f>
        <v/>
      </c>
    </row>
    <row r="102" ht="15" customHeight="1">
      <c r="A102" t="inlineStr">
        <is>
          <t>A 2853-2025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45677</v>
      </c>
      <c r="E102" s="1" t="n">
        <v>46218</v>
      </c>
      <c r="F102" t="inlineStr">
        <is>
          <t>VÄSTERNORRLANDS LÄN</t>
        </is>
      </c>
      <c r="G102" t="inlineStr">
        <is>
          <t>ÖRNSKÖLDSVIK</t>
        </is>
      </c>
      <c r="I102" t="n">
        <v>0.7</v>
      </c>
      <c r="J102" t="n">
        <v>1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s="2" t="inlineStr">
        <is>
          <t>Lavskrika
Lunglav</t>
        </is>
      </c>
      <c r="V102">
        <f>HYPERLINK("https://klasma.github.io/Logging_2284/artfynd/A 2853-2025 artfynd.xlsx", "A 2853-2025")</f>
        <v/>
      </c>
      <c r="W102">
        <f>HYPERLINK("https://klasma.github.io/Logging_2284/kartor/A 2853-2025 karta.png", "A 2853-2025")</f>
        <v/>
      </c>
      <c r="Y102">
        <f>HYPERLINK("https://klasma.github.io/Logging_2284/klagomål/A 2853-2025 FSC-klagomål.docx", "A 2853-2025")</f>
        <v/>
      </c>
      <c r="Z102">
        <f>HYPERLINK("https://klasma.github.io/Logging_2284/klagomålsmail/A 2853-2025 FSC-klagomål mail.docx", "A 2853-2025")</f>
        <v/>
      </c>
      <c r="AA102">
        <f>HYPERLINK("https://klasma.github.io/Logging_2284/tillsyn/A 2853-2025 tillsynsbegäran.docx", "A 2853-2025")</f>
        <v/>
      </c>
      <c r="AB102">
        <f>HYPERLINK("https://klasma.github.io/Logging_2284/tillsynsmail/A 2853-2025 tillsynsbegäran mail.docx", "A 2853-2025")</f>
        <v/>
      </c>
      <c r="AC102">
        <f>HYPERLINK("https://klasma.github.io/Logging_2284/fåglar/A 2853-2025 prioriterade fågelarter.docx", "A 2853-2025")</f>
        <v/>
      </c>
    </row>
    <row r="103" ht="15" customHeight="1">
      <c r="A103" t="inlineStr">
        <is>
          <t>A 50351-2023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46218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4.9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s="2" t="inlineStr">
        <is>
          <t>Lunglav
Bårdlav</t>
        </is>
      </c>
      <c r="V103">
        <f>HYPERLINK("https://klasma.github.io/Logging_2284/artfynd/A 50351-2023 artfynd.xlsx", "A 50351-2023")</f>
        <v/>
      </c>
      <c r="W103">
        <f>HYPERLINK("https://klasma.github.io/Logging_2284/kartor/A 50351-2023 karta.png", "A 50351-2023")</f>
        <v/>
      </c>
      <c r="Y103">
        <f>HYPERLINK("https://klasma.github.io/Logging_2284/klagomål/A 50351-2023 FSC-klagomål.docx", "A 50351-2023")</f>
        <v/>
      </c>
      <c r="Z103">
        <f>HYPERLINK("https://klasma.github.io/Logging_2284/klagomålsmail/A 50351-2023 FSC-klagomål mail.docx", "A 50351-2023")</f>
        <v/>
      </c>
      <c r="AA103">
        <f>HYPERLINK("https://klasma.github.io/Logging_2284/tillsyn/A 50351-2023 tillsynsbegäran.docx", "A 50351-2023")</f>
        <v/>
      </c>
      <c r="AB103">
        <f>HYPERLINK("https://klasma.github.io/Logging_2284/tillsynsmail/A 50351-2023 tillsynsbegäran mail.docx", "A 50351-2023")</f>
        <v/>
      </c>
    </row>
    <row r="104" ht="15" customHeight="1">
      <c r="A104" t="inlineStr">
        <is>
          <t>A 52732-2025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46218</v>
      </c>
      <c r="F104" t="inlineStr">
        <is>
          <t>VÄSTERNORRLANDS LÄN</t>
        </is>
      </c>
      <c r="G104" t="inlineStr">
        <is>
          <t>ÖRNSKÖLDSVIK</t>
        </is>
      </c>
      <c r="I104" t="n">
        <v>22.6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s="2" t="inlineStr">
        <is>
          <t>Lunglav
Stuplav</t>
        </is>
      </c>
      <c r="V104">
        <f>HYPERLINK("https://klasma.github.io/Logging_2284/artfynd/A 52732-2025 artfynd.xlsx", "A 52732-2025")</f>
        <v/>
      </c>
      <c r="W104">
        <f>HYPERLINK("https://klasma.github.io/Logging_2284/kartor/A 52732-2025 karta.png", "A 52732-2025")</f>
        <v/>
      </c>
      <c r="Y104">
        <f>HYPERLINK("https://klasma.github.io/Logging_2284/klagomål/A 52732-2025 FSC-klagomål.docx", "A 52732-2025")</f>
        <v/>
      </c>
      <c r="Z104">
        <f>HYPERLINK("https://klasma.github.io/Logging_2284/klagomålsmail/A 52732-2025 FSC-klagomål mail.docx", "A 52732-2025")</f>
        <v/>
      </c>
      <c r="AA104">
        <f>HYPERLINK("https://klasma.github.io/Logging_2284/tillsyn/A 52732-2025 tillsynsbegäran.docx", "A 52732-2025")</f>
        <v/>
      </c>
      <c r="AB104">
        <f>HYPERLINK("https://klasma.github.io/Logging_2284/tillsynsmail/A 52732-2025 tillsynsbegäran mail.docx", "A 52732-2025")</f>
        <v/>
      </c>
    </row>
    <row r="105" ht="15" customHeight="1">
      <c r="A105" t="inlineStr">
        <is>
          <t>A 1485-2024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45305</v>
      </c>
      <c r="E105" s="1" t="n">
        <v>46218</v>
      </c>
      <c r="F105" t="inlineStr">
        <is>
          <t>VÄSTERNORRLANDS LÄN</t>
        </is>
      </c>
      <c r="G105" t="inlineStr">
        <is>
          <t>ÖRNSKÖLDSVIK</t>
        </is>
      </c>
      <c r="I105" t="n">
        <v>3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s="2" t="inlineStr">
        <is>
          <t>Backtimjan
Vanlig padda</t>
        </is>
      </c>
      <c r="V105">
        <f>HYPERLINK("https://klasma.github.io/Logging_2284/artfynd/A 1485-2024 artfynd.xlsx", "A 1485-2024")</f>
        <v/>
      </c>
      <c r="W105">
        <f>HYPERLINK("https://klasma.github.io/Logging_2284/kartor/A 1485-2024 karta.png", "A 1485-2024")</f>
        <v/>
      </c>
      <c r="Y105">
        <f>HYPERLINK("https://klasma.github.io/Logging_2284/klagomål/A 1485-2024 FSC-klagomål.docx", "A 1485-2024")</f>
        <v/>
      </c>
      <c r="Z105">
        <f>HYPERLINK("https://klasma.github.io/Logging_2284/klagomålsmail/A 1485-2024 FSC-klagomål mail.docx", "A 1485-2024")</f>
        <v/>
      </c>
      <c r="AA105">
        <f>HYPERLINK("https://klasma.github.io/Logging_2284/tillsyn/A 1485-2024 tillsynsbegäran.docx", "A 1485-2024")</f>
        <v/>
      </c>
      <c r="AB105">
        <f>HYPERLINK("https://klasma.github.io/Logging_2284/tillsynsmail/A 1485-2024 tillsynsbegäran mail.docx", "A 1485-2024")</f>
        <v/>
      </c>
    </row>
    <row r="106" ht="15" customHeight="1">
      <c r="A106" t="inlineStr">
        <is>
          <t>A 4428-2023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44956</v>
      </c>
      <c r="E106" s="1" t="n">
        <v>46218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Kyrkan</t>
        </is>
      </c>
      <c r="I106" t="n">
        <v>1.3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s="2" t="inlineStr">
        <is>
          <t>Igelkott
Nötkråka</t>
        </is>
      </c>
      <c r="V106">
        <f>HYPERLINK("https://klasma.github.io/Logging_2284/artfynd/A 4428-2023 artfynd.xlsx", "A 4428-2023")</f>
        <v/>
      </c>
      <c r="W106">
        <f>HYPERLINK("https://klasma.github.io/Logging_2284/kartor/A 4428-2023 karta.png", "A 4428-2023")</f>
        <v/>
      </c>
      <c r="Y106">
        <f>HYPERLINK("https://klasma.github.io/Logging_2284/klagomål/A 4428-2023 FSC-klagomål.docx", "A 4428-2023")</f>
        <v/>
      </c>
      <c r="Z106">
        <f>HYPERLINK("https://klasma.github.io/Logging_2284/klagomålsmail/A 4428-2023 FSC-klagomål mail.docx", "A 4428-2023")</f>
        <v/>
      </c>
      <c r="AA106">
        <f>HYPERLINK("https://klasma.github.io/Logging_2284/tillsyn/A 4428-2023 tillsynsbegäran.docx", "A 4428-2023")</f>
        <v/>
      </c>
      <c r="AB106">
        <f>HYPERLINK("https://klasma.github.io/Logging_2284/tillsynsmail/A 4428-2023 tillsynsbegäran mail.docx", "A 4428-2023")</f>
        <v/>
      </c>
      <c r="AC106">
        <f>HYPERLINK("https://klasma.github.io/Logging_2284/fåglar/A 4428-2023 prioriterade fågelarter.docx", "A 4428-2023")</f>
        <v/>
      </c>
    </row>
    <row r="107" ht="15" customHeight="1">
      <c r="A107" t="inlineStr">
        <is>
          <t>A 50767-2024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46218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2.7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s="2" t="inlineStr">
        <is>
          <t>Ullticka
Vedticka</t>
        </is>
      </c>
      <c r="V107">
        <f>HYPERLINK("https://klasma.github.io/Logging_2284/artfynd/A 50767-2024 artfynd.xlsx", "A 50767-2024")</f>
        <v/>
      </c>
      <c r="W107">
        <f>HYPERLINK("https://klasma.github.io/Logging_2284/kartor/A 50767-2024 karta.png", "A 50767-2024")</f>
        <v/>
      </c>
      <c r="Y107">
        <f>HYPERLINK("https://klasma.github.io/Logging_2284/klagomål/A 50767-2024 FSC-klagomål.docx", "A 50767-2024")</f>
        <v/>
      </c>
      <c r="Z107">
        <f>HYPERLINK("https://klasma.github.io/Logging_2284/klagomålsmail/A 50767-2024 FSC-klagomål mail.docx", "A 50767-2024")</f>
        <v/>
      </c>
      <c r="AA107">
        <f>HYPERLINK("https://klasma.github.io/Logging_2284/tillsyn/A 50767-2024 tillsynsbegäran.docx", "A 50767-2024")</f>
        <v/>
      </c>
      <c r="AB107">
        <f>HYPERLINK("https://klasma.github.io/Logging_2284/tillsynsmail/A 50767-2024 tillsynsbegäran mail.docx", "A 50767-2024")</f>
        <v/>
      </c>
    </row>
    <row r="108" ht="15" customHeight="1">
      <c r="A108" t="inlineStr">
        <is>
          <t>A 61401-2025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46001</v>
      </c>
      <c r="E108" s="1" t="n">
        <v>46218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0.5</v>
      </c>
      <c r="J108" t="n">
        <v>1</v>
      </c>
      <c r="K108" t="n">
        <v>1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s="2" t="inlineStr">
        <is>
          <t>Bombmurkla
Vedticka</t>
        </is>
      </c>
      <c r="V108">
        <f>HYPERLINK("https://klasma.github.io/Logging_2284/artfynd/A 61401-2025 artfynd.xlsx", "A 61401-2025")</f>
        <v/>
      </c>
      <c r="W108">
        <f>HYPERLINK("https://klasma.github.io/Logging_2284/kartor/A 61401-2025 karta.png", "A 61401-2025")</f>
        <v/>
      </c>
      <c r="Y108">
        <f>HYPERLINK("https://klasma.github.io/Logging_2284/klagomål/A 61401-2025 FSC-klagomål.docx", "A 61401-2025")</f>
        <v/>
      </c>
      <c r="Z108">
        <f>HYPERLINK("https://klasma.github.io/Logging_2284/klagomålsmail/A 61401-2025 FSC-klagomål mail.docx", "A 61401-2025")</f>
        <v/>
      </c>
      <c r="AA108">
        <f>HYPERLINK("https://klasma.github.io/Logging_2284/tillsyn/A 61401-2025 tillsynsbegäran.docx", "A 61401-2025")</f>
        <v/>
      </c>
      <c r="AB108">
        <f>HYPERLINK("https://klasma.github.io/Logging_2284/tillsynsmail/A 61401-2025 tillsynsbegäran mail.docx", "A 61401-2025")</f>
        <v/>
      </c>
    </row>
    <row r="109" ht="15" customHeight="1">
      <c r="A109" t="inlineStr">
        <is>
          <t>A 38438-2025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45883</v>
      </c>
      <c r="E109" s="1" t="n">
        <v>46218</v>
      </c>
      <c r="F109" t="inlineStr">
        <is>
          <t>VÄSTERNORRLANDS LÄN</t>
        </is>
      </c>
      <c r="G109" t="inlineStr">
        <is>
          <t>ÖRNSKÖLDSVIK</t>
        </is>
      </c>
      <c r="I109" t="n">
        <v>6.2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s="2" t="inlineStr">
        <is>
          <t>Fiskgjuse
Havsörn</t>
        </is>
      </c>
      <c r="V109">
        <f>HYPERLINK("https://klasma.github.io/Logging_2284/artfynd/A 38438-2025 artfynd.xlsx", "A 38438-2025")</f>
        <v/>
      </c>
      <c r="W109">
        <f>HYPERLINK("https://klasma.github.io/Logging_2284/kartor/A 38438-2025 karta.png", "A 38438-2025")</f>
        <v/>
      </c>
      <c r="Y109">
        <f>HYPERLINK("https://klasma.github.io/Logging_2284/klagomål/A 38438-2025 FSC-klagomål.docx", "A 38438-2025")</f>
        <v/>
      </c>
      <c r="Z109">
        <f>HYPERLINK("https://klasma.github.io/Logging_2284/klagomålsmail/A 38438-2025 FSC-klagomål mail.docx", "A 38438-2025")</f>
        <v/>
      </c>
      <c r="AA109">
        <f>HYPERLINK("https://klasma.github.io/Logging_2284/tillsyn/A 38438-2025 tillsynsbegäran.docx", "A 38438-2025")</f>
        <v/>
      </c>
      <c r="AB109">
        <f>HYPERLINK("https://klasma.github.io/Logging_2284/tillsynsmail/A 38438-2025 tillsynsbegäran mail.docx", "A 38438-2025")</f>
        <v/>
      </c>
      <c r="AC109">
        <f>HYPERLINK("https://klasma.github.io/Logging_2284/fåglar/A 38438-2025 prioriterade fågelarter.docx", "A 38438-2025")</f>
        <v/>
      </c>
    </row>
    <row r="110" ht="15" customHeight="1">
      <c r="A110" t="inlineStr">
        <is>
          <t>A 61395-2025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46001</v>
      </c>
      <c r="E110" s="1" t="n">
        <v>46218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0.3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s="2" t="inlineStr">
        <is>
          <t>Mindre hackspett
Spillkråka</t>
        </is>
      </c>
      <c r="V110">
        <f>HYPERLINK("https://klasma.github.io/Logging_2284/artfynd/A 61395-2025 artfynd.xlsx", "A 61395-2025")</f>
        <v/>
      </c>
      <c r="W110">
        <f>HYPERLINK("https://klasma.github.io/Logging_2284/kartor/A 61395-2025 karta.png", "A 61395-2025")</f>
        <v/>
      </c>
      <c r="Y110">
        <f>HYPERLINK("https://klasma.github.io/Logging_2284/klagomål/A 61395-2025 FSC-klagomål.docx", "A 61395-2025")</f>
        <v/>
      </c>
      <c r="Z110">
        <f>HYPERLINK("https://klasma.github.io/Logging_2284/klagomålsmail/A 61395-2025 FSC-klagomål mail.docx", "A 61395-2025")</f>
        <v/>
      </c>
      <c r="AA110">
        <f>HYPERLINK("https://klasma.github.io/Logging_2284/tillsyn/A 61395-2025 tillsynsbegäran.docx", "A 61395-2025")</f>
        <v/>
      </c>
      <c r="AB110">
        <f>HYPERLINK("https://klasma.github.io/Logging_2284/tillsynsmail/A 61395-2025 tillsynsbegäran mail.docx", "A 61395-2025")</f>
        <v/>
      </c>
      <c r="AC110">
        <f>HYPERLINK("https://klasma.github.io/Logging_2284/fåglar/A 61395-2025 prioriterade fågelarter.docx", "A 61395-2025")</f>
        <v/>
      </c>
    </row>
    <row r="111" ht="15" customHeight="1">
      <c r="A111" t="inlineStr">
        <is>
          <t>A 3026-2023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44945</v>
      </c>
      <c r="E111" s="1" t="n">
        <v>46218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SCA</t>
        </is>
      </c>
      <c r="I111" t="n">
        <v>7.6</v>
      </c>
      <c r="J111" t="n">
        <v>1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s="2" t="inlineStr">
        <is>
          <t>Garnlav
Lavskrika</t>
        </is>
      </c>
      <c r="V111">
        <f>HYPERLINK("https://klasma.github.io/Logging_2284/artfynd/A 3026-2023 artfynd.xlsx", "A 3026-2023")</f>
        <v/>
      </c>
      <c r="W111">
        <f>HYPERLINK("https://klasma.github.io/Logging_2284/kartor/A 3026-2023 karta.png", "A 3026-2023")</f>
        <v/>
      </c>
      <c r="Y111">
        <f>HYPERLINK("https://klasma.github.io/Logging_2284/klagomål/A 3026-2023 FSC-klagomål.docx", "A 3026-2023")</f>
        <v/>
      </c>
      <c r="Z111">
        <f>HYPERLINK("https://klasma.github.io/Logging_2284/klagomålsmail/A 3026-2023 FSC-klagomål mail.docx", "A 3026-2023")</f>
        <v/>
      </c>
      <c r="AA111">
        <f>HYPERLINK("https://klasma.github.io/Logging_2284/tillsyn/A 3026-2023 tillsynsbegäran.docx", "A 3026-2023")</f>
        <v/>
      </c>
      <c r="AB111">
        <f>HYPERLINK("https://klasma.github.io/Logging_2284/tillsynsmail/A 3026-2023 tillsynsbegäran mail.docx", "A 3026-2023")</f>
        <v/>
      </c>
      <c r="AC111">
        <f>HYPERLINK("https://klasma.github.io/Logging_2284/fåglar/A 3026-2023 prioriterade fågelarter.docx", "A 3026-2023")</f>
        <v/>
      </c>
    </row>
    <row r="112" ht="15" customHeight="1">
      <c r="A112" t="inlineStr">
        <is>
          <t>A 61658-2025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46218</v>
      </c>
      <c r="F112" t="inlineStr">
        <is>
          <t>VÄSTERNORRLANDS LÄN</t>
        </is>
      </c>
      <c r="G112" t="inlineStr">
        <is>
          <t>ÖRNSKÖLDSVIK</t>
        </is>
      </c>
      <c r="I112" t="n">
        <v>6.3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s="2" t="inlineStr">
        <is>
          <t>Lunglav
Skinnlav</t>
        </is>
      </c>
      <c r="V112">
        <f>HYPERLINK("https://klasma.github.io/Logging_2284/artfynd/A 61658-2025 artfynd.xlsx", "A 61658-2025")</f>
        <v/>
      </c>
      <c r="W112">
        <f>HYPERLINK("https://klasma.github.io/Logging_2284/kartor/A 61658-2025 karta.png", "A 61658-2025")</f>
        <v/>
      </c>
      <c r="Y112">
        <f>HYPERLINK("https://klasma.github.io/Logging_2284/klagomål/A 61658-2025 FSC-klagomål.docx", "A 61658-2025")</f>
        <v/>
      </c>
      <c r="Z112">
        <f>HYPERLINK("https://klasma.github.io/Logging_2284/klagomålsmail/A 61658-2025 FSC-klagomål mail.docx", "A 61658-2025")</f>
        <v/>
      </c>
      <c r="AA112">
        <f>HYPERLINK("https://klasma.github.io/Logging_2284/tillsyn/A 61658-2025 tillsynsbegäran.docx", "A 61658-2025")</f>
        <v/>
      </c>
      <c r="AB112">
        <f>HYPERLINK("https://klasma.github.io/Logging_2284/tillsynsmail/A 61658-2025 tillsynsbegäran mail.docx", "A 61658-2025")</f>
        <v/>
      </c>
    </row>
    <row r="113" ht="15" customHeight="1">
      <c r="A113" t="inlineStr">
        <is>
          <t>A 22498-2024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45447</v>
      </c>
      <c r="E113" s="1" t="n">
        <v>46218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0.6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s="2" t="inlineStr">
        <is>
          <t>Lunglav
Ullticka</t>
        </is>
      </c>
      <c r="V113">
        <f>HYPERLINK("https://klasma.github.io/Logging_2284/artfynd/A 22498-2024 artfynd.xlsx", "A 22498-2024")</f>
        <v/>
      </c>
      <c r="W113">
        <f>HYPERLINK("https://klasma.github.io/Logging_2284/kartor/A 22498-2024 karta.png", "A 22498-2024")</f>
        <v/>
      </c>
      <c r="Y113">
        <f>HYPERLINK("https://klasma.github.io/Logging_2284/klagomål/A 22498-2024 FSC-klagomål.docx", "A 22498-2024")</f>
        <v/>
      </c>
      <c r="Z113">
        <f>HYPERLINK("https://klasma.github.io/Logging_2284/klagomålsmail/A 22498-2024 FSC-klagomål mail.docx", "A 22498-2024")</f>
        <v/>
      </c>
      <c r="AA113">
        <f>HYPERLINK("https://klasma.github.io/Logging_2284/tillsyn/A 22498-2024 tillsynsbegäran.docx", "A 22498-2024")</f>
        <v/>
      </c>
      <c r="AB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7686-2026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46062</v>
      </c>
      <c r="E114" s="1" t="n">
        <v>46218</v>
      </c>
      <c r="F114" t="inlineStr">
        <is>
          <t>VÄSTERNORRLANDS LÄN</t>
        </is>
      </c>
      <c r="G114" t="inlineStr">
        <is>
          <t>ÖRNSKÖLDSVIK</t>
        </is>
      </c>
      <c r="I114" t="n">
        <v>4.2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3</v>
      </c>
      <c r="U114" s="2" t="inlineStr">
        <is>
          <t>Dropptaggsvamp
Skogsduva</t>
        </is>
      </c>
      <c r="V114">
        <f>HYPERLINK("https://klasma.github.io/Logging_2284/artfynd/A 7686-2026 artfynd.xlsx", "A 7686-2026")</f>
        <v/>
      </c>
      <c r="W114">
        <f>HYPERLINK("https://klasma.github.io/Logging_2284/kartor/A 7686-2026 karta.png", "A 7686-2026")</f>
        <v/>
      </c>
      <c r="Y114">
        <f>HYPERLINK("https://klasma.github.io/Logging_2284/klagomål/A 7686-2026 FSC-klagomål.docx", "A 7686-2026")</f>
        <v/>
      </c>
      <c r="Z114">
        <f>HYPERLINK("https://klasma.github.io/Logging_2284/klagomålsmail/A 7686-2026 FSC-klagomål mail.docx", "A 7686-2026")</f>
        <v/>
      </c>
      <c r="AA114">
        <f>HYPERLINK("https://klasma.github.io/Logging_2284/tillsyn/A 7686-2026 tillsynsbegäran.docx", "A 7686-2026")</f>
        <v/>
      </c>
      <c r="AB114">
        <f>HYPERLINK("https://klasma.github.io/Logging_2284/tillsynsmail/A 7686-2026 tillsynsbegäran mail.docx", "A 7686-2026")</f>
        <v/>
      </c>
    </row>
    <row r="115" ht="15" customHeight="1">
      <c r="A115" t="inlineStr">
        <is>
          <t>A 11197-2026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46080</v>
      </c>
      <c r="E115" s="1" t="n">
        <v>46218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2.9</v>
      </c>
      <c r="J115" t="n">
        <v>0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s="2" t="inlineStr">
        <is>
          <t>Korallblylav
Skinnlav</t>
        </is>
      </c>
      <c r="V115">
        <f>HYPERLINK("https://klasma.github.io/Logging_2284/artfynd/A 11197-2026 artfynd.xlsx", "A 11197-2026")</f>
        <v/>
      </c>
      <c r="W115">
        <f>HYPERLINK("https://klasma.github.io/Logging_2284/kartor/A 11197-2026 karta.png", "A 11197-2026")</f>
        <v/>
      </c>
      <c r="Y115">
        <f>HYPERLINK("https://klasma.github.io/Logging_2284/klagomål/A 11197-2026 FSC-klagomål.docx", "A 11197-2026")</f>
        <v/>
      </c>
      <c r="Z115">
        <f>HYPERLINK("https://klasma.github.io/Logging_2284/klagomålsmail/A 11197-2026 FSC-klagomål mail.docx", "A 11197-2026")</f>
        <v/>
      </c>
      <c r="AA115">
        <f>HYPERLINK("https://klasma.github.io/Logging_2284/tillsyn/A 11197-2026 tillsynsbegäran.docx", "A 11197-2026")</f>
        <v/>
      </c>
      <c r="AB115">
        <f>HYPERLINK("https://klasma.github.io/Logging_2284/tillsynsmail/A 11197-2026 tillsynsbegäran mail.docx", "A 11197-2026")</f>
        <v/>
      </c>
    </row>
    <row r="116" ht="15" customHeight="1">
      <c r="A116" t="inlineStr">
        <is>
          <t>A 14132-2026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46099</v>
      </c>
      <c r="E116" s="1" t="n">
        <v>46218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3.3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7</v>
      </c>
      <c r="U116" s="2" t="inlineStr">
        <is>
          <t>Dvärgbägarlav
Kolflarnlav</t>
        </is>
      </c>
      <c r="V116">
        <f>HYPERLINK("https://klasma.github.io/Logging_2284/artfynd/A 14132-2026 artfynd.xlsx", "A 14132-2026")</f>
        <v/>
      </c>
      <c r="W116">
        <f>HYPERLINK("https://klasma.github.io/Logging_2284/kartor/A 14132-2026 karta.png", "A 14132-2026")</f>
        <v/>
      </c>
      <c r="Y116">
        <f>HYPERLINK("https://klasma.github.io/Logging_2284/klagomål/A 14132-2026 FSC-klagomål.docx", "A 14132-2026")</f>
        <v/>
      </c>
      <c r="Z116">
        <f>HYPERLINK("https://klasma.github.io/Logging_2284/klagomålsmail/A 14132-2026 FSC-klagomål mail.docx", "A 14132-2026")</f>
        <v/>
      </c>
      <c r="AA116">
        <f>HYPERLINK("https://klasma.github.io/Logging_2284/tillsyn/A 14132-2026 tillsynsbegäran.docx", "A 14132-2026")</f>
        <v/>
      </c>
      <c r="AB116">
        <f>HYPERLINK("https://klasma.github.io/Logging_2284/tillsynsmail/A 14132-2026 tillsynsbegäran mail.docx", "A 14132-2026")</f>
        <v/>
      </c>
    </row>
    <row r="117" ht="15" customHeight="1">
      <c r="A117" t="inlineStr">
        <is>
          <t>A 14140-2026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46099</v>
      </c>
      <c r="E117" s="1" t="n">
        <v>46218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3.3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7</v>
      </c>
      <c r="U117" s="2" t="inlineStr">
        <is>
          <t>Dvärgbägarlav
Kolflarnlav</t>
        </is>
      </c>
      <c r="V117">
        <f>HYPERLINK("https://klasma.github.io/Logging_2284/artfynd/A 14140-2026 artfynd.xlsx", "A 14140-2026")</f>
        <v/>
      </c>
      <c r="W117">
        <f>HYPERLINK("https://klasma.github.io/Logging_2284/kartor/A 14140-2026 karta.png", "A 14140-2026")</f>
        <v/>
      </c>
      <c r="Y117">
        <f>HYPERLINK("https://klasma.github.io/Logging_2284/klagomål/A 14140-2026 FSC-klagomål.docx", "A 14140-2026")</f>
        <v/>
      </c>
      <c r="Z117">
        <f>HYPERLINK("https://klasma.github.io/Logging_2284/klagomålsmail/A 14140-2026 FSC-klagomål mail.docx", "A 14140-2026")</f>
        <v/>
      </c>
      <c r="AA117">
        <f>HYPERLINK("https://klasma.github.io/Logging_2284/tillsyn/A 14140-2026 tillsynsbegäran.docx", "A 14140-2026")</f>
        <v/>
      </c>
      <c r="AB117">
        <f>HYPERLINK("https://klasma.github.io/Logging_2284/tillsynsmail/A 14140-2026 tillsynsbegäran mail.docx", "A 14140-2026")</f>
        <v/>
      </c>
    </row>
    <row r="118" ht="15" customHeight="1">
      <c r="A118" t="inlineStr">
        <is>
          <t>A 18367-2026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46125</v>
      </c>
      <c r="E118" s="1" t="n">
        <v>46218</v>
      </c>
      <c r="F118" t="inlineStr">
        <is>
          <t>VÄSTERNORRLANDS LÄN</t>
        </is>
      </c>
      <c r="G118" t="inlineStr">
        <is>
          <t>ÖRNSKÖLDSVIK</t>
        </is>
      </c>
      <c r="I118" t="n">
        <v>6.2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s="2" t="inlineStr">
        <is>
          <t>Lunglav
Skinnlav</t>
        </is>
      </c>
      <c r="V118">
        <f>HYPERLINK("https://klasma.github.io/Logging_2284/artfynd/A 18367-2026 artfynd.xlsx", "A 18367-2026")</f>
        <v/>
      </c>
      <c r="W118">
        <f>HYPERLINK("https://klasma.github.io/Logging_2284/kartor/A 18367-2026 karta.png", "A 18367-2026")</f>
        <v/>
      </c>
      <c r="Y118">
        <f>HYPERLINK("https://klasma.github.io/Logging_2284/klagomål/A 18367-2026 FSC-klagomål.docx", "A 18367-2026")</f>
        <v/>
      </c>
      <c r="Z118">
        <f>HYPERLINK("https://klasma.github.io/Logging_2284/klagomålsmail/A 18367-2026 FSC-klagomål mail.docx", "A 18367-2026")</f>
        <v/>
      </c>
      <c r="AA118">
        <f>HYPERLINK("https://klasma.github.io/Logging_2284/tillsyn/A 18367-2026 tillsynsbegäran.docx", "A 18367-2026")</f>
        <v/>
      </c>
      <c r="AB118">
        <f>HYPERLINK("https://klasma.github.io/Logging_2284/tillsynsmail/A 18367-2026 tillsynsbegäran mail.docx", "A 18367-2026")</f>
        <v/>
      </c>
    </row>
    <row r="119" ht="15" customHeight="1">
      <c r="A119" t="inlineStr">
        <is>
          <t>A 25514-2026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46177</v>
      </c>
      <c r="E119" s="1" t="n">
        <v>46218</v>
      </c>
      <c r="F119" t="inlineStr">
        <is>
          <t>VÄSTERNORRLANDS LÄN</t>
        </is>
      </c>
      <c r="G119" t="inlineStr">
        <is>
          <t>ÖRNSKÖLDSVIK</t>
        </is>
      </c>
      <c r="I119" t="n">
        <v>2.4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s="2" t="inlineStr">
        <is>
          <t>Harticka
Ullticka</t>
        </is>
      </c>
      <c r="V119">
        <f>HYPERLINK("https://klasma.github.io/Logging_2284/artfynd/A 25514-2026 artfynd.xlsx", "A 25514-2026")</f>
        <v/>
      </c>
      <c r="W119">
        <f>HYPERLINK("https://klasma.github.io/Logging_2284/kartor/A 25514-2026 karta.png", "A 25514-2026")</f>
        <v/>
      </c>
      <c r="Y119">
        <f>HYPERLINK("https://klasma.github.io/Logging_2284/klagomål/A 25514-2026 FSC-klagomål.docx", "A 25514-2026")</f>
        <v/>
      </c>
      <c r="Z119">
        <f>HYPERLINK("https://klasma.github.io/Logging_2284/klagomålsmail/A 25514-2026 FSC-klagomål mail.docx", "A 25514-2026")</f>
        <v/>
      </c>
      <c r="AA119">
        <f>HYPERLINK("https://klasma.github.io/Logging_2284/tillsyn/A 25514-2026 tillsynsbegäran.docx", "A 25514-2026")</f>
        <v/>
      </c>
      <c r="AB119">
        <f>HYPERLINK("https://klasma.github.io/Logging_2284/tillsynsmail/A 25514-2026 tillsynsbegäran mail.docx", "A 25514-2026")</f>
        <v/>
      </c>
    </row>
    <row r="120" ht="15" customHeight="1">
      <c r="A120" t="inlineStr">
        <is>
          <t>S 2154-2022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44677</v>
      </c>
      <c r="E120" s="1" t="n">
        <v>46218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2.7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s="2" t="inlineStr">
        <is>
          <t>Garnlav
Violettgrå tagellav</t>
        </is>
      </c>
      <c r="V120">
        <f>HYPERLINK("https://klasma.github.io/Logging_2284/artfynd/S 2154-2022 artfynd.xlsx", "S 2154-2022")</f>
        <v/>
      </c>
      <c r="W120">
        <f>HYPERLINK("https://klasma.github.io/Logging_2284/kartor/S 2154-2022 karta.png", "S 2154-2022")</f>
        <v/>
      </c>
      <c r="Y120">
        <f>HYPERLINK("https://klasma.github.io/Logging_2284/klagomål/S 2154-2022 FSC-klagomål.docx", "S 2154-2022")</f>
        <v/>
      </c>
      <c r="Z120">
        <f>HYPERLINK("https://klasma.github.io/Logging_2284/klagomålsmail/S 2154-2022 FSC-klagomål mail.docx", "S 2154-2022")</f>
        <v/>
      </c>
      <c r="AA120">
        <f>HYPERLINK("https://klasma.github.io/Logging_2284/tillsyn/S 2154-2022 tillsynsbegäran.docx", "S 2154-2022")</f>
        <v/>
      </c>
      <c r="AB120">
        <f>HYPERLINK("https://klasma.github.io/Logging_2284/tillsynsmail/S 2154-2022 tillsynsbegäran mail.docx", "S 2154-2022")</f>
        <v/>
      </c>
    </row>
    <row r="121" ht="15" customHeight="1">
      <c r="A121" t="inlineStr">
        <is>
          <t>S 956-2026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46113</v>
      </c>
      <c r="E121" s="1" t="n">
        <v>46218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0.9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3</v>
      </c>
      <c r="U121" s="2" t="inlineStr">
        <is>
          <t>Kolflarnlav
Talltaggsvamp</t>
        </is>
      </c>
      <c r="V121">
        <f>HYPERLINK("https://klasma.github.io/Logging_2284/artfynd/S 956-2026 artfynd.xlsx", "S 956-2026")</f>
        <v/>
      </c>
      <c r="W121">
        <f>HYPERLINK("https://klasma.github.io/Logging_2284/kartor/S 956-2026 karta.png", "S 956-2026")</f>
        <v/>
      </c>
      <c r="Y121">
        <f>HYPERLINK("https://klasma.github.io/Logging_2284/klagomål/S 956-2026 FSC-klagomål.docx", "S 956-2026")</f>
        <v/>
      </c>
      <c r="Z121">
        <f>HYPERLINK("https://klasma.github.io/Logging_2284/klagomålsmail/S 956-2026 FSC-klagomål mail.docx", "S 956-2026")</f>
        <v/>
      </c>
      <c r="AA121">
        <f>HYPERLINK("https://klasma.github.io/Logging_2284/tillsyn/S 956-2026 tillsynsbegäran.docx", "S 956-2026")</f>
        <v/>
      </c>
      <c r="AB121">
        <f>HYPERLINK("https://klasma.github.io/Logging_2284/tillsynsmail/S 956-2026 tillsynsbegäran mail.docx", "S 956-2026")</f>
        <v/>
      </c>
    </row>
    <row r="122" ht="15" customHeight="1">
      <c r="A122" t="inlineStr">
        <is>
          <t>S 1041-2026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46125</v>
      </c>
      <c r="E122" s="1" t="n">
        <v>46218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1.1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s="2" t="inlineStr">
        <is>
          <t>Ullticka
Källmossor</t>
        </is>
      </c>
      <c r="V122">
        <f>HYPERLINK("https://klasma.github.io/Logging_2284/artfynd/S 1041-2026 artfynd.xlsx", "S 1041-2026")</f>
        <v/>
      </c>
      <c r="W122">
        <f>HYPERLINK("https://klasma.github.io/Logging_2284/kartor/S 1041-2026 karta.png", "S 1041-2026")</f>
        <v/>
      </c>
      <c r="Y122">
        <f>HYPERLINK("https://klasma.github.io/Logging_2284/klagomål/S 1041-2026 FSC-klagomål.docx", "S 1041-2026")</f>
        <v/>
      </c>
      <c r="Z122">
        <f>HYPERLINK("https://klasma.github.io/Logging_2284/klagomålsmail/S 1041-2026 FSC-klagomål mail.docx", "S 1041-2026")</f>
        <v/>
      </c>
      <c r="AA122">
        <f>HYPERLINK("https://klasma.github.io/Logging_2284/tillsyn/S 1041-2026 tillsynsbegäran.docx", "S 1041-2026")</f>
        <v/>
      </c>
      <c r="AB122">
        <f>HYPERLINK("https://klasma.github.io/Logging_2284/tillsynsmail/S 1041-2026 tillsynsbegäran mail.docx", "S 1041-2026")</f>
        <v/>
      </c>
    </row>
    <row r="123" ht="15" customHeight="1">
      <c r="A123" t="inlineStr">
        <is>
          <t>A 53626-2021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44469</v>
      </c>
      <c r="E123" s="1" t="n">
        <v>46218</v>
      </c>
      <c r="F123" t="inlineStr">
        <is>
          <t>VÄSTERNORRLANDS LÄN</t>
        </is>
      </c>
      <c r="G123" t="inlineStr">
        <is>
          <t>ÖRNSKÖLDSVIK</t>
        </is>
      </c>
      <c r="I123" t="n">
        <v>0.9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Utter</t>
        </is>
      </c>
      <c r="V123">
        <f>HYPERLINK("https://klasma.github.io/Logging_2284/artfynd/A 53626-2021 artfynd.xlsx", "A 53626-2021")</f>
        <v/>
      </c>
      <c r="W123">
        <f>HYPERLINK("https://klasma.github.io/Logging_2284/kartor/A 53626-2021 karta.png", "A 53626-2021")</f>
        <v/>
      </c>
      <c r="Y123">
        <f>HYPERLINK("https://klasma.github.io/Logging_2284/klagomål/A 53626-2021 FSC-klagomål.docx", "A 53626-2021")</f>
        <v/>
      </c>
      <c r="Z123">
        <f>HYPERLINK("https://klasma.github.io/Logging_2284/klagomålsmail/A 53626-2021 FSC-klagomål mail.docx", "A 53626-2021")</f>
        <v/>
      </c>
      <c r="AA123">
        <f>HYPERLINK("https://klasma.github.io/Logging_2284/tillsyn/A 53626-2021 tillsynsbegäran.docx", "A 53626-2021")</f>
        <v/>
      </c>
      <c r="AB123">
        <f>HYPERLINK("https://klasma.github.io/Logging_2284/tillsynsmail/A 53626-2021 tillsynsbegäran mail.docx", "A 53626-2021")</f>
        <v/>
      </c>
    </row>
    <row r="124" ht="15" customHeight="1">
      <c r="A124" t="inlineStr">
        <is>
          <t>A 63394-2021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46218</v>
      </c>
      <c r="F124" t="inlineStr">
        <is>
          <t>VÄSTERNORRLANDS LÄN</t>
        </is>
      </c>
      <c r="G124" t="inlineStr">
        <is>
          <t>ÖRNSKÖLDSVIK</t>
        </is>
      </c>
      <c r="I124" t="n">
        <v>0.7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Järpe</t>
        </is>
      </c>
      <c r="V124">
        <f>HYPERLINK("https://klasma.github.io/Logging_2284/artfynd/A 63394-2021 artfynd.xlsx", "A 63394-2021")</f>
        <v/>
      </c>
      <c r="W124">
        <f>HYPERLINK("https://klasma.github.io/Logging_2284/kartor/A 63394-2021 karta.png", "A 63394-2021")</f>
        <v/>
      </c>
      <c r="Y124">
        <f>HYPERLINK("https://klasma.github.io/Logging_2284/klagomål/A 63394-2021 FSC-klagomål.docx", "A 63394-2021")</f>
        <v/>
      </c>
      <c r="Z124">
        <f>HYPERLINK("https://klasma.github.io/Logging_2284/klagomålsmail/A 63394-2021 FSC-klagomål mail.docx", "A 63394-2021")</f>
        <v/>
      </c>
      <c r="AA124">
        <f>HYPERLINK("https://klasma.github.io/Logging_2284/tillsyn/A 63394-2021 tillsynsbegäran.docx", "A 63394-2021")</f>
        <v/>
      </c>
      <c r="AB124">
        <f>HYPERLINK("https://klasma.github.io/Logging_2284/tillsynsmail/A 63394-2021 tillsynsbegäran mail.docx", "A 63394-2021")</f>
        <v/>
      </c>
      <c r="AC124">
        <f>HYPERLINK("https://klasma.github.io/Logging_2284/fåglar/A 63394-2021 prioriterade fågelarter.docx", "A 63394-2021")</f>
        <v/>
      </c>
    </row>
    <row r="125" ht="15" customHeight="1">
      <c r="A125" t="inlineStr">
        <is>
          <t>A 44442-2021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44435</v>
      </c>
      <c r="E125" s="1" t="n">
        <v>46218</v>
      </c>
      <c r="F125" t="inlineStr">
        <is>
          <t>VÄSTERNORRLANDS LÄN</t>
        </is>
      </c>
      <c r="G125" t="inlineStr">
        <is>
          <t>ÖRNSKÖLDSVIK</t>
        </is>
      </c>
      <c r="I125" t="n">
        <v>0.5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Talltita</t>
        </is>
      </c>
      <c r="V125">
        <f>HYPERLINK("https://klasma.github.io/Logging_2284/artfynd/A 44442-2021 artfynd.xlsx", "A 44442-2021")</f>
        <v/>
      </c>
      <c r="W125">
        <f>HYPERLINK("https://klasma.github.io/Logging_2284/kartor/A 44442-2021 karta.png", "A 44442-2021")</f>
        <v/>
      </c>
      <c r="Y125">
        <f>HYPERLINK("https://klasma.github.io/Logging_2284/klagomål/A 44442-2021 FSC-klagomål.docx", "A 44442-2021")</f>
        <v/>
      </c>
      <c r="Z125">
        <f>HYPERLINK("https://klasma.github.io/Logging_2284/klagomålsmail/A 44442-2021 FSC-klagomål mail.docx", "A 44442-2021")</f>
        <v/>
      </c>
      <c r="AA125">
        <f>HYPERLINK("https://klasma.github.io/Logging_2284/tillsyn/A 44442-2021 tillsynsbegäran.docx", "A 44442-2021")</f>
        <v/>
      </c>
      <c r="AB125">
        <f>HYPERLINK("https://klasma.github.io/Logging_2284/tillsynsmail/A 44442-2021 tillsynsbegäran mail.docx", "A 44442-2021")</f>
        <v/>
      </c>
      <c r="AC125">
        <f>HYPERLINK("https://klasma.github.io/Logging_2284/fåglar/A 44442-2021 prioriterade fågelarter.docx", "A 44442-2021")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46218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Ullticka</t>
        </is>
      </c>
      <c r="V126">
        <f>HYPERLINK("https://klasma.github.io/Logging_2284/artfynd/A 27524-2022 artfynd.xlsx", "A 27524-2022")</f>
        <v/>
      </c>
      <c r="W126">
        <f>HYPERLINK("https://klasma.github.io/Logging_2284/kartor/A 27524-2022 karta.png", "A 27524-2022")</f>
        <v/>
      </c>
      <c r="Y126">
        <f>HYPERLINK("https://klasma.github.io/Logging_2284/klagomål/A 27524-2022 FSC-klagomål.docx", "A 27524-2022")</f>
        <v/>
      </c>
      <c r="Z126">
        <f>HYPERLINK("https://klasma.github.io/Logging_2284/klagomålsmail/A 27524-2022 FSC-klagomål mail.docx", "A 27524-2022")</f>
        <v/>
      </c>
      <c r="AA126">
        <f>HYPERLINK("https://klasma.github.io/Logging_2284/tillsyn/A 27524-2022 tillsynsbegäran.docx", "A 27524-2022")</f>
        <v/>
      </c>
      <c r="AB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46218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Källmossor</t>
        </is>
      </c>
      <c r="V127">
        <f>HYPERLINK("https://klasma.github.io/Logging_2284/artfynd/A 54424-2021 artfynd.xlsx", "A 54424-2021")</f>
        <v/>
      </c>
      <c r="W127">
        <f>HYPERLINK("https://klasma.github.io/Logging_2284/kartor/A 54424-2021 karta.png", "A 54424-2021")</f>
        <v/>
      </c>
      <c r="Y127">
        <f>HYPERLINK("https://klasma.github.io/Logging_2284/klagomål/A 54424-2021 FSC-klagomål.docx", "A 54424-2021")</f>
        <v/>
      </c>
      <c r="Z127">
        <f>HYPERLINK("https://klasma.github.io/Logging_2284/klagomålsmail/A 54424-2021 FSC-klagomål mail.docx", "A 54424-2021")</f>
        <v/>
      </c>
      <c r="AA127">
        <f>HYPERLINK("https://klasma.github.io/Logging_2284/tillsyn/A 54424-2021 tillsynsbegäran.docx", "A 54424-2021")</f>
        <v/>
      </c>
      <c r="AB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46218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Nattviol</t>
        </is>
      </c>
      <c r="V128">
        <f>HYPERLINK("https://klasma.github.io/Logging_2284/artfynd/A 66531-2021 artfynd.xlsx", "A 66531-2021")</f>
        <v/>
      </c>
      <c r="W128">
        <f>HYPERLINK("https://klasma.github.io/Logging_2284/kartor/A 66531-2021 karta.png", "A 66531-2021")</f>
        <v/>
      </c>
      <c r="Y128">
        <f>HYPERLINK("https://klasma.github.io/Logging_2284/klagomål/A 66531-2021 FSC-klagomål.docx", "A 66531-2021")</f>
        <v/>
      </c>
      <c r="Z128">
        <f>HYPERLINK("https://klasma.github.io/Logging_2284/klagomålsmail/A 66531-2021 FSC-klagomål mail.docx", "A 66531-2021")</f>
        <v/>
      </c>
      <c r="AA128">
        <f>HYPERLINK("https://klasma.github.io/Logging_2284/tillsyn/A 66531-2021 tillsynsbegäran.docx", "A 66531-2021")</f>
        <v/>
      </c>
      <c r="AB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45551-2021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44440</v>
      </c>
      <c r="E129" s="1" t="n">
        <v>46218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8.9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Kolflarnlav</t>
        </is>
      </c>
      <c r="V129">
        <f>HYPERLINK("https://klasma.github.io/Logging_2284/artfynd/A 45551-2021 artfynd.xlsx", "A 45551-2021")</f>
        <v/>
      </c>
      <c r="W129">
        <f>HYPERLINK("https://klasma.github.io/Logging_2284/kartor/A 45551-2021 karta.png", "A 45551-2021")</f>
        <v/>
      </c>
      <c r="Y129">
        <f>HYPERLINK("https://klasma.github.io/Logging_2284/klagomål/A 45551-2021 FSC-klagomål.docx", "A 45551-2021")</f>
        <v/>
      </c>
      <c r="Z129">
        <f>HYPERLINK("https://klasma.github.io/Logging_2284/klagomålsmail/A 45551-2021 FSC-klagomål mail.docx", "A 45551-2021")</f>
        <v/>
      </c>
      <c r="AA129">
        <f>HYPERLINK("https://klasma.github.io/Logging_2284/tillsyn/A 45551-2021 tillsynsbegäran.docx", "A 45551-2021")</f>
        <v/>
      </c>
      <c r="AB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37618-2021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44399</v>
      </c>
      <c r="E130" s="1" t="n">
        <v>46218</v>
      </c>
      <c r="F130" t="inlineStr">
        <is>
          <t>VÄSTERNORRLANDS LÄN</t>
        </is>
      </c>
      <c r="G130" t="inlineStr">
        <is>
          <t>ÖRNSKÖLDSVIK</t>
        </is>
      </c>
      <c r="I130" t="n">
        <v>7.1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Luddfingersvamp</t>
        </is>
      </c>
      <c r="V130">
        <f>HYPERLINK("https://klasma.github.io/Logging_2284/artfynd/A 37618-2021 artfynd.xlsx", "A 37618-2021")</f>
        <v/>
      </c>
      <c r="W130">
        <f>HYPERLINK("https://klasma.github.io/Logging_2284/kartor/A 37618-2021 karta.png", "A 37618-2021")</f>
        <v/>
      </c>
      <c r="Y130">
        <f>HYPERLINK("https://klasma.github.io/Logging_2284/klagomål/A 37618-2021 FSC-klagomål.docx", "A 37618-2021")</f>
        <v/>
      </c>
      <c r="Z130">
        <f>HYPERLINK("https://klasma.github.io/Logging_2284/klagomålsmail/A 37618-2021 FSC-klagomål mail.docx", "A 37618-2021")</f>
        <v/>
      </c>
      <c r="AA130">
        <f>HYPERLINK("https://klasma.github.io/Logging_2284/tillsyn/A 37618-2021 tillsynsbegäran.docx", "A 37618-2021")</f>
        <v/>
      </c>
      <c r="AB130">
        <f>HYPERLINK("https://klasma.github.io/Logging_2284/tillsynsmail/A 37618-2021 tillsynsbegäran mail.docx", "A 37618-2021")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46218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s="2" t="inlineStr">
        <is>
          <t>Lunglav</t>
        </is>
      </c>
      <c r="V131">
        <f>HYPERLINK("https://klasma.github.io/Logging_2284/artfynd/A 1471-2022 artfynd.xlsx", "A 1471-2022")</f>
        <v/>
      </c>
      <c r="W131">
        <f>HYPERLINK("https://klasma.github.io/Logging_2284/kartor/A 1471-2022 karta.png", "A 1471-2022")</f>
        <v/>
      </c>
      <c r="Y131">
        <f>HYPERLINK("https://klasma.github.io/Logging_2284/klagomål/A 1471-2022 FSC-klagomål.docx", "A 1471-2022")</f>
        <v/>
      </c>
      <c r="Z131">
        <f>HYPERLINK("https://klasma.github.io/Logging_2284/klagomålsmail/A 1471-2022 FSC-klagomål mail.docx", "A 1471-2022")</f>
        <v/>
      </c>
      <c r="AA131">
        <f>HYPERLINK("https://klasma.github.io/Logging_2284/tillsyn/A 1471-2022 tillsynsbegäran.docx", "A 1471-2022")</f>
        <v/>
      </c>
      <c r="AB131">
        <f>HYPERLINK("https://klasma.github.io/Logging_2284/tillsynsmail/A 1471-2022 tillsynsbegäran mail.docx", "A 1471-2022")</f>
        <v/>
      </c>
    </row>
    <row r="132" ht="15" customHeight="1">
      <c r="A132" t="inlineStr">
        <is>
          <t>A 38733-2025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46218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12.8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Lunglav</t>
        </is>
      </c>
      <c r="V132">
        <f>HYPERLINK("https://klasma.github.io/Logging_2284/artfynd/A 38733-2025 artfynd.xlsx", "A 38733-2025")</f>
        <v/>
      </c>
      <c r="W132">
        <f>HYPERLINK("https://klasma.github.io/Logging_2284/kartor/A 38733-2025 karta.png", "A 38733-2025")</f>
        <v/>
      </c>
      <c r="Y132">
        <f>HYPERLINK("https://klasma.github.io/Logging_2284/klagomål/A 38733-2025 FSC-klagomål.docx", "A 38733-2025")</f>
        <v/>
      </c>
      <c r="Z132">
        <f>HYPERLINK("https://klasma.github.io/Logging_2284/klagomålsmail/A 38733-2025 FSC-klagomål mail.docx", "A 38733-2025")</f>
        <v/>
      </c>
      <c r="AA132">
        <f>HYPERLINK("https://klasma.github.io/Logging_2284/tillsyn/A 38733-2025 tillsynsbegäran.docx", "A 38733-2025")</f>
        <v/>
      </c>
      <c r="AB132">
        <f>HYPERLINK("https://klasma.github.io/Logging_2284/tillsynsmail/A 38733-2025 tillsynsbegäran mail.docx", "A 38733-2025")</f>
        <v/>
      </c>
    </row>
    <row r="133" ht="15" customHeight="1">
      <c r="A133" t="inlineStr">
        <is>
          <t>A 47190-2023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45202</v>
      </c>
      <c r="E133" s="1" t="n">
        <v>46218</v>
      </c>
      <c r="F133" t="inlineStr">
        <is>
          <t>VÄSTERNORRLANDS LÄN</t>
        </is>
      </c>
      <c r="G133" t="inlineStr">
        <is>
          <t>ÖRNSKÖLDSVIK</t>
        </is>
      </c>
      <c r="I133" t="n">
        <v>1.6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Kungsfågel</t>
        </is>
      </c>
      <c r="V133">
        <f>HYPERLINK("https://klasma.github.io/Logging_2284/artfynd/A 47190-2023 artfynd.xlsx", "A 47190-2023")</f>
        <v/>
      </c>
      <c r="W133">
        <f>HYPERLINK("https://klasma.github.io/Logging_2284/kartor/A 47190-2023 karta.png", "A 47190-2023")</f>
        <v/>
      </c>
      <c r="Y133">
        <f>HYPERLINK("https://klasma.github.io/Logging_2284/klagomål/A 47190-2023 FSC-klagomål.docx", "A 47190-2023")</f>
        <v/>
      </c>
      <c r="Z133">
        <f>HYPERLINK("https://klasma.github.io/Logging_2284/klagomålsmail/A 47190-2023 FSC-klagomål mail.docx", "A 47190-2023")</f>
        <v/>
      </c>
      <c r="AA133">
        <f>HYPERLINK("https://klasma.github.io/Logging_2284/tillsyn/A 47190-2023 tillsynsbegäran.docx", "A 47190-2023")</f>
        <v/>
      </c>
      <c r="AB133">
        <f>HYPERLINK("https://klasma.github.io/Logging_2284/tillsynsmail/A 47190-2023 tillsynsbegäran mail.docx", "A 47190-2023")</f>
        <v/>
      </c>
    </row>
    <row r="134" ht="15" customHeight="1">
      <c r="A134" t="inlineStr">
        <is>
          <t>A 32524-2024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45513</v>
      </c>
      <c r="E134" s="1" t="n">
        <v>46218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Kolflarnlav</t>
        </is>
      </c>
      <c r="V134">
        <f>HYPERLINK("https://klasma.github.io/Logging_2284/artfynd/A 32524-2024 artfynd.xlsx", "A 32524-2024")</f>
        <v/>
      </c>
      <c r="W134">
        <f>HYPERLINK("https://klasma.github.io/Logging_2284/kartor/A 32524-2024 karta.png", "A 32524-2024")</f>
        <v/>
      </c>
      <c r="Y134">
        <f>HYPERLINK("https://klasma.github.io/Logging_2284/klagomål/A 32524-2024 FSC-klagomål.docx", "A 32524-2024")</f>
        <v/>
      </c>
      <c r="Z134">
        <f>HYPERLINK("https://klasma.github.io/Logging_2284/klagomålsmail/A 32524-2024 FSC-klagomål mail.docx", "A 32524-2024")</f>
        <v/>
      </c>
      <c r="AA134">
        <f>HYPERLINK("https://klasma.github.io/Logging_2284/tillsyn/A 32524-2024 tillsynsbegäran.docx", "A 32524-2024")</f>
        <v/>
      </c>
      <c r="AB134">
        <f>HYPERLINK("https://klasma.github.io/Logging_2284/tillsynsmail/A 32524-2024 tillsynsbegäran mail.docx", "A 32524-2024")</f>
        <v/>
      </c>
    </row>
    <row r="135" ht="15" customHeight="1">
      <c r="A135" t="inlineStr">
        <is>
          <t>A 41522-2025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45901</v>
      </c>
      <c r="E135" s="1" t="n">
        <v>46218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Harticka</t>
        </is>
      </c>
      <c r="V135">
        <f>HYPERLINK("https://klasma.github.io/Logging_2284/artfynd/A 41522-2025 artfynd.xlsx", "A 41522-2025")</f>
        <v/>
      </c>
      <c r="W135">
        <f>HYPERLINK("https://klasma.github.io/Logging_2284/kartor/A 41522-2025 karta.png", "A 41522-2025")</f>
        <v/>
      </c>
      <c r="Y135">
        <f>HYPERLINK("https://klasma.github.io/Logging_2284/klagomål/A 41522-2025 FSC-klagomål.docx", "A 41522-2025")</f>
        <v/>
      </c>
      <c r="Z135">
        <f>HYPERLINK("https://klasma.github.io/Logging_2284/klagomålsmail/A 41522-2025 FSC-klagomål mail.docx", "A 41522-2025")</f>
        <v/>
      </c>
      <c r="AA135">
        <f>HYPERLINK("https://klasma.github.io/Logging_2284/tillsyn/A 41522-2025 tillsynsbegäran.docx", "A 41522-2025")</f>
        <v/>
      </c>
      <c r="AB135">
        <f>HYPERLINK("https://klasma.github.io/Logging_2284/tillsynsmail/A 41522-2025 tillsynsbegäran mail.docx", "A 41522-2025")</f>
        <v/>
      </c>
    </row>
    <row r="136" ht="15" customHeight="1">
      <c r="A136" t="inlineStr">
        <is>
          <t>A 62256-2022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44922</v>
      </c>
      <c r="E136" s="1" t="n">
        <v>46218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2.4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3</v>
      </c>
      <c r="U136" s="2" t="inlineStr">
        <is>
          <t>Tretåig hackspett</t>
        </is>
      </c>
      <c r="V136">
        <f>HYPERLINK("https://klasma.github.io/Logging_2284/artfynd/A 62256-2022 artfynd.xlsx", "A 62256-2022")</f>
        <v/>
      </c>
      <c r="W136">
        <f>HYPERLINK("https://klasma.github.io/Logging_2284/kartor/A 62256-2022 karta.png", "A 62256-2022")</f>
        <v/>
      </c>
      <c r="Y136">
        <f>HYPERLINK("https://klasma.github.io/Logging_2284/klagomål/A 62256-2022 FSC-klagomål.docx", "A 62256-2022")</f>
        <v/>
      </c>
      <c r="Z136">
        <f>HYPERLINK("https://klasma.github.io/Logging_2284/klagomålsmail/A 62256-2022 FSC-klagomål mail.docx", "A 62256-2022")</f>
        <v/>
      </c>
      <c r="AA136">
        <f>HYPERLINK("https://klasma.github.io/Logging_2284/tillsyn/A 62256-2022 tillsynsbegäran.docx", "A 62256-2022")</f>
        <v/>
      </c>
      <c r="AB136">
        <f>HYPERLINK("https://klasma.github.io/Logging_2284/tillsynsmail/A 62256-2022 tillsynsbegäran mail.docx", "A 62256-2022")</f>
        <v/>
      </c>
      <c r="AC136">
        <f>HYPERLINK("https://klasma.github.io/Logging_2284/fåglar/A 62256-2022 prioriterade fågelarter.docx", "A 62256-2022")</f>
        <v/>
      </c>
    </row>
    <row r="137" ht="15" customHeight="1">
      <c r="A137" t="inlineStr">
        <is>
          <t>A 16877-2024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45411</v>
      </c>
      <c r="E137" s="1" t="n">
        <v>46218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s="2" t="inlineStr">
        <is>
          <t>Garnlav</t>
        </is>
      </c>
      <c r="V137">
        <f>HYPERLINK("https://klasma.github.io/Logging_2284/artfynd/A 16877-2024 artfynd.xlsx", "A 16877-2024")</f>
        <v/>
      </c>
      <c r="W137">
        <f>HYPERLINK("https://klasma.github.io/Logging_2284/kartor/A 16877-2024 karta.png", "A 16877-2024")</f>
        <v/>
      </c>
      <c r="Y137">
        <f>HYPERLINK("https://klasma.github.io/Logging_2284/klagomål/A 16877-2024 FSC-klagomål.docx", "A 16877-2024")</f>
        <v/>
      </c>
      <c r="Z137">
        <f>HYPERLINK("https://klasma.github.io/Logging_2284/klagomålsmail/A 16877-2024 FSC-klagomål mail.docx", "A 16877-2024")</f>
        <v/>
      </c>
      <c r="AA137">
        <f>HYPERLINK("https://klasma.github.io/Logging_2284/tillsyn/A 16877-2024 tillsynsbegäran.docx", "A 16877-2024")</f>
        <v/>
      </c>
      <c r="AB137">
        <f>HYPERLINK("https://klasma.github.io/Logging_2284/tillsynsmail/A 16877-2024 tillsynsbegäran mail.docx", "A 16877-2024")</f>
        <v/>
      </c>
    </row>
    <row r="138" ht="15" customHeight="1">
      <c r="A138" t="inlineStr">
        <is>
          <t>A 41810-2025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45902</v>
      </c>
      <c r="E138" s="1" t="n">
        <v>46218</v>
      </c>
      <c r="F138" t="inlineStr">
        <is>
          <t>VÄSTERNORRLANDS LÄN</t>
        </is>
      </c>
      <c r="G138" t="inlineStr">
        <is>
          <t>ÖRNSKÖLDSVIK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Skinnlav</t>
        </is>
      </c>
      <c r="V138">
        <f>HYPERLINK("https://klasma.github.io/Logging_2284/artfynd/A 41810-2025 artfynd.xlsx", "A 41810-2025")</f>
        <v/>
      </c>
      <c r="W138">
        <f>HYPERLINK("https://klasma.github.io/Logging_2284/kartor/A 41810-2025 karta.png", "A 41810-2025")</f>
        <v/>
      </c>
      <c r="Y138">
        <f>HYPERLINK("https://klasma.github.io/Logging_2284/klagomål/A 41810-2025 FSC-klagomål.docx", "A 41810-2025")</f>
        <v/>
      </c>
      <c r="Z138">
        <f>HYPERLINK("https://klasma.github.io/Logging_2284/klagomålsmail/A 41810-2025 FSC-klagomål mail.docx", "A 41810-2025")</f>
        <v/>
      </c>
      <c r="AA138">
        <f>HYPERLINK("https://klasma.github.io/Logging_2284/tillsyn/A 41810-2025 tillsynsbegäran.docx", "A 41810-2025")</f>
        <v/>
      </c>
      <c r="AB138">
        <f>HYPERLINK("https://klasma.github.io/Logging_2284/tillsynsmail/A 41810-2025 tillsynsbegäran mail.docx", "A 41810-2025")</f>
        <v/>
      </c>
    </row>
    <row r="139" ht="15" customHeight="1">
      <c r="A139" t="inlineStr">
        <is>
          <t>A 48886-2024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45594</v>
      </c>
      <c r="E139" s="1" t="n">
        <v>46218</v>
      </c>
      <c r="F139" t="inlineStr">
        <is>
          <t>VÄSTERNORRLANDS LÄN</t>
        </is>
      </c>
      <c r="G139" t="inlineStr">
        <is>
          <t>ÖRNSKÖLDSVIK</t>
        </is>
      </c>
      <c r="I139" t="n">
        <v>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2</v>
      </c>
      <c r="U139" s="2" t="inlineStr">
        <is>
          <t>Lunglav</t>
        </is>
      </c>
      <c r="V139">
        <f>HYPERLINK("https://klasma.github.io/Logging_2284/artfynd/A 48886-2024 artfynd.xlsx", "A 48886-2024")</f>
        <v/>
      </c>
      <c r="W139">
        <f>HYPERLINK("https://klasma.github.io/Logging_2284/kartor/A 48886-2024 karta.png", "A 48886-2024")</f>
        <v/>
      </c>
      <c r="Y139">
        <f>HYPERLINK("https://klasma.github.io/Logging_2284/klagomål/A 48886-2024 FSC-klagomål.docx", "A 48886-2024")</f>
        <v/>
      </c>
      <c r="Z139">
        <f>HYPERLINK("https://klasma.github.io/Logging_2284/klagomålsmail/A 48886-2024 FSC-klagomål mail.docx", "A 48886-2024")</f>
        <v/>
      </c>
      <c r="AA139">
        <f>HYPERLINK("https://klasma.github.io/Logging_2284/tillsyn/A 48886-2024 tillsynsbegäran.docx", "A 48886-2024")</f>
        <v/>
      </c>
      <c r="AB139">
        <f>HYPERLINK("https://klasma.github.io/Logging_2284/tillsynsmail/A 48886-2024 tillsynsbegäran mail.docx", "A 48886-2024")</f>
        <v/>
      </c>
    </row>
    <row r="140" ht="15" customHeight="1">
      <c r="A140" t="inlineStr">
        <is>
          <t>A 12979-2023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45002</v>
      </c>
      <c r="E140" s="1" t="n">
        <v>46218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5.2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Tjäder</t>
        </is>
      </c>
      <c r="V140">
        <f>HYPERLINK("https://klasma.github.io/Logging_2284/artfynd/A 12979-2023 artfynd.xlsx", "A 12979-2023")</f>
        <v/>
      </c>
      <c r="W140">
        <f>HYPERLINK("https://klasma.github.io/Logging_2284/kartor/A 12979-2023 karta.png", "A 12979-2023")</f>
        <v/>
      </c>
      <c r="Y140">
        <f>HYPERLINK("https://klasma.github.io/Logging_2284/klagomål/A 12979-2023 FSC-klagomål.docx", "A 12979-2023")</f>
        <v/>
      </c>
      <c r="Z140">
        <f>HYPERLINK("https://klasma.github.io/Logging_2284/klagomålsmail/A 12979-2023 FSC-klagomål mail.docx", "A 12979-2023")</f>
        <v/>
      </c>
      <c r="AA140">
        <f>HYPERLINK("https://klasma.github.io/Logging_2284/tillsyn/A 12979-2023 tillsynsbegäran.docx", "A 12979-2023")</f>
        <v/>
      </c>
      <c r="AB140">
        <f>HYPERLINK("https://klasma.github.io/Logging_2284/tillsynsmail/A 12979-2023 tillsynsbegäran mail.docx", "A 12979-2023")</f>
        <v/>
      </c>
      <c r="AC140">
        <f>HYPERLINK("https://klasma.github.io/Logging_2284/fåglar/A 12979-2023 prioriterade fågelarter.docx", "A 12979-2023")</f>
        <v/>
      </c>
    </row>
    <row r="141" ht="15" customHeight="1">
      <c r="A141" t="inlineStr">
        <is>
          <t>A 58170-2021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46218</v>
      </c>
      <c r="F141" t="inlineStr">
        <is>
          <t>VÄSTERNORRLANDS LÄN</t>
        </is>
      </c>
      <c r="G141" t="inlineStr">
        <is>
          <t>ÖRNSKÖLDSVIK</t>
        </is>
      </c>
      <c r="I141" t="n">
        <v>6.3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Blåsippa</t>
        </is>
      </c>
      <c r="V141">
        <f>HYPERLINK("https://klasma.github.io/Logging_2284/artfynd/A 58170-2021 artfynd.xlsx", "A 58170-2021")</f>
        <v/>
      </c>
      <c r="W141">
        <f>HYPERLINK("https://klasma.github.io/Logging_2284/kartor/A 58170-2021 karta.png", "A 58170-2021")</f>
        <v/>
      </c>
      <c r="Y141">
        <f>HYPERLINK("https://klasma.github.io/Logging_2284/klagomål/A 58170-2021 FSC-klagomål.docx", "A 58170-2021")</f>
        <v/>
      </c>
      <c r="Z141">
        <f>HYPERLINK("https://klasma.github.io/Logging_2284/klagomålsmail/A 58170-2021 FSC-klagomål mail.docx", "A 58170-2021")</f>
        <v/>
      </c>
      <c r="AA141">
        <f>HYPERLINK("https://klasma.github.io/Logging_2284/tillsyn/A 58170-2021 tillsynsbegäran.docx", "A 58170-2021")</f>
        <v/>
      </c>
      <c r="AB141">
        <f>HYPERLINK("https://klasma.github.io/Logging_2284/tillsynsmail/A 58170-2021 tillsynsbegäran mail.docx", "A 58170-2021")</f>
        <v/>
      </c>
    </row>
    <row r="142" ht="15" customHeight="1">
      <c r="A142" t="inlineStr">
        <is>
          <t>A 42565-2023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45176</v>
      </c>
      <c r="E142" s="1" t="n">
        <v>46218</v>
      </c>
      <c r="F142" t="inlineStr">
        <is>
          <t>VÄSTERNORRLANDS LÄN</t>
        </is>
      </c>
      <c r="G142" t="inlineStr">
        <is>
          <t>ÖRNSKÖLDSVIK</t>
        </is>
      </c>
      <c r="I142" t="n">
        <v>1.9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2</v>
      </c>
      <c r="U142" s="2" t="inlineStr">
        <is>
          <t>Ullticka</t>
        </is>
      </c>
      <c r="V142">
        <f>HYPERLINK("https://klasma.github.io/Logging_2284/artfynd/A 42565-2023 artfynd.xlsx", "A 42565-2023")</f>
        <v/>
      </c>
      <c r="W142">
        <f>HYPERLINK("https://klasma.github.io/Logging_2284/kartor/A 42565-2023 karta.png", "A 42565-2023")</f>
        <v/>
      </c>
      <c r="Y142">
        <f>HYPERLINK("https://klasma.github.io/Logging_2284/klagomål/A 42565-2023 FSC-klagomål.docx", "A 42565-2023")</f>
        <v/>
      </c>
      <c r="Z142">
        <f>HYPERLINK("https://klasma.github.io/Logging_2284/klagomålsmail/A 42565-2023 FSC-klagomål mail.docx", "A 42565-2023")</f>
        <v/>
      </c>
      <c r="AA142">
        <f>HYPERLINK("https://klasma.github.io/Logging_2284/tillsyn/A 42565-2023 tillsynsbegäran.docx", "A 42565-2023")</f>
        <v/>
      </c>
      <c r="AB142">
        <f>HYPERLINK("https://klasma.github.io/Logging_2284/tillsynsmail/A 42565-2023 tillsynsbegäran mail.docx", "A 42565-2023")</f>
        <v/>
      </c>
    </row>
    <row r="143" ht="15" customHeight="1">
      <c r="A143" t="inlineStr">
        <is>
          <t>A 2234-2025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45673</v>
      </c>
      <c r="E143" s="1" t="n">
        <v>46218</v>
      </c>
      <c r="F143" t="inlineStr">
        <is>
          <t>VÄSTERNORRLANDS LÄN</t>
        </is>
      </c>
      <c r="G143" t="inlineStr">
        <is>
          <t>ÖRNSKÖLDSVIK</t>
        </is>
      </c>
      <c r="I143" t="n">
        <v>9.5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Bårdlav</t>
        </is>
      </c>
      <c r="V143">
        <f>HYPERLINK("https://klasma.github.io/Logging_2284/artfynd/A 2234-2025 artfynd.xlsx", "A 2234-2025")</f>
        <v/>
      </c>
      <c r="W143">
        <f>HYPERLINK("https://klasma.github.io/Logging_2284/kartor/A 2234-2025 karta.png", "A 2234-2025")</f>
        <v/>
      </c>
      <c r="Y143">
        <f>HYPERLINK("https://klasma.github.io/Logging_2284/klagomål/A 2234-2025 FSC-klagomål.docx", "A 2234-2025")</f>
        <v/>
      </c>
      <c r="Z143">
        <f>HYPERLINK("https://klasma.github.io/Logging_2284/klagomålsmail/A 2234-2025 FSC-klagomål mail.docx", "A 2234-2025")</f>
        <v/>
      </c>
      <c r="AA143">
        <f>HYPERLINK("https://klasma.github.io/Logging_2284/tillsyn/A 2234-2025 tillsynsbegäran.docx", "A 2234-2025")</f>
        <v/>
      </c>
      <c r="AB143">
        <f>HYPERLINK("https://klasma.github.io/Logging_2284/tillsynsmail/A 2234-2025 tillsynsbegäran mail.docx", "A 2234-2025")</f>
        <v/>
      </c>
    </row>
    <row r="144" ht="15" customHeight="1">
      <c r="A144" t="inlineStr">
        <is>
          <t>A 44165-2023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45188</v>
      </c>
      <c r="E144" s="1" t="n">
        <v>46218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11.8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Ullticka</t>
        </is>
      </c>
      <c r="V144">
        <f>HYPERLINK("https://klasma.github.io/Logging_2284/artfynd/A 44165-2023 artfynd.xlsx", "A 44165-2023")</f>
        <v/>
      </c>
      <c r="W144">
        <f>HYPERLINK("https://klasma.github.io/Logging_2284/kartor/A 44165-2023 karta.png", "A 44165-2023")</f>
        <v/>
      </c>
      <c r="Y144">
        <f>HYPERLINK("https://klasma.github.io/Logging_2284/klagomål/A 44165-2023 FSC-klagomål.docx", "A 44165-2023")</f>
        <v/>
      </c>
      <c r="Z144">
        <f>HYPERLINK("https://klasma.github.io/Logging_2284/klagomålsmail/A 44165-2023 FSC-klagomål mail.docx", "A 44165-2023")</f>
        <v/>
      </c>
      <c r="AA144">
        <f>HYPERLINK("https://klasma.github.io/Logging_2284/tillsyn/A 44165-2023 tillsynsbegäran.docx", "A 44165-2023")</f>
        <v/>
      </c>
      <c r="AB144">
        <f>HYPERLINK("https://klasma.github.io/Logging_2284/tillsynsmail/A 44165-2023 tillsynsbegäran mail.docx", "A 44165-2023")</f>
        <v/>
      </c>
    </row>
    <row r="145" ht="15" customHeight="1">
      <c r="A145" t="inlineStr">
        <is>
          <t>A 8677-2023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44977</v>
      </c>
      <c r="E145" s="1" t="n">
        <v>46218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SCA</t>
        </is>
      </c>
      <c r="I145" t="n">
        <v>18.6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Lunglav</t>
        </is>
      </c>
      <c r="V145">
        <f>HYPERLINK("https://klasma.github.io/Logging_2284/artfynd/A 8677-2023 artfynd.xlsx", "A 8677-2023")</f>
        <v/>
      </c>
      <c r="W145">
        <f>HYPERLINK("https://klasma.github.io/Logging_2284/kartor/A 8677-2023 karta.png", "A 8677-2023")</f>
        <v/>
      </c>
      <c r="Y145">
        <f>HYPERLINK("https://klasma.github.io/Logging_2284/klagomål/A 8677-2023 FSC-klagomål.docx", "A 8677-2023")</f>
        <v/>
      </c>
      <c r="Z145">
        <f>HYPERLINK("https://klasma.github.io/Logging_2284/klagomålsmail/A 8677-2023 FSC-klagomål mail.docx", "A 8677-2023")</f>
        <v/>
      </c>
      <c r="AA145">
        <f>HYPERLINK("https://klasma.github.io/Logging_2284/tillsyn/A 8677-2023 tillsynsbegäran.docx", "A 8677-2023")</f>
        <v/>
      </c>
      <c r="AB145">
        <f>HYPERLINK("https://klasma.github.io/Logging_2284/tillsynsmail/A 8677-2023 tillsynsbegäran mail.docx", "A 8677-2023")</f>
        <v/>
      </c>
    </row>
    <row r="146" ht="15" customHeight="1">
      <c r="A146" t="inlineStr">
        <is>
          <t>A 49513-2025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46218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1.1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Kolflarnlav</t>
        </is>
      </c>
      <c r="V146">
        <f>HYPERLINK("https://klasma.github.io/Logging_2284/artfynd/A 49513-2025 artfynd.xlsx", "A 49513-2025")</f>
        <v/>
      </c>
      <c r="W146">
        <f>HYPERLINK("https://klasma.github.io/Logging_2284/kartor/A 49513-2025 karta.png", "A 49513-2025")</f>
        <v/>
      </c>
      <c r="Y146">
        <f>HYPERLINK("https://klasma.github.io/Logging_2284/klagomål/A 49513-2025 FSC-klagomål.docx", "A 49513-2025")</f>
        <v/>
      </c>
      <c r="Z146">
        <f>HYPERLINK("https://klasma.github.io/Logging_2284/klagomålsmail/A 49513-2025 FSC-klagomål mail.docx", "A 49513-2025")</f>
        <v/>
      </c>
      <c r="AA146">
        <f>HYPERLINK("https://klasma.github.io/Logging_2284/tillsyn/A 49513-2025 tillsynsbegäran.docx", "A 49513-2025")</f>
        <v/>
      </c>
      <c r="AB146">
        <f>HYPERLINK("https://klasma.github.io/Logging_2284/tillsynsmail/A 49513-2025 tillsynsbegäran mail.docx", "A 49513-2025")</f>
        <v/>
      </c>
    </row>
    <row r="147" ht="15" customHeight="1">
      <c r="A147" t="inlineStr">
        <is>
          <t>A 54913-2023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45236</v>
      </c>
      <c r="E147" s="1" t="n">
        <v>46218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Skinnlav</t>
        </is>
      </c>
      <c r="V147">
        <f>HYPERLINK("https://klasma.github.io/Logging_2284/artfynd/A 54913-2023 artfynd.xlsx", "A 54913-2023")</f>
        <v/>
      </c>
      <c r="W147">
        <f>HYPERLINK("https://klasma.github.io/Logging_2284/kartor/A 54913-2023 karta.png", "A 54913-2023")</f>
        <v/>
      </c>
      <c r="Y147">
        <f>HYPERLINK("https://klasma.github.io/Logging_2284/klagomål/A 54913-2023 FSC-klagomål.docx", "A 54913-2023")</f>
        <v/>
      </c>
      <c r="Z147">
        <f>HYPERLINK("https://klasma.github.io/Logging_2284/klagomålsmail/A 54913-2023 FSC-klagomål mail.docx", "A 54913-2023")</f>
        <v/>
      </c>
      <c r="AA147">
        <f>HYPERLINK("https://klasma.github.io/Logging_2284/tillsyn/A 54913-2023 tillsynsbegäran.docx", "A 54913-2023")</f>
        <v/>
      </c>
      <c r="AB147">
        <f>HYPERLINK("https://klasma.github.io/Logging_2284/tillsynsmail/A 54913-2023 tillsynsbegäran mail.docx", "A 54913-2023")</f>
        <v/>
      </c>
    </row>
    <row r="148" ht="15" customHeight="1">
      <c r="A148" t="inlineStr">
        <is>
          <t>A 58147-2021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44487</v>
      </c>
      <c r="E148" s="1" t="n">
        <v>46218</v>
      </c>
      <c r="F148" t="inlineStr">
        <is>
          <t>VÄSTERNORRLANDS LÄN</t>
        </is>
      </c>
      <c r="G148" t="inlineStr">
        <is>
          <t>ÖRNSKÖLDSVIK</t>
        </is>
      </c>
      <c r="I148" t="n">
        <v>6.4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Fläcknycklar</t>
        </is>
      </c>
      <c r="V148">
        <f>HYPERLINK("https://klasma.github.io/Logging_2284/artfynd/A 58147-2021 artfynd.xlsx", "A 58147-2021")</f>
        <v/>
      </c>
      <c r="W148">
        <f>HYPERLINK("https://klasma.github.io/Logging_2284/kartor/A 58147-2021 karta.png", "A 58147-2021")</f>
        <v/>
      </c>
      <c r="Y148">
        <f>HYPERLINK("https://klasma.github.io/Logging_2284/klagomål/A 58147-2021 FSC-klagomål.docx", "A 58147-2021")</f>
        <v/>
      </c>
      <c r="Z148">
        <f>HYPERLINK("https://klasma.github.io/Logging_2284/klagomålsmail/A 58147-2021 FSC-klagomål mail.docx", "A 58147-2021")</f>
        <v/>
      </c>
      <c r="AA148">
        <f>HYPERLINK("https://klasma.github.io/Logging_2284/tillsyn/A 58147-2021 tillsynsbegäran.docx", "A 58147-2021")</f>
        <v/>
      </c>
      <c r="AB148">
        <f>HYPERLINK("https://klasma.github.io/Logging_2284/tillsynsmail/A 58147-2021 tillsynsbegäran mail.docx", "A 58147-2021")</f>
        <v/>
      </c>
    </row>
    <row r="149" ht="15" customHeight="1">
      <c r="A149" t="inlineStr">
        <is>
          <t>A 21356-2025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45782</v>
      </c>
      <c r="E149" s="1" t="n">
        <v>46218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s="2" t="inlineStr">
        <is>
          <t>Garnlav</t>
        </is>
      </c>
      <c r="V149">
        <f>HYPERLINK("https://klasma.github.io/Logging_2284/artfynd/A 21356-2025 artfynd.xlsx", "A 21356-2025")</f>
        <v/>
      </c>
      <c r="W149">
        <f>HYPERLINK("https://klasma.github.io/Logging_2284/kartor/A 21356-2025 karta.png", "A 21356-2025")</f>
        <v/>
      </c>
      <c r="Y149">
        <f>HYPERLINK("https://klasma.github.io/Logging_2284/klagomål/A 21356-2025 FSC-klagomål.docx", "A 21356-2025")</f>
        <v/>
      </c>
      <c r="Z149">
        <f>HYPERLINK("https://klasma.github.io/Logging_2284/klagomålsmail/A 21356-2025 FSC-klagomål mail.docx", "A 21356-2025")</f>
        <v/>
      </c>
      <c r="AA149">
        <f>HYPERLINK("https://klasma.github.io/Logging_2284/tillsyn/A 21356-2025 tillsynsbegäran.docx", "A 21356-2025")</f>
        <v/>
      </c>
      <c r="AB149">
        <f>HYPERLINK("https://klasma.github.io/Logging_2284/tillsynsmail/A 21356-2025 tillsynsbegäran mail.docx", "A 21356-2025")</f>
        <v/>
      </c>
    </row>
    <row r="150" ht="15" customHeight="1">
      <c r="A150" t="inlineStr">
        <is>
          <t>A 7323-2023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44970</v>
      </c>
      <c r="E150" s="1" t="n">
        <v>46218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SCA</t>
        </is>
      </c>
      <c r="I150" t="n">
        <v>18.6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Lunglav</t>
        </is>
      </c>
      <c r="V150">
        <f>HYPERLINK("https://klasma.github.io/Logging_2284/artfynd/A 7323-2023 artfynd.xlsx", "A 7323-2023")</f>
        <v/>
      </c>
      <c r="W150">
        <f>HYPERLINK("https://klasma.github.io/Logging_2284/kartor/A 7323-2023 karta.png", "A 7323-2023")</f>
        <v/>
      </c>
      <c r="Y150">
        <f>HYPERLINK("https://klasma.github.io/Logging_2284/klagomål/A 7323-2023 FSC-klagomål.docx", "A 7323-2023")</f>
        <v/>
      </c>
      <c r="Z150">
        <f>HYPERLINK("https://klasma.github.io/Logging_2284/klagomålsmail/A 7323-2023 FSC-klagomål mail.docx", "A 7323-2023")</f>
        <v/>
      </c>
      <c r="AA150">
        <f>HYPERLINK("https://klasma.github.io/Logging_2284/tillsyn/A 7323-2023 tillsynsbegäran.docx", "A 7323-2023")</f>
        <v/>
      </c>
      <c r="AB150">
        <f>HYPERLINK("https://klasma.github.io/Logging_2284/tillsynsmail/A 7323-2023 tillsynsbegäran mail.docx", "A 7323-2023")</f>
        <v/>
      </c>
    </row>
    <row r="151" ht="15" customHeight="1">
      <c r="A151" t="inlineStr">
        <is>
          <t>A 64642-2023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46218</v>
      </c>
      <c r="F151" t="inlineStr">
        <is>
          <t>VÄSTERNORRLANDS LÄN</t>
        </is>
      </c>
      <c r="G151" t="inlineStr">
        <is>
          <t>ÖRNSKÖLDSVIK</t>
        </is>
      </c>
      <c r="I151" t="n">
        <v>0.7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Sotlav</t>
        </is>
      </c>
      <c r="V151">
        <f>HYPERLINK("https://klasma.github.io/Logging_2284/artfynd/A 64642-2023 artfynd.xlsx", "A 64642-2023")</f>
        <v/>
      </c>
      <c r="W151">
        <f>HYPERLINK("https://klasma.github.io/Logging_2284/kartor/A 64642-2023 karta.png", "A 64642-2023")</f>
        <v/>
      </c>
      <c r="Y151">
        <f>HYPERLINK("https://klasma.github.io/Logging_2284/klagomål/A 64642-2023 FSC-klagomål.docx", "A 64642-2023")</f>
        <v/>
      </c>
      <c r="Z151">
        <f>HYPERLINK("https://klasma.github.io/Logging_2284/klagomålsmail/A 64642-2023 FSC-klagomål mail.docx", "A 64642-2023")</f>
        <v/>
      </c>
      <c r="AA151">
        <f>HYPERLINK("https://klasma.github.io/Logging_2284/tillsyn/A 64642-2023 tillsynsbegäran.docx", "A 64642-2023")</f>
        <v/>
      </c>
      <c r="AB151">
        <f>HYPERLINK("https://klasma.github.io/Logging_2284/tillsynsmail/A 64642-2023 tillsynsbegäran mail.docx", "A 64642-2023")</f>
        <v/>
      </c>
    </row>
    <row r="152" ht="15" customHeight="1">
      <c r="A152" t="inlineStr">
        <is>
          <t>A 24144-2024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45456</v>
      </c>
      <c r="E152" s="1" t="n">
        <v>46218</v>
      </c>
      <c r="F152" t="inlineStr">
        <is>
          <t>VÄSTERNORRLANDS LÄN</t>
        </is>
      </c>
      <c r="G152" t="inlineStr">
        <is>
          <t>ÖRNSKÖLDSVIK</t>
        </is>
      </c>
      <c r="I152" t="n">
        <v>0.5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Tretåig hackspett</t>
        </is>
      </c>
      <c r="V152">
        <f>HYPERLINK("https://klasma.github.io/Logging_2284/artfynd/A 24144-2024 artfynd.xlsx", "A 24144-2024")</f>
        <v/>
      </c>
      <c r="W152">
        <f>HYPERLINK("https://klasma.github.io/Logging_2284/kartor/A 24144-2024 karta.png", "A 24144-2024")</f>
        <v/>
      </c>
      <c r="Y152">
        <f>HYPERLINK("https://klasma.github.io/Logging_2284/klagomål/A 24144-2024 FSC-klagomål.docx", "A 24144-2024")</f>
        <v/>
      </c>
      <c r="Z152">
        <f>HYPERLINK("https://klasma.github.io/Logging_2284/klagomålsmail/A 24144-2024 FSC-klagomål mail.docx", "A 24144-2024")</f>
        <v/>
      </c>
      <c r="AA152">
        <f>HYPERLINK("https://klasma.github.io/Logging_2284/tillsyn/A 24144-2024 tillsynsbegäran.docx", "A 24144-2024")</f>
        <v/>
      </c>
      <c r="AB152">
        <f>HYPERLINK("https://klasma.github.io/Logging_2284/tillsynsmail/A 24144-2024 tillsynsbegäran mail.docx", "A 24144-2024")</f>
        <v/>
      </c>
      <c r="AC152">
        <f>HYPERLINK("https://klasma.github.io/Logging_2284/fåglar/A 24144-2024 prioriterade fågelarter.docx", "A 24144-2024")</f>
        <v/>
      </c>
    </row>
    <row r="153" ht="15" customHeight="1">
      <c r="A153" t="inlineStr">
        <is>
          <t>A 37659-2024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45541</v>
      </c>
      <c r="E153" s="1" t="n">
        <v>46218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s="2" t="inlineStr">
        <is>
          <t>Svart taggsvamp agg.</t>
        </is>
      </c>
      <c r="V153">
        <f>HYPERLINK("https://klasma.github.io/Logging_2284/artfynd/A 37659-2024 artfynd.xlsx", "A 37659-2024")</f>
        <v/>
      </c>
      <c r="W153">
        <f>HYPERLINK("https://klasma.github.io/Logging_2284/kartor/A 37659-2024 karta.png", "A 37659-2024")</f>
        <v/>
      </c>
      <c r="Y153">
        <f>HYPERLINK("https://klasma.github.io/Logging_2284/klagomål/A 37659-2024 FSC-klagomål.docx", "A 37659-2024")</f>
        <v/>
      </c>
      <c r="Z153">
        <f>HYPERLINK("https://klasma.github.io/Logging_2284/klagomålsmail/A 37659-2024 FSC-klagomål mail.docx", "A 37659-2024")</f>
        <v/>
      </c>
      <c r="AA153">
        <f>HYPERLINK("https://klasma.github.io/Logging_2284/tillsyn/A 37659-2024 tillsynsbegäran.docx", "A 37659-2024")</f>
        <v/>
      </c>
      <c r="AB153">
        <f>HYPERLINK("https://klasma.github.io/Logging_2284/tillsynsmail/A 37659-2024 tillsynsbegäran mail.docx", "A 37659-2024")</f>
        <v/>
      </c>
    </row>
    <row r="154" ht="15" customHeight="1">
      <c r="A154" t="inlineStr">
        <is>
          <t>A 54939-2025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45967</v>
      </c>
      <c r="E154" s="1" t="n">
        <v>46218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0.7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Rosenticka</t>
        </is>
      </c>
      <c r="V154">
        <f>HYPERLINK("https://klasma.github.io/Logging_2284/artfynd/A 54939-2025 artfynd.xlsx", "A 54939-2025")</f>
        <v/>
      </c>
      <c r="W154">
        <f>HYPERLINK("https://klasma.github.io/Logging_2284/kartor/A 54939-2025 karta.png", "A 54939-2025")</f>
        <v/>
      </c>
      <c r="Y154">
        <f>HYPERLINK("https://klasma.github.io/Logging_2284/klagomål/A 54939-2025 FSC-klagomål.docx", "A 54939-2025")</f>
        <v/>
      </c>
      <c r="Z154">
        <f>HYPERLINK("https://klasma.github.io/Logging_2284/klagomålsmail/A 54939-2025 FSC-klagomål mail.docx", "A 54939-2025")</f>
        <v/>
      </c>
      <c r="AA154">
        <f>HYPERLINK("https://klasma.github.io/Logging_2284/tillsyn/A 54939-2025 tillsynsbegäran.docx", "A 54939-2025")</f>
        <v/>
      </c>
      <c r="AB154">
        <f>HYPERLINK("https://klasma.github.io/Logging_2284/tillsynsmail/A 54939-2025 tillsynsbegäran mail.docx", "A 54939-2025")</f>
        <v/>
      </c>
    </row>
    <row r="155" ht="15" customHeight="1">
      <c r="A155" t="inlineStr">
        <is>
          <t>A 46821-2023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45198</v>
      </c>
      <c r="E155" s="1" t="n">
        <v>46218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SCA</t>
        </is>
      </c>
      <c r="I155" t="n">
        <v>4.8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s="2" t="inlineStr">
        <is>
          <t>Rosenticka</t>
        </is>
      </c>
      <c r="V155">
        <f>HYPERLINK("https://klasma.github.io/Logging_2284/artfynd/A 46821-2023 artfynd.xlsx", "A 46821-2023")</f>
        <v/>
      </c>
      <c r="W155">
        <f>HYPERLINK("https://klasma.github.io/Logging_2284/kartor/A 46821-2023 karta.png", "A 46821-2023")</f>
        <v/>
      </c>
      <c r="Y155">
        <f>HYPERLINK("https://klasma.github.io/Logging_2284/klagomål/A 46821-2023 FSC-klagomål.docx", "A 46821-2023")</f>
        <v/>
      </c>
      <c r="Z155">
        <f>HYPERLINK("https://klasma.github.io/Logging_2284/klagomålsmail/A 46821-2023 FSC-klagomål mail.docx", "A 46821-2023")</f>
        <v/>
      </c>
      <c r="AA155">
        <f>HYPERLINK("https://klasma.github.io/Logging_2284/tillsyn/A 46821-2023 tillsynsbegäran.docx", "A 46821-2023")</f>
        <v/>
      </c>
      <c r="AB155">
        <f>HYPERLINK("https://klasma.github.io/Logging_2284/tillsynsmail/A 46821-2023 tillsynsbegäran mail.docx", "A 46821-2023")</f>
        <v/>
      </c>
    </row>
    <row r="156" ht="15" customHeight="1">
      <c r="A156" t="inlineStr">
        <is>
          <t>A 26400-2025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45807</v>
      </c>
      <c r="E156" s="1" t="n">
        <v>46218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s="2" t="inlineStr">
        <is>
          <t>Lunglav</t>
        </is>
      </c>
      <c r="V156">
        <f>HYPERLINK("https://klasma.github.io/Logging_2284/artfynd/A 26400-2025 artfynd.xlsx", "A 26400-2025")</f>
        <v/>
      </c>
      <c r="W156">
        <f>HYPERLINK("https://klasma.github.io/Logging_2284/kartor/A 26400-2025 karta.png", "A 26400-2025")</f>
        <v/>
      </c>
      <c r="Y156">
        <f>HYPERLINK("https://klasma.github.io/Logging_2284/klagomål/A 26400-2025 FSC-klagomål.docx", "A 26400-2025")</f>
        <v/>
      </c>
      <c r="Z156">
        <f>HYPERLINK("https://klasma.github.io/Logging_2284/klagomålsmail/A 26400-2025 FSC-klagomål mail.docx", "A 26400-2025")</f>
        <v/>
      </c>
      <c r="AA156">
        <f>HYPERLINK("https://klasma.github.io/Logging_2284/tillsyn/A 26400-2025 tillsynsbegäran.docx", "A 26400-2025")</f>
        <v/>
      </c>
      <c r="AB156">
        <f>HYPERLINK("https://klasma.github.io/Logging_2284/tillsynsmail/A 26400-2025 tillsynsbegäran mail.docx", "A 26400-2025")</f>
        <v/>
      </c>
    </row>
    <row r="157" ht="15" customHeight="1">
      <c r="A157" t="inlineStr">
        <is>
          <t>A 6419-2024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45338</v>
      </c>
      <c r="E157" s="1" t="n">
        <v>46218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1.5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Ullticka</t>
        </is>
      </c>
      <c r="V157">
        <f>HYPERLINK("https://klasma.github.io/Logging_2284/artfynd/A 6419-2024 artfynd.xlsx", "A 6419-2024")</f>
        <v/>
      </c>
      <c r="W157">
        <f>HYPERLINK("https://klasma.github.io/Logging_2284/kartor/A 6419-2024 karta.png", "A 6419-2024")</f>
        <v/>
      </c>
      <c r="X157">
        <f>HYPERLINK("https://klasma.github.io/Logging_2284/knärot/A 6419-2024 karta knärot.png", "A 6419-2024")</f>
        <v/>
      </c>
      <c r="Y157">
        <f>HYPERLINK("https://klasma.github.io/Logging_2284/klagomål/A 6419-2024 FSC-klagomål.docx", "A 6419-2024")</f>
        <v/>
      </c>
      <c r="Z157">
        <f>HYPERLINK("https://klasma.github.io/Logging_2284/klagomålsmail/A 6419-2024 FSC-klagomål mail.docx", "A 6419-2024")</f>
        <v/>
      </c>
      <c r="AA157">
        <f>HYPERLINK("https://klasma.github.io/Logging_2284/tillsyn/A 6419-2024 tillsynsbegäran.docx", "A 6419-2024")</f>
        <v/>
      </c>
      <c r="AB157">
        <f>HYPERLINK("https://klasma.github.io/Logging_2284/tillsynsmail/A 6419-2024 tillsynsbegäran mail.docx", "A 6419-2024")</f>
        <v/>
      </c>
    </row>
    <row r="158" ht="15" customHeight="1">
      <c r="A158" t="inlineStr">
        <is>
          <t>A 55865-2025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45973</v>
      </c>
      <c r="E158" s="1" t="n">
        <v>46218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9.9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Lunglav</t>
        </is>
      </c>
      <c r="V158">
        <f>HYPERLINK("https://klasma.github.io/Logging_2284/artfynd/A 55865-2025 artfynd.xlsx", "A 55865-2025")</f>
        <v/>
      </c>
      <c r="W158">
        <f>HYPERLINK("https://klasma.github.io/Logging_2284/kartor/A 55865-2025 karta.png", "A 55865-2025")</f>
        <v/>
      </c>
      <c r="Y158">
        <f>HYPERLINK("https://klasma.github.io/Logging_2284/klagomål/A 55865-2025 FSC-klagomål.docx", "A 55865-2025")</f>
        <v/>
      </c>
      <c r="Z158">
        <f>HYPERLINK("https://klasma.github.io/Logging_2284/klagomålsmail/A 55865-2025 FSC-klagomål mail.docx", "A 55865-2025")</f>
        <v/>
      </c>
      <c r="AA158">
        <f>HYPERLINK("https://klasma.github.io/Logging_2284/tillsyn/A 55865-2025 tillsynsbegäran.docx", "A 55865-2025")</f>
        <v/>
      </c>
      <c r="AB158">
        <f>HYPERLINK("https://klasma.github.io/Logging_2284/tillsynsmail/A 55865-2025 tillsynsbegäran mail.docx", "A 55865-2025")</f>
        <v/>
      </c>
    </row>
    <row r="159" ht="15" customHeight="1">
      <c r="A159" t="inlineStr">
        <is>
          <t>A 56089-2025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45973</v>
      </c>
      <c r="E159" s="1" t="n">
        <v>46218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2.1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Lunglav</t>
        </is>
      </c>
      <c r="V159">
        <f>HYPERLINK("https://klasma.github.io/Logging_2284/artfynd/A 56089-2025 artfynd.xlsx", "A 56089-2025")</f>
        <v/>
      </c>
      <c r="W159">
        <f>HYPERLINK("https://klasma.github.io/Logging_2284/kartor/A 56089-2025 karta.png", "A 56089-2025")</f>
        <v/>
      </c>
      <c r="Y159">
        <f>HYPERLINK("https://klasma.github.io/Logging_2284/klagomål/A 56089-2025 FSC-klagomål.docx", "A 56089-2025")</f>
        <v/>
      </c>
      <c r="Z159">
        <f>HYPERLINK("https://klasma.github.io/Logging_2284/klagomålsmail/A 56089-2025 FSC-klagomål mail.docx", "A 56089-2025")</f>
        <v/>
      </c>
      <c r="AA159">
        <f>HYPERLINK("https://klasma.github.io/Logging_2284/tillsyn/A 56089-2025 tillsynsbegäran.docx", "A 56089-2025")</f>
        <v/>
      </c>
      <c r="AB159">
        <f>HYPERLINK("https://klasma.github.io/Logging_2284/tillsynsmail/A 56089-2025 tillsynsbegäran mail.docx", "A 56089-2025")</f>
        <v/>
      </c>
    </row>
    <row r="160" ht="15" customHeight="1">
      <c r="A160" t="inlineStr">
        <is>
          <t>A 55799-2025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46218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s="2" t="inlineStr">
        <is>
          <t>Garnlav</t>
        </is>
      </c>
      <c r="V160">
        <f>HYPERLINK("https://klasma.github.io/Logging_2284/artfynd/A 55799-2025 artfynd.xlsx", "A 55799-2025")</f>
        <v/>
      </c>
      <c r="W160">
        <f>HYPERLINK("https://klasma.github.io/Logging_2284/kartor/A 55799-2025 karta.png", "A 55799-2025")</f>
        <v/>
      </c>
      <c r="Y160">
        <f>HYPERLINK("https://klasma.github.io/Logging_2284/klagomål/A 55799-2025 FSC-klagomål.docx", "A 55799-2025")</f>
        <v/>
      </c>
      <c r="Z160">
        <f>HYPERLINK("https://klasma.github.io/Logging_2284/klagomålsmail/A 55799-2025 FSC-klagomål mail.docx", "A 55799-2025")</f>
        <v/>
      </c>
      <c r="AA160">
        <f>HYPERLINK("https://klasma.github.io/Logging_2284/tillsyn/A 55799-2025 tillsynsbegäran.docx", "A 55799-2025")</f>
        <v/>
      </c>
      <c r="AB160">
        <f>HYPERLINK("https://klasma.github.io/Logging_2284/tillsynsmail/A 55799-2025 tillsynsbegäran mail.docx", "A 55799-2025")</f>
        <v/>
      </c>
    </row>
    <row r="161" ht="15" customHeight="1">
      <c r="A161" t="inlineStr">
        <is>
          <t>A 55935-2025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45973</v>
      </c>
      <c r="E161" s="1" t="n">
        <v>46218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1.3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s="2" t="inlineStr">
        <is>
          <t>Rosenticka</t>
        </is>
      </c>
      <c r="V161">
        <f>HYPERLINK("https://klasma.github.io/Logging_2284/artfynd/A 55935-2025 artfynd.xlsx", "A 55935-2025")</f>
        <v/>
      </c>
      <c r="W161">
        <f>HYPERLINK("https://klasma.github.io/Logging_2284/kartor/A 55935-2025 karta.png", "A 55935-2025")</f>
        <v/>
      </c>
      <c r="Y161">
        <f>HYPERLINK("https://klasma.github.io/Logging_2284/klagomål/A 55935-2025 FSC-klagomål.docx", "A 55935-2025")</f>
        <v/>
      </c>
      <c r="Z161">
        <f>HYPERLINK("https://klasma.github.io/Logging_2284/klagomålsmail/A 55935-2025 FSC-klagomål mail.docx", "A 55935-2025")</f>
        <v/>
      </c>
      <c r="AA161">
        <f>HYPERLINK("https://klasma.github.io/Logging_2284/tillsyn/A 55935-2025 tillsynsbegäran.docx", "A 55935-2025")</f>
        <v/>
      </c>
      <c r="AB161">
        <f>HYPERLINK("https://klasma.github.io/Logging_2284/tillsynsmail/A 55935-2025 tillsynsbegäran mail.docx", "A 55935-2025")</f>
        <v/>
      </c>
    </row>
    <row r="162" ht="15" customHeight="1">
      <c r="A162" t="inlineStr">
        <is>
          <t>A 56482-2025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45975</v>
      </c>
      <c r="E162" s="1" t="n">
        <v>46218</v>
      </c>
      <c r="F162" t="inlineStr">
        <is>
          <t>VÄSTERNORRLANDS LÄN</t>
        </is>
      </c>
      <c r="G162" t="inlineStr">
        <is>
          <t>ÖRNSKÖLDSVIK</t>
        </is>
      </c>
      <c r="I162" t="n">
        <v>4.9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Motaggsvamp</t>
        </is>
      </c>
      <c r="V162">
        <f>HYPERLINK("https://klasma.github.io/Logging_2284/artfynd/A 56482-2025 artfynd.xlsx", "A 56482-2025")</f>
        <v/>
      </c>
      <c r="W162">
        <f>HYPERLINK("https://klasma.github.io/Logging_2284/kartor/A 56482-2025 karta.png", "A 56482-2025")</f>
        <v/>
      </c>
      <c r="Y162">
        <f>HYPERLINK("https://klasma.github.io/Logging_2284/klagomål/A 56482-2025 FSC-klagomål.docx", "A 56482-2025")</f>
        <v/>
      </c>
      <c r="Z162">
        <f>HYPERLINK("https://klasma.github.io/Logging_2284/klagomålsmail/A 56482-2025 FSC-klagomål mail.docx", "A 56482-2025")</f>
        <v/>
      </c>
      <c r="AA162">
        <f>HYPERLINK("https://klasma.github.io/Logging_2284/tillsyn/A 56482-2025 tillsynsbegäran.docx", "A 56482-2025")</f>
        <v/>
      </c>
      <c r="AB162">
        <f>HYPERLINK("https://klasma.github.io/Logging_2284/tillsynsmail/A 56482-2025 tillsynsbegäran mail.docx", "A 56482-2025")</f>
        <v/>
      </c>
    </row>
    <row r="163" ht="15" customHeight="1">
      <c r="A163" t="inlineStr">
        <is>
          <t>A 20807-2023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45058</v>
      </c>
      <c r="E163" s="1" t="n">
        <v>46218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14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Lavskrika</t>
        </is>
      </c>
      <c r="V163">
        <f>HYPERLINK("https://klasma.github.io/Logging_2284/artfynd/A 20807-2023 artfynd.xlsx", "A 20807-2023")</f>
        <v/>
      </c>
      <c r="W163">
        <f>HYPERLINK("https://klasma.github.io/Logging_2284/kartor/A 20807-2023 karta.png", "A 20807-2023")</f>
        <v/>
      </c>
      <c r="Y163">
        <f>HYPERLINK("https://klasma.github.io/Logging_2284/klagomål/A 20807-2023 FSC-klagomål.docx", "A 20807-2023")</f>
        <v/>
      </c>
      <c r="Z163">
        <f>HYPERLINK("https://klasma.github.io/Logging_2284/klagomålsmail/A 20807-2023 FSC-klagomål mail.docx", "A 20807-2023")</f>
        <v/>
      </c>
      <c r="AA163">
        <f>HYPERLINK("https://klasma.github.io/Logging_2284/tillsyn/A 20807-2023 tillsynsbegäran.docx", "A 20807-2023")</f>
        <v/>
      </c>
      <c r="AB163">
        <f>HYPERLINK("https://klasma.github.io/Logging_2284/tillsynsmail/A 20807-2023 tillsynsbegäran mail.docx", "A 20807-2023")</f>
        <v/>
      </c>
      <c r="AC163">
        <f>HYPERLINK("https://klasma.github.io/Logging_2284/fåglar/A 20807-2023 prioriterade fågelarter.docx", "A 20807-2023")</f>
        <v/>
      </c>
    </row>
    <row r="164" ht="15" customHeight="1">
      <c r="A164" t="inlineStr">
        <is>
          <t>A 57375-2025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45980</v>
      </c>
      <c r="E164" s="1" t="n">
        <v>46218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9.5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s="2" t="inlineStr">
        <is>
          <t>Skinnlav</t>
        </is>
      </c>
      <c r="V164">
        <f>HYPERLINK("https://klasma.github.io/Logging_2284/artfynd/A 57375-2025 artfynd.xlsx", "A 57375-2025")</f>
        <v/>
      </c>
      <c r="W164">
        <f>HYPERLINK("https://klasma.github.io/Logging_2284/kartor/A 57375-2025 karta.png", "A 57375-2025")</f>
        <v/>
      </c>
      <c r="Y164">
        <f>HYPERLINK("https://klasma.github.io/Logging_2284/klagomål/A 57375-2025 FSC-klagomål.docx", "A 57375-2025")</f>
        <v/>
      </c>
      <c r="Z164">
        <f>HYPERLINK("https://klasma.github.io/Logging_2284/klagomålsmail/A 57375-2025 FSC-klagomål mail.docx", "A 57375-2025")</f>
        <v/>
      </c>
      <c r="AA164">
        <f>HYPERLINK("https://klasma.github.io/Logging_2284/tillsyn/A 57375-2025 tillsynsbegäran.docx", "A 57375-2025")</f>
        <v/>
      </c>
      <c r="AB164">
        <f>HYPERLINK("https://klasma.github.io/Logging_2284/tillsynsmail/A 57375-2025 tillsynsbegäran mail.docx", "A 57375-2025")</f>
        <v/>
      </c>
    </row>
    <row r="165" ht="15" customHeight="1">
      <c r="A165" t="inlineStr">
        <is>
          <t>A 21683-2024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45442</v>
      </c>
      <c r="E165" s="1" t="n">
        <v>46218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2.5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Stor aspticka</t>
        </is>
      </c>
      <c r="V165">
        <f>HYPERLINK("https://klasma.github.io/Logging_2284/artfynd/A 21683-2024 artfynd.xlsx", "A 21683-2024")</f>
        <v/>
      </c>
      <c r="W165">
        <f>HYPERLINK("https://klasma.github.io/Logging_2284/kartor/A 21683-2024 karta.png", "A 21683-2024")</f>
        <v/>
      </c>
      <c r="Y165">
        <f>HYPERLINK("https://klasma.github.io/Logging_2284/klagomål/A 21683-2024 FSC-klagomål.docx", "A 21683-2024")</f>
        <v/>
      </c>
      <c r="Z165">
        <f>HYPERLINK("https://klasma.github.io/Logging_2284/klagomålsmail/A 21683-2024 FSC-klagomål mail.docx", "A 21683-2024")</f>
        <v/>
      </c>
      <c r="AA165">
        <f>HYPERLINK("https://klasma.github.io/Logging_2284/tillsyn/A 21683-2024 tillsynsbegäran.docx", "A 21683-2024")</f>
        <v/>
      </c>
      <c r="AB165">
        <f>HYPERLINK("https://klasma.github.io/Logging_2284/tillsynsmail/A 21683-2024 tillsynsbegäran mail.docx", "A 21683-2024")</f>
        <v/>
      </c>
    </row>
    <row r="166" ht="15" customHeight="1">
      <c r="A166" t="inlineStr">
        <is>
          <t>A 6651-2025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46218</v>
      </c>
      <c r="F166" t="inlineStr">
        <is>
          <t>VÄSTERNORRLANDS LÄN</t>
        </is>
      </c>
      <c r="G166" t="inlineStr">
        <is>
          <t>ÖRNSKÖLDSVIK</t>
        </is>
      </c>
      <c r="I166" t="n">
        <v>4.5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s="2" t="inlineStr">
        <is>
          <t>Ullticka</t>
        </is>
      </c>
      <c r="V166">
        <f>HYPERLINK("https://klasma.github.io/Logging_2284/artfynd/A 6651-2025 artfynd.xlsx", "A 6651-2025")</f>
        <v/>
      </c>
      <c r="W166">
        <f>HYPERLINK("https://klasma.github.io/Logging_2284/kartor/A 6651-2025 karta.png", "A 6651-2025")</f>
        <v/>
      </c>
      <c r="Y166">
        <f>HYPERLINK("https://klasma.github.io/Logging_2284/klagomål/A 6651-2025 FSC-klagomål.docx", "A 6651-2025")</f>
        <v/>
      </c>
      <c r="Z166">
        <f>HYPERLINK("https://klasma.github.io/Logging_2284/klagomålsmail/A 6651-2025 FSC-klagomål mail.docx", "A 6651-2025")</f>
        <v/>
      </c>
      <c r="AA166">
        <f>HYPERLINK("https://klasma.github.io/Logging_2284/tillsyn/A 6651-2025 tillsynsbegäran.docx", "A 6651-2025")</f>
        <v/>
      </c>
      <c r="AB166">
        <f>HYPERLINK("https://klasma.github.io/Logging_2284/tillsynsmail/A 6651-2025 tillsynsbegäran mail.docx", "A 6651-2025")</f>
        <v/>
      </c>
    </row>
    <row r="167" ht="15" customHeight="1">
      <c r="A167" t="inlineStr">
        <is>
          <t>A 28226-2025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45818</v>
      </c>
      <c r="E167" s="1" t="n">
        <v>46218</v>
      </c>
      <c r="F167" t="inlineStr">
        <is>
          <t>VÄSTERNORRLANDS LÄN</t>
        </is>
      </c>
      <c r="G167" t="inlineStr">
        <is>
          <t>ÖRNSKÖLDSVIK</t>
        </is>
      </c>
      <c r="I167" t="n">
        <v>30.6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s="2" t="inlineStr">
        <is>
          <t>Vitfläckig guldvinge</t>
        </is>
      </c>
      <c r="V167">
        <f>HYPERLINK("https://klasma.github.io/Logging_2284/artfynd/A 28226-2025 artfynd.xlsx", "A 28226-2025")</f>
        <v/>
      </c>
      <c r="W167">
        <f>HYPERLINK("https://klasma.github.io/Logging_2284/kartor/A 28226-2025 karta.png", "A 28226-2025")</f>
        <v/>
      </c>
      <c r="Y167">
        <f>HYPERLINK("https://klasma.github.io/Logging_2284/klagomål/A 28226-2025 FSC-klagomål.docx", "A 28226-2025")</f>
        <v/>
      </c>
      <c r="Z167">
        <f>HYPERLINK("https://klasma.github.io/Logging_2284/klagomålsmail/A 28226-2025 FSC-klagomål mail.docx", "A 28226-2025")</f>
        <v/>
      </c>
      <c r="AA167">
        <f>HYPERLINK("https://klasma.github.io/Logging_2284/tillsyn/A 28226-2025 tillsynsbegäran.docx", "A 28226-2025")</f>
        <v/>
      </c>
      <c r="AB167">
        <f>HYPERLINK("https://klasma.github.io/Logging_2284/tillsynsmail/A 28226-2025 tillsynsbegäran mail.docx", "A 28226-2025")</f>
        <v/>
      </c>
    </row>
    <row r="168" ht="15" customHeight="1">
      <c r="A168" t="inlineStr">
        <is>
          <t>A 38362-2025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46218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s="2" t="inlineStr">
        <is>
          <t>Ullticka</t>
        </is>
      </c>
      <c r="V168">
        <f>HYPERLINK("https://klasma.github.io/Logging_2284/artfynd/A 38362-2025 artfynd.xlsx", "A 38362-2025")</f>
        <v/>
      </c>
      <c r="W168">
        <f>HYPERLINK("https://klasma.github.io/Logging_2284/kartor/A 38362-2025 karta.png", "A 38362-2025")</f>
        <v/>
      </c>
      <c r="Y168">
        <f>HYPERLINK("https://klasma.github.io/Logging_2284/klagomål/A 38362-2025 FSC-klagomål.docx", "A 38362-2025")</f>
        <v/>
      </c>
      <c r="Z168">
        <f>HYPERLINK("https://klasma.github.io/Logging_2284/klagomålsmail/A 38362-2025 FSC-klagomål mail.docx", "A 38362-2025")</f>
        <v/>
      </c>
      <c r="AA168">
        <f>HYPERLINK("https://klasma.github.io/Logging_2284/tillsyn/A 38362-2025 tillsynsbegäran.docx", "A 38362-2025")</f>
        <v/>
      </c>
      <c r="AB168">
        <f>HYPERLINK("https://klasma.github.io/Logging_2284/tillsynsmail/A 38362-2025 tillsynsbegäran mail.docx", "A 38362-2025")</f>
        <v/>
      </c>
    </row>
    <row r="169" ht="15" customHeight="1">
      <c r="A169" t="inlineStr">
        <is>
          <t>A 26961-2026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46185</v>
      </c>
      <c r="E169" s="1" t="n">
        <v>46218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4</v>
      </c>
      <c r="U169" s="2" t="inlineStr">
        <is>
          <t>Garnlav</t>
        </is>
      </c>
      <c r="V169">
        <f>HYPERLINK("https://klasma.github.io/Logging_2284/artfynd/A 26961-2026 artfynd.xlsx", "A 26961-2026")</f>
        <v/>
      </c>
      <c r="W169">
        <f>HYPERLINK("https://klasma.github.io/Logging_2284/kartor/A 26961-2026 karta.png", "A 26961-2026")</f>
        <v/>
      </c>
      <c r="Y169">
        <f>HYPERLINK("https://klasma.github.io/Logging_2284/klagomål/A 26961-2026 FSC-klagomål.docx", "A 26961-2026")</f>
        <v/>
      </c>
      <c r="Z169">
        <f>HYPERLINK("https://klasma.github.io/Logging_2284/klagomålsmail/A 26961-2026 FSC-klagomål mail.docx", "A 26961-2026")</f>
        <v/>
      </c>
      <c r="AA169">
        <f>HYPERLINK("https://klasma.github.io/Logging_2284/tillsyn/A 26961-2026 tillsynsbegäran.docx", "A 26961-2026")</f>
        <v/>
      </c>
      <c r="AB169">
        <f>HYPERLINK("https://klasma.github.io/Logging_2284/tillsynsmail/A 26961-2026 tillsynsbegäran mail.docx", "A 26961-2026")</f>
        <v/>
      </c>
    </row>
    <row r="170" ht="15" customHeight="1">
      <c r="A170" t="inlineStr">
        <is>
          <t>A 7412-2026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46218</v>
      </c>
      <c r="F170" t="inlineStr">
        <is>
          <t>VÄSTERNORRLANDS LÄN</t>
        </is>
      </c>
      <c r="G170" t="inlineStr">
        <is>
          <t>ÖRNSKÖLDSVIK</t>
        </is>
      </c>
      <c r="I170" t="n">
        <v>3.9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s="2" t="inlineStr">
        <is>
          <t>Vanlig padda</t>
        </is>
      </c>
      <c r="V170">
        <f>HYPERLINK("https://klasma.github.io/Logging_2284/artfynd/A 7412-2026 artfynd.xlsx", "A 7412-2026")</f>
        <v/>
      </c>
      <c r="W170">
        <f>HYPERLINK("https://klasma.github.io/Logging_2284/kartor/A 7412-2026 karta.png", "A 7412-2026")</f>
        <v/>
      </c>
      <c r="Y170">
        <f>HYPERLINK("https://klasma.github.io/Logging_2284/klagomål/A 7412-2026 FSC-klagomål.docx", "A 7412-2026")</f>
        <v/>
      </c>
      <c r="Z170">
        <f>HYPERLINK("https://klasma.github.io/Logging_2284/klagomålsmail/A 7412-2026 FSC-klagomål mail.docx", "A 7412-2026")</f>
        <v/>
      </c>
      <c r="AA170">
        <f>HYPERLINK("https://klasma.github.io/Logging_2284/tillsyn/A 7412-2026 tillsynsbegäran.docx", "A 7412-2026")</f>
        <v/>
      </c>
      <c r="AB170">
        <f>HYPERLINK("https://klasma.github.io/Logging_2284/tillsynsmail/A 7412-2026 tillsynsbegäran mail.docx", "A 7412-2026")</f>
        <v/>
      </c>
    </row>
    <row r="171" ht="15" customHeight="1">
      <c r="A171" t="inlineStr">
        <is>
          <t>A 31647-2023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45105</v>
      </c>
      <c r="E171" s="1" t="n">
        <v>46218</v>
      </c>
      <c r="F171" t="inlineStr">
        <is>
          <t>VÄSTERNORRLANDS LÄN</t>
        </is>
      </c>
      <c r="G171" t="inlineStr">
        <is>
          <t>ÖRNSKÖLDSVIK</t>
        </is>
      </c>
      <c r="I171" t="n">
        <v>2.7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s="2" t="inlineStr">
        <is>
          <t>Kungsörn</t>
        </is>
      </c>
      <c r="V171">
        <f>HYPERLINK("https://klasma.github.io/Logging_2284/artfynd/A 31647-2023 artfynd.xlsx", "A 31647-2023")</f>
        <v/>
      </c>
      <c r="W171">
        <f>HYPERLINK("https://klasma.github.io/Logging_2284/kartor/A 31647-2023 karta.png", "A 31647-2023")</f>
        <v/>
      </c>
      <c r="Y171">
        <f>HYPERLINK("https://klasma.github.io/Logging_2284/klagomål/A 31647-2023 FSC-klagomål.docx", "A 31647-2023")</f>
        <v/>
      </c>
      <c r="Z171">
        <f>HYPERLINK("https://klasma.github.io/Logging_2284/klagomålsmail/A 31647-2023 FSC-klagomål mail.docx", "A 31647-2023")</f>
        <v/>
      </c>
      <c r="AA171">
        <f>HYPERLINK("https://klasma.github.io/Logging_2284/tillsyn/A 31647-2023 tillsynsbegäran.docx", "A 31647-2023")</f>
        <v/>
      </c>
      <c r="AB171">
        <f>HYPERLINK("https://klasma.github.io/Logging_2284/tillsynsmail/A 31647-2023 tillsynsbegäran mail.docx", "A 31647-2023")</f>
        <v/>
      </c>
      <c r="AC171">
        <f>HYPERLINK("https://klasma.github.io/Logging_2284/fåglar/A 31647-2023 prioriterade fågelarter.docx", "A 31647-2023")</f>
        <v/>
      </c>
    </row>
    <row r="172" ht="15" customHeight="1">
      <c r="A172" t="inlineStr">
        <is>
          <t>A 27406-2026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46218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4.4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s="2" t="inlineStr">
        <is>
          <t>Gammelgransskål</t>
        </is>
      </c>
      <c r="V172">
        <f>HYPERLINK("https://klasma.github.io/Logging_2284/artfynd/A 27406-2026 artfynd.xlsx", "A 27406-2026")</f>
        <v/>
      </c>
      <c r="W172">
        <f>HYPERLINK("https://klasma.github.io/Logging_2284/kartor/A 27406-2026 karta.png", "A 27406-2026")</f>
        <v/>
      </c>
      <c r="Y172">
        <f>HYPERLINK("https://klasma.github.io/Logging_2284/klagomål/A 27406-2026 FSC-klagomål.docx", "A 27406-2026")</f>
        <v/>
      </c>
      <c r="Z172">
        <f>HYPERLINK("https://klasma.github.io/Logging_2284/klagomålsmail/A 27406-2026 FSC-klagomål mail.docx", "A 27406-2026")</f>
        <v/>
      </c>
      <c r="AA172">
        <f>HYPERLINK("https://klasma.github.io/Logging_2284/tillsyn/A 27406-2026 tillsynsbegäran.docx", "A 27406-2026")</f>
        <v/>
      </c>
      <c r="AB172">
        <f>HYPERLINK("https://klasma.github.io/Logging_2284/tillsynsmail/A 27406-2026 tillsynsbegäran mail.docx", "A 27406-2026")</f>
        <v/>
      </c>
    </row>
    <row r="173" ht="15" customHeight="1">
      <c r="A173" t="inlineStr">
        <is>
          <t>A 63349-2025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46010</v>
      </c>
      <c r="E173" s="1" t="n">
        <v>46218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Holmen skog AB</t>
        </is>
      </c>
      <c r="I173" t="n">
        <v>3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s="2" t="inlineStr">
        <is>
          <t>Vågbandad barkbock</t>
        </is>
      </c>
      <c r="V173">
        <f>HYPERLINK("https://klasma.github.io/Logging_2284/artfynd/A 63349-2025 artfynd.xlsx", "A 63349-2025")</f>
        <v/>
      </c>
      <c r="W173">
        <f>HYPERLINK("https://klasma.github.io/Logging_2284/kartor/A 63349-2025 karta.png", "A 63349-2025")</f>
        <v/>
      </c>
      <c r="Y173">
        <f>HYPERLINK("https://klasma.github.io/Logging_2284/klagomål/A 63349-2025 FSC-klagomål.docx", "A 63349-2025")</f>
        <v/>
      </c>
      <c r="Z173">
        <f>HYPERLINK("https://klasma.github.io/Logging_2284/klagomålsmail/A 63349-2025 FSC-klagomål mail.docx", "A 63349-2025")</f>
        <v/>
      </c>
      <c r="AA173">
        <f>HYPERLINK("https://klasma.github.io/Logging_2284/tillsyn/A 63349-2025 tillsynsbegäran.docx", "A 63349-2025")</f>
        <v/>
      </c>
      <c r="AB173">
        <f>HYPERLINK("https://klasma.github.io/Logging_2284/tillsynsmail/A 63349-2025 tillsynsbegäran mail.docx", "A 63349-2025")</f>
        <v/>
      </c>
    </row>
    <row r="174" ht="15" customHeight="1">
      <c r="A174" t="inlineStr">
        <is>
          <t>A 24808-2024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45460</v>
      </c>
      <c r="E174" s="1" t="n">
        <v>46218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1.7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s="2" t="inlineStr">
        <is>
          <t>Kungsörn</t>
        </is>
      </c>
      <c r="V174">
        <f>HYPERLINK("https://klasma.github.io/Logging_2284/artfynd/A 24808-2024 artfynd.xlsx", "A 24808-2024")</f>
        <v/>
      </c>
      <c r="W174">
        <f>HYPERLINK("https://klasma.github.io/Logging_2284/kartor/A 24808-2024 karta.png", "A 24808-2024")</f>
        <v/>
      </c>
      <c r="Y174">
        <f>HYPERLINK("https://klasma.github.io/Logging_2284/klagomål/A 24808-2024 FSC-klagomål.docx", "A 24808-2024")</f>
        <v/>
      </c>
      <c r="Z174">
        <f>HYPERLINK("https://klasma.github.io/Logging_2284/klagomålsmail/A 24808-2024 FSC-klagomål mail.docx", "A 24808-2024")</f>
        <v/>
      </c>
      <c r="AA174">
        <f>HYPERLINK("https://klasma.github.io/Logging_2284/tillsyn/A 24808-2024 tillsynsbegäran.docx", "A 24808-2024")</f>
        <v/>
      </c>
      <c r="AB174">
        <f>HYPERLINK("https://klasma.github.io/Logging_2284/tillsynsmail/A 24808-2024 tillsynsbegäran mail.docx", "A 24808-2024")</f>
        <v/>
      </c>
      <c r="AC174">
        <f>HYPERLINK("https://klasma.github.io/Logging_2284/fåglar/A 24808-2024 prioriterade fågelarter.docx", "A 24808-2024")</f>
        <v/>
      </c>
    </row>
    <row r="175" ht="15" customHeight="1">
      <c r="A175" t="inlineStr">
        <is>
          <t>A 47067-2022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44852</v>
      </c>
      <c r="E175" s="1" t="n">
        <v>46218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2.6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s="2" t="inlineStr">
        <is>
          <t>Motaggsvamp</t>
        </is>
      </c>
      <c r="V175">
        <f>HYPERLINK("https://klasma.github.io/Logging_2284/artfynd/A 47067-2022 artfynd.xlsx", "A 47067-2022")</f>
        <v/>
      </c>
      <c r="W175">
        <f>HYPERLINK("https://klasma.github.io/Logging_2284/kartor/A 47067-2022 karta.png", "A 47067-2022")</f>
        <v/>
      </c>
      <c r="Y175">
        <f>HYPERLINK("https://klasma.github.io/Logging_2284/klagomål/A 47067-2022 FSC-klagomål.docx", "A 47067-2022")</f>
        <v/>
      </c>
      <c r="Z175">
        <f>HYPERLINK("https://klasma.github.io/Logging_2284/klagomålsmail/A 47067-2022 FSC-klagomål mail.docx", "A 47067-2022")</f>
        <v/>
      </c>
      <c r="AA175">
        <f>HYPERLINK("https://klasma.github.io/Logging_2284/tillsyn/A 47067-2022 tillsynsbegäran.docx", "A 47067-2022")</f>
        <v/>
      </c>
      <c r="AB175">
        <f>HYPERLINK("https://klasma.github.io/Logging_2284/tillsynsmail/A 47067-2022 tillsynsbegäran mail.docx", "A 47067-2022")</f>
        <v/>
      </c>
    </row>
    <row r="176" ht="15" customHeight="1">
      <c r="A176" t="inlineStr">
        <is>
          <t>A 2846-2026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46038</v>
      </c>
      <c r="E176" s="1" t="n">
        <v>46218</v>
      </c>
      <c r="F176" t="inlineStr">
        <is>
          <t>VÄSTERNORRLANDS LÄN</t>
        </is>
      </c>
      <c r="G176" t="inlineStr">
        <is>
          <t>ÖRNSKÖLDSVIK</t>
        </is>
      </c>
      <c r="I176" t="n">
        <v>4.3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s="2" t="inlineStr">
        <is>
          <t>Ullticka</t>
        </is>
      </c>
      <c r="V176">
        <f>HYPERLINK("https://klasma.github.io/Logging_2284/artfynd/A 2846-2026 artfynd.xlsx", "A 2846-2026")</f>
        <v/>
      </c>
      <c r="W176">
        <f>HYPERLINK("https://klasma.github.io/Logging_2284/kartor/A 2846-2026 karta.png", "A 2846-2026")</f>
        <v/>
      </c>
      <c r="Y176">
        <f>HYPERLINK("https://klasma.github.io/Logging_2284/klagomål/A 2846-2026 FSC-klagomål.docx", "A 2846-2026")</f>
        <v/>
      </c>
      <c r="Z176">
        <f>HYPERLINK("https://klasma.github.io/Logging_2284/klagomålsmail/A 2846-2026 FSC-klagomål mail.docx", "A 2846-2026")</f>
        <v/>
      </c>
      <c r="AA176">
        <f>HYPERLINK("https://klasma.github.io/Logging_2284/tillsyn/A 2846-2026 tillsynsbegäran.docx", "A 2846-2026")</f>
        <v/>
      </c>
      <c r="AB176">
        <f>HYPERLINK("https://klasma.github.io/Logging_2284/tillsynsmail/A 2846-2026 tillsynsbegäran mail.docx", "A 2846-2026")</f>
        <v/>
      </c>
    </row>
    <row r="177" ht="15" customHeight="1">
      <c r="A177" t="inlineStr">
        <is>
          <t>A 31882-2024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45509</v>
      </c>
      <c r="E177" s="1" t="n">
        <v>46218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9.1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s="2" t="inlineStr">
        <is>
          <t>Tretåig hackspett</t>
        </is>
      </c>
      <c r="V177">
        <f>HYPERLINK("https://klasma.github.io/Logging_2284/artfynd/A 31882-2024 artfynd.xlsx", "A 31882-2024")</f>
        <v/>
      </c>
      <c r="W177">
        <f>HYPERLINK("https://klasma.github.io/Logging_2284/kartor/A 31882-2024 karta.png", "A 31882-2024")</f>
        <v/>
      </c>
      <c r="Y177">
        <f>HYPERLINK("https://klasma.github.io/Logging_2284/klagomål/A 31882-2024 FSC-klagomål.docx", "A 31882-2024")</f>
        <v/>
      </c>
      <c r="Z177">
        <f>HYPERLINK("https://klasma.github.io/Logging_2284/klagomålsmail/A 31882-2024 FSC-klagomål mail.docx", "A 31882-2024")</f>
        <v/>
      </c>
      <c r="AA177">
        <f>HYPERLINK("https://klasma.github.io/Logging_2284/tillsyn/A 31882-2024 tillsynsbegäran.docx", "A 31882-2024")</f>
        <v/>
      </c>
      <c r="AB177">
        <f>HYPERLINK("https://klasma.github.io/Logging_2284/tillsynsmail/A 31882-2024 tillsynsbegäran mail.docx", "A 31882-2024")</f>
        <v/>
      </c>
      <c r="AC177">
        <f>HYPERLINK("https://klasma.github.io/Logging_2284/fåglar/A 31882-2024 prioriterade fågelarter.docx", "A 31882-2024")</f>
        <v/>
      </c>
    </row>
    <row r="178" ht="15" customHeight="1">
      <c r="A178" t="inlineStr">
        <is>
          <t>A 21980-2026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46153</v>
      </c>
      <c r="E178" s="1" t="n">
        <v>46218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3</v>
      </c>
      <c r="U178" s="2" t="inlineStr">
        <is>
          <t>Garnlav</t>
        </is>
      </c>
      <c r="V178">
        <f>HYPERLINK("https://klasma.github.io/Logging_2284/artfynd/A 21980-2026 artfynd.xlsx", "A 21980-2026")</f>
        <v/>
      </c>
      <c r="W178">
        <f>HYPERLINK("https://klasma.github.io/Logging_2284/kartor/A 21980-2026 karta.png", "A 21980-2026")</f>
        <v/>
      </c>
      <c r="Y178">
        <f>HYPERLINK("https://klasma.github.io/Logging_2284/klagomål/A 21980-2026 FSC-klagomål.docx", "A 21980-2026")</f>
        <v/>
      </c>
      <c r="Z178">
        <f>HYPERLINK("https://klasma.github.io/Logging_2284/klagomålsmail/A 21980-2026 FSC-klagomål mail.docx", "A 21980-2026")</f>
        <v/>
      </c>
      <c r="AA178">
        <f>HYPERLINK("https://klasma.github.io/Logging_2284/tillsyn/A 21980-2026 tillsynsbegäran.docx", "A 21980-2026")</f>
        <v/>
      </c>
      <c r="AB178">
        <f>HYPERLINK("https://klasma.github.io/Logging_2284/tillsynsmail/A 21980-2026 tillsynsbegäran mail.docx", "A 21980-2026")</f>
        <v/>
      </c>
    </row>
    <row r="179" ht="15" customHeight="1">
      <c r="A179" t="inlineStr">
        <is>
          <t>A 23613-2026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46163</v>
      </c>
      <c r="E179" s="1" t="n">
        <v>46218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9.1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s="2" t="inlineStr">
        <is>
          <t>Garnlav</t>
        </is>
      </c>
      <c r="V179">
        <f>HYPERLINK("https://klasma.github.io/Logging_2284/artfynd/A 23613-2026 artfynd.xlsx", "A 23613-2026")</f>
        <v/>
      </c>
      <c r="W179">
        <f>HYPERLINK("https://klasma.github.io/Logging_2284/kartor/A 23613-2026 karta.png", "A 23613-2026")</f>
        <v/>
      </c>
      <c r="Y179">
        <f>HYPERLINK("https://klasma.github.io/Logging_2284/klagomål/A 23613-2026 FSC-klagomål.docx", "A 23613-2026")</f>
        <v/>
      </c>
      <c r="Z179">
        <f>HYPERLINK("https://klasma.github.io/Logging_2284/klagomålsmail/A 23613-2026 FSC-klagomål mail.docx", "A 23613-2026")</f>
        <v/>
      </c>
      <c r="AA179">
        <f>HYPERLINK("https://klasma.github.io/Logging_2284/tillsyn/A 23613-2026 tillsynsbegäran.docx", "A 23613-2026")</f>
        <v/>
      </c>
      <c r="AB179">
        <f>HYPERLINK("https://klasma.github.io/Logging_2284/tillsynsmail/A 23613-2026 tillsynsbegäran mail.docx", "A 23613-2026")</f>
        <v/>
      </c>
    </row>
    <row r="180" ht="15" customHeight="1">
      <c r="A180" t="inlineStr">
        <is>
          <t>A 16225-2026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46111</v>
      </c>
      <c r="E180" s="1" t="n">
        <v>46218</v>
      </c>
      <c r="F180" t="inlineStr">
        <is>
          <t>VÄSTERNORRLANDS LÄN</t>
        </is>
      </c>
      <c r="G180" t="inlineStr">
        <is>
          <t>ÖRNSKÖLDSVIK</t>
        </is>
      </c>
      <c r="I180" t="n">
        <v>2.9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s="2" t="inlineStr">
        <is>
          <t>Ullticka</t>
        </is>
      </c>
      <c r="V180">
        <f>HYPERLINK("https://klasma.github.io/Logging_2284/artfynd/A 16225-2026 artfynd.xlsx", "A 16225-2026")</f>
        <v/>
      </c>
      <c r="W180">
        <f>HYPERLINK("https://klasma.github.io/Logging_2284/kartor/A 16225-2026 karta.png", "A 16225-2026")</f>
        <v/>
      </c>
      <c r="Y180">
        <f>HYPERLINK("https://klasma.github.io/Logging_2284/klagomål/A 16225-2026 FSC-klagomål.docx", "A 16225-2026")</f>
        <v/>
      </c>
      <c r="Z180">
        <f>HYPERLINK("https://klasma.github.io/Logging_2284/klagomålsmail/A 16225-2026 FSC-klagomål mail.docx", "A 16225-2026")</f>
        <v/>
      </c>
      <c r="AA180">
        <f>HYPERLINK("https://klasma.github.io/Logging_2284/tillsyn/A 16225-2026 tillsynsbegäran.docx", "A 16225-2026")</f>
        <v/>
      </c>
      <c r="AB180">
        <f>HYPERLINK("https://klasma.github.io/Logging_2284/tillsynsmail/A 16225-2026 tillsynsbegäran mail.docx", "A 16225-2026")</f>
        <v/>
      </c>
    </row>
    <row r="181" ht="15" customHeight="1">
      <c r="A181" t="inlineStr">
        <is>
          <t>A 16208-2026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46111</v>
      </c>
      <c r="E181" s="1" t="n">
        <v>46218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2.5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s="2" t="inlineStr">
        <is>
          <t>Kolflarnlav</t>
        </is>
      </c>
      <c r="V181">
        <f>HYPERLINK("https://klasma.github.io/Logging_2284/artfynd/A 16208-2026 artfynd.xlsx", "A 16208-2026")</f>
        <v/>
      </c>
      <c r="W181">
        <f>HYPERLINK("https://klasma.github.io/Logging_2284/kartor/A 16208-2026 karta.png", "A 16208-2026")</f>
        <v/>
      </c>
      <c r="Y181">
        <f>HYPERLINK("https://klasma.github.io/Logging_2284/klagomål/A 16208-2026 FSC-klagomål.docx", "A 16208-2026")</f>
        <v/>
      </c>
      <c r="Z181">
        <f>HYPERLINK("https://klasma.github.io/Logging_2284/klagomålsmail/A 16208-2026 FSC-klagomål mail.docx", "A 16208-2026")</f>
        <v/>
      </c>
      <c r="AA181">
        <f>HYPERLINK("https://klasma.github.io/Logging_2284/tillsyn/A 16208-2026 tillsynsbegäran.docx", "A 16208-2026")</f>
        <v/>
      </c>
      <c r="AB181">
        <f>HYPERLINK("https://klasma.github.io/Logging_2284/tillsynsmail/A 16208-2026 tillsynsbegäran mail.docx", "A 16208-2026")</f>
        <v/>
      </c>
    </row>
    <row r="182" ht="15" customHeight="1">
      <c r="A182" t="inlineStr">
        <is>
          <t>A 19636-2026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46134</v>
      </c>
      <c r="E182" s="1" t="n">
        <v>46218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9.9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s="2" t="inlineStr">
        <is>
          <t>Ullticka</t>
        </is>
      </c>
      <c r="V182">
        <f>HYPERLINK("https://klasma.github.io/Logging_2284/artfynd/A 19636-2026 artfynd.xlsx", "A 19636-2026")</f>
        <v/>
      </c>
      <c r="W182">
        <f>HYPERLINK("https://klasma.github.io/Logging_2284/kartor/A 19636-2026 karta.png", "A 19636-2026")</f>
        <v/>
      </c>
      <c r="Y182">
        <f>HYPERLINK("https://klasma.github.io/Logging_2284/klagomål/A 19636-2026 FSC-klagomål.docx", "A 19636-2026")</f>
        <v/>
      </c>
      <c r="Z182">
        <f>HYPERLINK("https://klasma.github.io/Logging_2284/klagomålsmail/A 19636-2026 FSC-klagomål mail.docx", "A 19636-2026")</f>
        <v/>
      </c>
      <c r="AA182">
        <f>HYPERLINK("https://klasma.github.io/Logging_2284/tillsyn/A 19636-2026 tillsynsbegäran.docx", "A 19636-2026")</f>
        <v/>
      </c>
      <c r="AB182">
        <f>HYPERLINK("https://klasma.github.io/Logging_2284/tillsynsmail/A 19636-2026 tillsynsbegäran mail.docx", "A 19636-2026")</f>
        <v/>
      </c>
    </row>
    <row r="183" ht="15" customHeight="1">
      <c r="A183" t="inlineStr">
        <is>
          <t>S 9825-2021</t>
        </is>
      </c>
      <c r="B183" t="inlineStr">
        <is>
          <t>samrådsanmälan</t>
        </is>
      </c>
      <c r="C183" t="inlineStr">
        <is>
          <t>Skogsgödsling</t>
        </is>
      </c>
      <c r="D183" s="1" t="n">
        <v>44531</v>
      </c>
      <c r="E183" s="1" t="n">
        <v>46218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1303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s="2" t="inlineStr">
        <is>
          <t>Öring</t>
        </is>
      </c>
      <c r="V183">
        <f>HYPERLINK("https://klasma.github.io/Logging_2284/artfynd/S 9825-2021 artfynd.xlsx", "S 9825-2021")</f>
        <v/>
      </c>
      <c r="W183">
        <f>HYPERLINK("https://klasma.github.io/Logging_2284/kartor/S 9825-2021 karta.png", "S 9825-2021")</f>
        <v/>
      </c>
      <c r="Y183">
        <f>HYPERLINK("https://klasma.github.io/Logging_2284/klagomål/S 9825-2021 FSC-klagomål.docx", "S 9825-2021")</f>
        <v/>
      </c>
      <c r="Z183">
        <f>HYPERLINK("https://klasma.github.io/Logging_2284/klagomålsmail/S 9825-2021 FSC-klagomål mail.docx", "S 9825-2021")</f>
        <v/>
      </c>
      <c r="AA183">
        <f>HYPERLINK("https://klasma.github.io/Logging_2284/tillsyn/S 9825-2021 tillsynsbegäran.docx", "S 9825-2021")</f>
        <v/>
      </c>
      <c r="AB183">
        <f>HYPERLINK("https://klasma.github.io/Logging_2284/tillsynsmail/S 9825-2021 tillsynsbegäran mail.docx", "S 9825-2021")</f>
        <v/>
      </c>
    </row>
    <row r="184" ht="15" customHeight="1">
      <c r="A184" t="inlineStr">
        <is>
          <t>S 4959-2024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45628</v>
      </c>
      <c r="E184" s="1" t="n">
        <v>46218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806.7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s="2" t="inlineStr">
        <is>
          <t>Tjäder</t>
        </is>
      </c>
      <c r="V184">
        <f>HYPERLINK("https://klasma.github.io/Logging_2284/artfynd/S 4959-2024 artfynd.xlsx", "S 4959-2024")</f>
        <v/>
      </c>
      <c r="W184">
        <f>HYPERLINK("https://klasma.github.io/Logging_2284/kartor/S 4959-2024 karta.png", "S 4959-2024")</f>
        <v/>
      </c>
      <c r="Y184">
        <f>HYPERLINK("https://klasma.github.io/Logging_2284/klagomål/S 4959-2024 FSC-klagomål.docx", "S 4959-2024")</f>
        <v/>
      </c>
      <c r="Z184">
        <f>HYPERLINK("https://klasma.github.io/Logging_2284/klagomålsmail/S 4959-2024 FSC-klagomål mail.docx", "S 4959-2024")</f>
        <v/>
      </c>
      <c r="AA184">
        <f>HYPERLINK("https://klasma.github.io/Logging_2284/tillsyn/S 4959-2024 tillsynsbegäran.docx", "S 4959-2024")</f>
        <v/>
      </c>
      <c r="AB184">
        <f>HYPERLINK("https://klasma.github.io/Logging_2284/tillsynsmail/S 4959-2024 tillsynsbegäran mail.docx", "S 4959-2024")</f>
        <v/>
      </c>
      <c r="AC184">
        <f>HYPERLINK("https://klasma.github.io/Logging_2284/fåglar/S 4959-2024 prioriterade fågelarter.docx", "S 4959-2024")</f>
        <v/>
      </c>
    </row>
    <row r="185" ht="15" customHeight="1">
      <c r="A185" t="inlineStr">
        <is>
          <t>S 963-2026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46114</v>
      </c>
      <c r="E185" s="1" t="n">
        <v>46218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s="2" t="inlineStr">
        <is>
          <t>Violettgrå tagellav</t>
        </is>
      </c>
      <c r="V185">
        <f>HYPERLINK("https://klasma.github.io/Logging_2284/artfynd/S 963-2026 artfynd.xlsx", "S 963-2026")</f>
        <v/>
      </c>
      <c r="W185">
        <f>HYPERLINK("https://klasma.github.io/Logging_2284/kartor/S 963-2026 karta.png", "S 963-2026")</f>
        <v/>
      </c>
      <c r="Y185">
        <f>HYPERLINK("https://klasma.github.io/Logging_2284/klagomål/S 963-2026 FSC-klagomål.docx", "S 963-2026")</f>
        <v/>
      </c>
      <c r="Z185">
        <f>HYPERLINK("https://klasma.github.io/Logging_2284/klagomålsmail/S 963-2026 FSC-klagomål mail.docx", "S 963-2026")</f>
        <v/>
      </c>
      <c r="AA185">
        <f>HYPERLINK("https://klasma.github.io/Logging_2284/tillsyn/S 963-2026 tillsynsbegäran.docx", "S 963-2026")</f>
        <v/>
      </c>
      <c r="AB185">
        <f>HYPERLINK("https://klasma.github.io/Logging_2284/tillsynsmail/S 963-2026 tillsynsbegäran mail.docx", "S 963-2026")</f>
        <v/>
      </c>
    </row>
    <row r="186" ht="15" customHeight="1">
      <c r="A186" t="inlineStr">
        <is>
          <t>S 983-2026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46114</v>
      </c>
      <c r="E186" s="1" t="n">
        <v>46218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s="2" t="inlineStr">
        <is>
          <t>Garnlav</t>
        </is>
      </c>
      <c r="V186">
        <f>HYPERLINK("https://klasma.github.io/Logging_2284/artfynd/S 983-2026 artfynd.xlsx", "S 983-2026")</f>
        <v/>
      </c>
      <c r="W186">
        <f>HYPERLINK("https://klasma.github.io/Logging_2284/kartor/S 983-2026 karta.png", "S 983-2026")</f>
        <v/>
      </c>
      <c r="Y186">
        <f>HYPERLINK("https://klasma.github.io/Logging_2284/klagomål/S 983-2026 FSC-klagomål.docx", "S 983-2026")</f>
        <v/>
      </c>
      <c r="Z186">
        <f>HYPERLINK("https://klasma.github.io/Logging_2284/klagomålsmail/S 983-2026 FSC-klagomål mail.docx", "S 983-2026")</f>
        <v/>
      </c>
      <c r="AA186">
        <f>HYPERLINK("https://klasma.github.io/Logging_2284/tillsyn/S 983-2026 tillsynsbegäran.docx", "S 983-2026")</f>
        <v/>
      </c>
      <c r="AB186">
        <f>HYPERLINK("https://klasma.github.io/Logging_2284/tillsynsmail/S 983-2026 tillsynsbegäran mail.docx", "S 983-2026")</f>
        <v/>
      </c>
    </row>
    <row r="187" ht="15" customHeight="1">
      <c r="A187" t="inlineStr">
        <is>
          <t>S 1989-2026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46206</v>
      </c>
      <c r="E187" s="1" t="n">
        <v>46218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13.3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s="2" t="inlineStr">
        <is>
          <t>Lavskrika</t>
        </is>
      </c>
      <c r="V187">
        <f>HYPERLINK("https://klasma.github.io/Logging_2284/artfynd/S 1989-2026 artfynd.xlsx", "S 1989-2026")</f>
        <v/>
      </c>
      <c r="W187">
        <f>HYPERLINK("https://klasma.github.io/Logging_2284/kartor/S 1989-2026 karta.png", "S 1989-2026")</f>
        <v/>
      </c>
      <c r="Y187">
        <f>HYPERLINK("https://klasma.github.io/Logging_2284/klagomål/S 1989-2026 FSC-klagomål.docx", "S 1989-2026")</f>
        <v/>
      </c>
      <c r="Z187">
        <f>HYPERLINK("https://klasma.github.io/Logging_2284/klagomålsmail/S 1989-2026 FSC-klagomål mail.docx", "S 1989-2026")</f>
        <v/>
      </c>
      <c r="AA187">
        <f>HYPERLINK("https://klasma.github.io/Logging_2284/tillsyn/S 1989-2026 tillsynsbegäran.docx", "S 1989-2026")</f>
        <v/>
      </c>
      <c r="AB187">
        <f>HYPERLINK("https://klasma.github.io/Logging_2284/tillsynsmail/S 1989-2026 tillsynsbegäran mail.docx", "S 1989-2026")</f>
        <v/>
      </c>
      <c r="AC187">
        <f>HYPERLINK("https://klasma.github.io/Logging_2284/fåglar/S 1989-2026 prioriterade fågelarter.docx", "S 1989-2026")</f>
        <v/>
      </c>
    </row>
    <row r="188" ht="15" customHeight="1">
      <c r="A188" t="inlineStr">
        <is>
          <t>A 53989-2022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46218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43660-2022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44837</v>
      </c>
      <c r="E189" s="1" t="n">
        <v>46218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53095-2022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44873</v>
      </c>
      <c r="E190" s="1" t="n">
        <v>46218</v>
      </c>
      <c r="F190" t="inlineStr">
        <is>
          <t>VÄSTERNORRLANDS LÄN</t>
        </is>
      </c>
      <c r="G190" t="inlineStr">
        <is>
          <t>ÖRNSKÖLDSVIK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44528-2022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44840</v>
      </c>
      <c r="E191" s="1" t="n">
        <v>46218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48350-2021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44451</v>
      </c>
      <c r="E192" s="1" t="n">
        <v>46218</v>
      </c>
      <c r="F192" t="inlineStr">
        <is>
          <t>VÄSTERNORRLANDS LÄN</t>
        </is>
      </c>
      <c r="G192" t="inlineStr">
        <is>
          <t>ÖRNSKÖLDSVIK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42042-2021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44426</v>
      </c>
      <c r="E193" s="1" t="n">
        <v>46218</v>
      </c>
      <c r="F193" t="inlineStr">
        <is>
          <t>VÄSTERNORRLANDS LÄN</t>
        </is>
      </c>
      <c r="G193" t="inlineStr">
        <is>
          <t>ÖRNSKÖLDSVIK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52413-2021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46218</v>
      </c>
      <c r="F194" t="inlineStr">
        <is>
          <t>VÄSTERNORRLANDS LÄN</t>
        </is>
      </c>
      <c r="G194" t="inlineStr">
        <is>
          <t>ÖRNSKÖLDSVIK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45001-2022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44841</v>
      </c>
      <c r="E195" s="1" t="n">
        <v>46218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43323-2021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44432</v>
      </c>
      <c r="E196" s="1" t="n">
        <v>46218</v>
      </c>
      <c r="F196" t="inlineStr">
        <is>
          <t>VÄSTERNORRLANDS LÄN</t>
        </is>
      </c>
      <c r="G196" t="inlineStr">
        <is>
          <t>ÖRNSKÖLDSVIK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43360-2021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44432</v>
      </c>
      <c r="E197" s="1" t="n">
        <v>46218</v>
      </c>
      <c r="F197" t="inlineStr">
        <is>
          <t>VÄSTERNORRLANDS LÄN</t>
        </is>
      </c>
      <c r="G197" t="inlineStr">
        <is>
          <t>ÖRNSKÖLDSVIK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974-2022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46218</v>
      </c>
      <c r="F198" t="inlineStr">
        <is>
          <t>VÄSTERNORRLANDS LÄN</t>
        </is>
      </c>
      <c r="G198" t="inlineStr">
        <is>
          <t>ÖRNSKÖLDSVIK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69799-2021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44532</v>
      </c>
      <c r="E199" s="1" t="n">
        <v>46218</v>
      </c>
      <c r="F199" t="inlineStr">
        <is>
          <t>VÄSTERNORRLANDS LÄN</t>
        </is>
      </c>
      <c r="G199" t="inlineStr">
        <is>
          <t>ÖRNSKÖLDSVIK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22434-2022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44713</v>
      </c>
      <c r="E200" s="1" t="n">
        <v>46218</v>
      </c>
      <c r="F200" t="inlineStr">
        <is>
          <t>VÄSTERNORRLANDS LÄN</t>
        </is>
      </c>
      <c r="G200" t="inlineStr">
        <is>
          <t>ÖRNSKÖLDSVIK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45812-2022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44846</v>
      </c>
      <c r="E201" s="1" t="n">
        <v>46218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51798-2021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44462</v>
      </c>
      <c r="E202" s="1" t="n">
        <v>46218</v>
      </c>
      <c r="F202" t="inlineStr">
        <is>
          <t>VÄSTERNORRLANDS LÄN</t>
        </is>
      </c>
      <c r="G202" t="inlineStr">
        <is>
          <t>ÖRNSKÖLDSVIK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47879-2022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44855</v>
      </c>
      <c r="E203" s="1" t="n">
        <v>46218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49001-2022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46218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54626-2021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46218</v>
      </c>
      <c r="F205" t="inlineStr">
        <is>
          <t>VÄSTERNORRLANDS LÄN</t>
        </is>
      </c>
      <c r="G205" t="inlineStr">
        <is>
          <t>ÖRNSKÖLDSVIK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40247-2021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44419</v>
      </c>
      <c r="E206" s="1" t="n">
        <v>46218</v>
      </c>
      <c r="F206" t="inlineStr">
        <is>
          <t>VÄSTERNORRLANDS LÄN</t>
        </is>
      </c>
      <c r="G206" t="inlineStr">
        <is>
          <t>ÖRNSKÖLDSVIK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54416-2021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44472</v>
      </c>
      <c r="E207" s="1" t="n">
        <v>46218</v>
      </c>
      <c r="F207" t="inlineStr">
        <is>
          <t>VÄSTERNORRLANDS LÄN</t>
        </is>
      </c>
      <c r="G207" t="inlineStr">
        <is>
          <t>ÖRNSKÖLDSVIK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54436-2021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46218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54461-2021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46218</v>
      </c>
      <c r="F209" t="inlineStr">
        <is>
          <t>VÄSTERNORRLANDS LÄN</t>
        </is>
      </c>
      <c r="G209" t="inlineStr">
        <is>
          <t>ÖRNSKÖLDSVIK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63426-2021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44508</v>
      </c>
      <c r="E210" s="1" t="n">
        <v>46218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63447-2021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46218</v>
      </c>
      <c r="F211" t="inlineStr">
        <is>
          <t>VÄSTERNORRLANDS LÄN</t>
        </is>
      </c>
      <c r="G211" t="inlineStr">
        <is>
          <t>ÖRNSKÖLDSVIK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851-2022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44568</v>
      </c>
      <c r="E212" s="1" t="n">
        <v>46218</v>
      </c>
      <c r="F212" t="inlineStr">
        <is>
          <t>VÄSTERNORRLANDS LÄN</t>
        </is>
      </c>
      <c r="G212" t="inlineStr">
        <is>
          <t>ÖRNSKÖLDSVIK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67452-2021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44524</v>
      </c>
      <c r="E213" s="1" t="n">
        <v>46218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52074-2021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44463</v>
      </c>
      <c r="E214" s="1" t="n">
        <v>46218</v>
      </c>
      <c r="F214" t="inlineStr">
        <is>
          <t>VÄSTERNORRLANDS LÄN</t>
        </is>
      </c>
      <c r="G214" t="inlineStr">
        <is>
          <t>ÖRNSKÖLDSVIK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42365-2021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44427</v>
      </c>
      <c r="E215" s="1" t="n">
        <v>46218</v>
      </c>
      <c r="F215" t="inlineStr">
        <is>
          <t>VÄSTERNORRLANDS LÄN</t>
        </is>
      </c>
      <c r="G215" t="inlineStr">
        <is>
          <t>ÖRNSKÖLDSVIK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46218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46218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46218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47413-2021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44447</v>
      </c>
      <c r="E219" s="1" t="n">
        <v>46218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38117-2022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46218</v>
      </c>
      <c r="F220" t="inlineStr">
        <is>
          <t>VÄSTERNORRLANDS LÄN</t>
        </is>
      </c>
      <c r="G220" t="inlineStr">
        <is>
          <t>ÖRNSKÖLDSVIK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46218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46218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46218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46218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46218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46218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46218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21706-2022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44707</v>
      </c>
      <c r="E228" s="1" t="n">
        <v>46218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47058-2022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44852</v>
      </c>
      <c r="E229" s="1" t="n">
        <v>46218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69962-2021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44533</v>
      </c>
      <c r="E230" s="1" t="n">
        <v>46218</v>
      </c>
      <c r="F230" t="inlineStr">
        <is>
          <t>VÄSTERNORRLANDS LÄN</t>
        </is>
      </c>
      <c r="G230" t="inlineStr">
        <is>
          <t>ÖRNSKÖLDSVIK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2271-2022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46218</v>
      </c>
      <c r="F231" t="inlineStr">
        <is>
          <t>VÄSTERNORRLANDS LÄN</t>
        </is>
      </c>
      <c r="G231" t="inlineStr">
        <is>
          <t>ÖRNSKÖLDSVIK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56741-2021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44481</v>
      </c>
      <c r="E232" s="1" t="n">
        <v>46218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46218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38157-2021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44405</v>
      </c>
      <c r="E234" s="1" t="n">
        <v>46218</v>
      </c>
      <c r="F234" t="inlineStr">
        <is>
          <t>VÄSTERNORRLANDS LÄN</t>
        </is>
      </c>
      <c r="G234" t="inlineStr">
        <is>
          <t>ÖRNSKÖLDSVIK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41166-2022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46218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41515-2021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44424</v>
      </c>
      <c r="E236" s="1" t="n">
        <v>46218</v>
      </c>
      <c r="F236" t="inlineStr">
        <is>
          <t>VÄSTERNORRLANDS LÄN</t>
        </is>
      </c>
      <c r="G236" t="inlineStr">
        <is>
          <t>ÖRNSKÖLDSVIK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689-2022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44566</v>
      </c>
      <c r="E237" s="1" t="n">
        <v>46218</v>
      </c>
      <c r="F237" t="inlineStr">
        <is>
          <t>VÄSTERNORRLANDS LÄN</t>
        </is>
      </c>
      <c r="G237" t="inlineStr">
        <is>
          <t>ÖRNSKÖLDSVIK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21870-2022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44711</v>
      </c>
      <c r="E238" s="1" t="n">
        <v>46218</v>
      </c>
      <c r="F238" t="inlineStr">
        <is>
          <t>VÄSTERNORRLANDS LÄN</t>
        </is>
      </c>
      <c r="G238" t="inlineStr">
        <is>
          <t>ÖRNSKÖLDSVIK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64434-2021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44511</v>
      </c>
      <c r="E239" s="1" t="n">
        <v>46218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38818-2021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44411</v>
      </c>
      <c r="E240" s="1" t="n">
        <v>46218</v>
      </c>
      <c r="F240" t="inlineStr">
        <is>
          <t>VÄSTERNORRLANDS LÄN</t>
        </is>
      </c>
      <c r="G240" t="inlineStr">
        <is>
          <t>ÖRNSKÖLDSVIK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45799-2021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44441</v>
      </c>
      <c r="E241" s="1" t="n">
        <v>46218</v>
      </c>
      <c r="F241" t="inlineStr">
        <is>
          <t>VÄSTERNORRLANDS LÄN</t>
        </is>
      </c>
      <c r="G241" t="inlineStr">
        <is>
          <t>ÖRNSKÖLDSVIK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41374-2021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44424</v>
      </c>
      <c r="E242" s="1" t="n">
        <v>46218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64542-2021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46218</v>
      </c>
      <c r="F243" t="inlineStr">
        <is>
          <t>VÄSTERNORRLANDS LÄN</t>
        </is>
      </c>
      <c r="G243" t="inlineStr">
        <is>
          <t>ÖRNSKÖLDSVIK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25976-2022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44734</v>
      </c>
      <c r="E244" s="1" t="n">
        <v>46218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62569-2021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44503</v>
      </c>
      <c r="E245" s="1" t="n">
        <v>46218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40413-2022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44823</v>
      </c>
      <c r="E246" s="1" t="n">
        <v>46218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23.3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47672-2021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44448</v>
      </c>
      <c r="E247" s="1" t="n">
        <v>46218</v>
      </c>
      <c r="F247" t="inlineStr">
        <is>
          <t>VÄSTERNORRLANDS LÄN</t>
        </is>
      </c>
      <c r="G247" t="inlineStr">
        <is>
          <t>ÖRNSKÖLDSVIK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17781-2022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44682</v>
      </c>
      <c r="E248" s="1" t="n">
        <v>46218</v>
      </c>
      <c r="F248" t="inlineStr">
        <is>
          <t>VÄSTERNORRLANDS LÄN</t>
        </is>
      </c>
      <c r="G248" t="inlineStr">
        <is>
          <t>ÖRNSKÖLDSVIK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35204-2022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44797</v>
      </c>
      <c r="E249" s="1" t="n">
        <v>46218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68815-2021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44529</v>
      </c>
      <c r="E250" s="1" t="n">
        <v>46218</v>
      </c>
      <c r="F250" t="inlineStr">
        <is>
          <t>VÄSTERNORRLANDS LÄN</t>
        </is>
      </c>
      <c r="G250" t="inlineStr">
        <is>
          <t>ÖRNSKÖLDSVIK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62647-2021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44503</v>
      </c>
      <c r="E251" s="1" t="n">
        <v>46218</v>
      </c>
      <c r="F251" t="inlineStr">
        <is>
          <t>VÄSTERNORRLANDS LÄN</t>
        </is>
      </c>
      <c r="G251" t="inlineStr">
        <is>
          <t>ÖRNSKÖLDSVIK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70770-2021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44536</v>
      </c>
      <c r="E252" s="1" t="n">
        <v>46218</v>
      </c>
      <c r="F252" t="inlineStr">
        <is>
          <t>VÄSTERNORRLANDS LÄN</t>
        </is>
      </c>
      <c r="G252" t="inlineStr">
        <is>
          <t>ÖRNSKÖLDSVIK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50243-2022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44865</v>
      </c>
      <c r="E253" s="1" t="n">
        <v>46218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Holmen skog AB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21703-2022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46218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21705-2022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44707</v>
      </c>
      <c r="E255" s="1" t="n">
        <v>46218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SCA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45894-2022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46218</v>
      </c>
      <c r="F256" t="inlineStr">
        <is>
          <t>VÄSTERNORRLANDS LÄN</t>
        </is>
      </c>
      <c r="G256" t="inlineStr">
        <is>
          <t>ÖRNSKÖLDSVIK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46712-2022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46218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32861-2022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44784</v>
      </c>
      <c r="E258" s="1" t="n">
        <v>46218</v>
      </c>
      <c r="F258" t="inlineStr">
        <is>
          <t>VÄSTERNORRLANDS LÄN</t>
        </is>
      </c>
      <c r="G258" t="inlineStr">
        <is>
          <t>ÖRNSKÖLDSVIK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31918-2022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44777</v>
      </c>
      <c r="E259" s="1" t="n">
        <v>46218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4794-2022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44592</v>
      </c>
      <c r="E260" s="1" t="n">
        <v>46218</v>
      </c>
      <c r="F260" t="inlineStr">
        <is>
          <t>VÄSTERNORRLANDS LÄN</t>
        </is>
      </c>
      <c r="G260" t="inlineStr">
        <is>
          <t>ÖRNSKÖLDSVIK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69771-2021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44532</v>
      </c>
      <c r="E261" s="1" t="n">
        <v>46218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48121-2022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44857</v>
      </c>
      <c r="E262" s="1" t="n">
        <v>46218</v>
      </c>
      <c r="F262" t="inlineStr">
        <is>
          <t>VÄSTERNORRLANDS LÄN</t>
        </is>
      </c>
      <c r="G262" t="inlineStr">
        <is>
          <t>ÖRNSKÖLDSVIK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26635-2022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46218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26844-2022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44740</v>
      </c>
      <c r="E264" s="1" t="n">
        <v>46218</v>
      </c>
      <c r="F264" t="inlineStr">
        <is>
          <t>VÄSTERNORRLANDS LÄN</t>
        </is>
      </c>
      <c r="G264" t="inlineStr">
        <is>
          <t>ÖRNSKÖLDSVIK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26847-2022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46218</v>
      </c>
      <c r="F265" t="inlineStr">
        <is>
          <t>VÄSTERNORRLANDS LÄN</t>
        </is>
      </c>
      <c r="G265" t="inlineStr">
        <is>
          <t>ÖRNSKÖLDSVIK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33555-2022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44789</v>
      </c>
      <c r="E266" s="1" t="n">
        <v>46218</v>
      </c>
      <c r="F266" t="inlineStr">
        <is>
          <t>VÄSTERNORRLANDS LÄN</t>
        </is>
      </c>
      <c r="G266" t="inlineStr">
        <is>
          <t>ÖRNSKÖLDSVIK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44437-2021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44435</v>
      </c>
      <c r="E267" s="1" t="n">
        <v>46218</v>
      </c>
      <c r="F267" t="inlineStr">
        <is>
          <t>VÄSTERNORRLANDS LÄN</t>
        </is>
      </c>
      <c r="G267" t="inlineStr">
        <is>
          <t>ÖRNSKÖLDSVIK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41392-2021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44424</v>
      </c>
      <c r="E268" s="1" t="n">
        <v>46218</v>
      </c>
      <c r="F268" t="inlineStr">
        <is>
          <t>VÄSTERNORRLANDS LÄN</t>
        </is>
      </c>
      <c r="G268" t="inlineStr">
        <is>
          <t>ÖRNSKÖLDSVIK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63508-2021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44508</v>
      </c>
      <c r="E269" s="1" t="n">
        <v>46218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4428-2022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44589</v>
      </c>
      <c r="E270" s="1" t="n">
        <v>46218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65577-2021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44516</v>
      </c>
      <c r="E271" s="1" t="n">
        <v>46218</v>
      </c>
      <c r="F271" t="inlineStr">
        <is>
          <t>VÄSTERNORRLANDS LÄN</t>
        </is>
      </c>
      <c r="G271" t="inlineStr">
        <is>
          <t>ÖRNSKÖLDSVIK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19061-2022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44697</v>
      </c>
      <c r="E272" s="1" t="n">
        <v>46218</v>
      </c>
      <c r="F272" t="inlineStr">
        <is>
          <t>VÄSTERNORRLANDS LÄN</t>
        </is>
      </c>
      <c r="G272" t="inlineStr">
        <is>
          <t>ÖRNSKÖLDSVIK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64113-2021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44509</v>
      </c>
      <c r="E273" s="1" t="n">
        <v>46218</v>
      </c>
      <c r="F273" t="inlineStr">
        <is>
          <t>VÄSTERNORRLANDS LÄN</t>
        </is>
      </c>
      <c r="G273" t="inlineStr">
        <is>
          <t>ÖRNSKÖLDSVIK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45513-2022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44845</v>
      </c>
      <c r="E274" s="1" t="n">
        <v>46218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21240-2022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44705</v>
      </c>
      <c r="E275" s="1" t="n">
        <v>46218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42730-2022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44832</v>
      </c>
      <c r="E276" s="1" t="n">
        <v>46218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16249-2022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44670</v>
      </c>
      <c r="E277" s="1" t="n">
        <v>46218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46224-2022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44847</v>
      </c>
      <c r="E278" s="1" t="n">
        <v>46218</v>
      </c>
      <c r="F278" t="inlineStr">
        <is>
          <t>VÄSTERNORRLANDS LÄN</t>
        </is>
      </c>
      <c r="G278" t="inlineStr">
        <is>
          <t>ÖRNSKÖLDSVIK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44322-2022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44839</v>
      </c>
      <c r="E279" s="1" t="n">
        <v>46218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63443-2021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46218</v>
      </c>
      <c r="F280" t="inlineStr">
        <is>
          <t>VÄSTERNORRLANDS LÄN</t>
        </is>
      </c>
      <c r="G280" t="inlineStr">
        <is>
          <t>ÖRNSKÖLDSVIK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68378-2021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44529</v>
      </c>
      <c r="E281" s="1" t="n">
        <v>46218</v>
      </c>
      <c r="F281" t="inlineStr">
        <is>
          <t>VÄSTERNORRLANDS LÄN</t>
        </is>
      </c>
      <c r="G281" t="inlineStr">
        <is>
          <t>ÖRNSKÖLDSVIK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69000-2021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44530</v>
      </c>
      <c r="E282" s="1" t="n">
        <v>46218</v>
      </c>
      <c r="F282" t="inlineStr">
        <is>
          <t>VÄSTERNORRLANDS LÄN</t>
        </is>
      </c>
      <c r="G282" t="inlineStr">
        <is>
          <t>ÖRNSKÖLDSVIK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39470-2022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44818</v>
      </c>
      <c r="E283" s="1" t="n">
        <v>46218</v>
      </c>
      <c r="F283" t="inlineStr">
        <is>
          <t>VÄSTERNORRLANDS LÄN</t>
        </is>
      </c>
      <c r="G283" t="inlineStr">
        <is>
          <t>ÖRNSKÖLDSVIK</t>
        </is>
      </c>
      <c r="H283" t="inlineStr">
        <is>
          <t>Holmen skog AB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69786-2021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44532</v>
      </c>
      <c r="E284" s="1" t="n">
        <v>46218</v>
      </c>
      <c r="F284" t="inlineStr">
        <is>
          <t>VÄSTERNORRLANDS LÄN</t>
        </is>
      </c>
      <c r="G284" t="inlineStr">
        <is>
          <t>ÖRNSKÖLDSVIK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46218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55273-2022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46218</v>
      </c>
      <c r="F286" t="inlineStr">
        <is>
          <t>VÄSTERNORRLANDS LÄN</t>
        </is>
      </c>
      <c r="G286" t="inlineStr">
        <is>
          <t>ÖRNSKÖLDSVIK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53807-2021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46218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71074-2021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44538</v>
      </c>
      <c r="E288" s="1" t="n">
        <v>46218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SCA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45320-2022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46218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58442-2021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44488</v>
      </c>
      <c r="E290" s="1" t="n">
        <v>46218</v>
      </c>
      <c r="F290" t="inlineStr">
        <is>
          <t>VÄSTERNORRLANDS LÄN</t>
        </is>
      </c>
      <c r="G290" t="inlineStr">
        <is>
          <t>ÖRNSKÖLDSVIK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39500-2022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44818</v>
      </c>
      <c r="E291" s="1" t="n">
        <v>46218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44799-2022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44841</v>
      </c>
      <c r="E292" s="1" t="n">
        <v>46218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41847-2022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44828</v>
      </c>
      <c r="E293" s="1" t="n">
        <v>46218</v>
      </c>
      <c r="F293" t="inlineStr">
        <is>
          <t>VÄSTERNORRLANDS LÄN</t>
        </is>
      </c>
      <c r="G293" t="inlineStr">
        <is>
          <t>ÖRNSKÖLDSVIK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72519-2021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44546</v>
      </c>
      <c r="E294" s="1" t="n">
        <v>46218</v>
      </c>
      <c r="F294" t="inlineStr">
        <is>
          <t>VÄSTERNORRLANDS LÄN</t>
        </is>
      </c>
      <c r="G294" t="inlineStr">
        <is>
          <t>ÖRNSKÖLDSVIK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42363-2022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44831</v>
      </c>
      <c r="E295" s="1" t="n">
        <v>46218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45248-2022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44844</v>
      </c>
      <c r="E296" s="1" t="n">
        <v>46218</v>
      </c>
      <c r="F296" t="inlineStr">
        <is>
          <t>VÄSTERNORRLANDS LÄN</t>
        </is>
      </c>
      <c r="G296" t="inlineStr">
        <is>
          <t>ÖRNSKÖLDSVIK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45254-2022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44844</v>
      </c>
      <c r="E297" s="1" t="n">
        <v>46218</v>
      </c>
      <c r="F297" t="inlineStr">
        <is>
          <t>VÄSTERNORRLANDS LÄN</t>
        </is>
      </c>
      <c r="G297" t="inlineStr">
        <is>
          <t>ÖRNSKÖLDSVIK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56334-2021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44480</v>
      </c>
      <c r="E298" s="1" t="n">
        <v>46218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62288-2021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46218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59533-2021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44491</v>
      </c>
      <c r="E300" s="1" t="n">
        <v>46218</v>
      </c>
      <c r="F300" t="inlineStr">
        <is>
          <t>VÄSTERNORRLANDS LÄN</t>
        </is>
      </c>
      <c r="G300" t="inlineStr">
        <is>
          <t>ÖRNSKÖLDSVIK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47143-2021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44446</v>
      </c>
      <c r="E301" s="1" t="n">
        <v>46218</v>
      </c>
      <c r="F301" t="inlineStr">
        <is>
          <t>VÄSTERNORRLANDS LÄN</t>
        </is>
      </c>
      <c r="G301" t="inlineStr">
        <is>
          <t>ÖRNSKÖLDSVIK</t>
        </is>
      </c>
      <c r="I301" t="n">
        <v>32.5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66753-2021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44521</v>
      </c>
      <c r="E302" s="1" t="n">
        <v>46218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16336-2022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44670</v>
      </c>
      <c r="E303" s="1" t="n">
        <v>46218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48633-2022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44859</v>
      </c>
      <c r="E304" s="1" t="n">
        <v>46218</v>
      </c>
      <c r="F304" t="inlineStr">
        <is>
          <t>VÄSTERNORRLANDS LÄN</t>
        </is>
      </c>
      <c r="G304" t="inlineStr">
        <is>
          <t>ÖRNSKÖLDSVIK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60469-2021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46218</v>
      </c>
      <c r="F305" t="inlineStr">
        <is>
          <t>VÄSTERNORRLANDS LÄN</t>
        </is>
      </c>
      <c r="G305" t="inlineStr">
        <is>
          <t>ÖRNSKÖLDSVIK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55915-2022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44889</v>
      </c>
      <c r="E306" s="1" t="n">
        <v>46218</v>
      </c>
      <c r="F306" t="inlineStr">
        <is>
          <t>VÄSTERNORRLANDS LÄN</t>
        </is>
      </c>
      <c r="G306" t="inlineStr">
        <is>
          <t>ÖRNSKÖLDSVIK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52652-2021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44466</v>
      </c>
      <c r="E307" s="1" t="n">
        <v>46218</v>
      </c>
      <c r="F307" t="inlineStr">
        <is>
          <t>VÄSTERNORRLANDS LÄN</t>
        </is>
      </c>
      <c r="G307" t="inlineStr">
        <is>
          <t>ÖRNSKÖLDSVIK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61355-2021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46218</v>
      </c>
      <c r="F308" t="inlineStr">
        <is>
          <t>VÄSTERNORRLANDS LÄN</t>
        </is>
      </c>
      <c r="G308" t="inlineStr">
        <is>
          <t>ÖRNSKÖLDSVIK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60620-2021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44496</v>
      </c>
      <c r="E309" s="1" t="n">
        <v>46218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68829-2021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44529</v>
      </c>
      <c r="E310" s="1" t="n">
        <v>46218</v>
      </c>
      <c r="F310" t="inlineStr">
        <is>
          <t>VÄSTERNORRLANDS LÄN</t>
        </is>
      </c>
      <c r="G310" t="inlineStr">
        <is>
          <t>ÖRNSKÖLDSVIK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40483-2022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44823</v>
      </c>
      <c r="E311" s="1" t="n">
        <v>46218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699-2022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44568</v>
      </c>
      <c r="E312" s="1" t="n">
        <v>46218</v>
      </c>
      <c r="F312" t="inlineStr">
        <is>
          <t>VÄSTERNORRLANDS LÄN</t>
        </is>
      </c>
      <c r="G312" t="inlineStr">
        <is>
          <t>ÖRNSKÖLDSVIK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33911-2022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44790</v>
      </c>
      <c r="E313" s="1" t="n">
        <v>46218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51601-2021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44461</v>
      </c>
      <c r="E314" s="1" t="n">
        <v>46218</v>
      </c>
      <c r="F314" t="inlineStr">
        <is>
          <t>VÄSTERNORRLANDS LÄN</t>
        </is>
      </c>
      <c r="G314" t="inlineStr">
        <is>
          <t>ÖRNSKÖLDSVIK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33201-2022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44785</v>
      </c>
      <c r="E315" s="1" t="n">
        <v>46218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Kyrkan</t>
        </is>
      </c>
      <c r="I315" t="n">
        <v>10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50411-2021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44459</v>
      </c>
      <c r="E316" s="1" t="n">
        <v>46218</v>
      </c>
      <c r="F316" t="inlineStr">
        <is>
          <t>VÄSTERNORRLANDS LÄN</t>
        </is>
      </c>
      <c r="G316" t="inlineStr">
        <is>
          <t>ÖRNSKÖLDSVIK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832-2022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44568</v>
      </c>
      <c r="E317" s="1" t="n">
        <v>46218</v>
      </c>
      <c r="F317" t="inlineStr">
        <is>
          <t>VÄSTERNORRLANDS LÄN</t>
        </is>
      </c>
      <c r="G317" t="inlineStr">
        <is>
          <t>ÖRNSKÖLDSVIK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42344-2021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44427</v>
      </c>
      <c r="E318" s="1" t="n">
        <v>46218</v>
      </c>
      <c r="F318" t="inlineStr">
        <is>
          <t>VÄSTERNORRLANDS LÄN</t>
        </is>
      </c>
      <c r="G318" t="inlineStr">
        <is>
          <t>ÖRNSKÖLDSVIK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46948-2021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44446</v>
      </c>
      <c r="E319" s="1" t="n">
        <v>46218</v>
      </c>
      <c r="F319" t="inlineStr">
        <is>
          <t>VÄSTERNORRLANDS LÄN</t>
        </is>
      </c>
      <c r="G319" t="inlineStr">
        <is>
          <t>ÖRNSKÖLDSVIK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44566</v>
      </c>
      <c r="E320" s="1" t="n">
        <v>46218</v>
      </c>
      <c r="F320" t="inlineStr">
        <is>
          <t>VÄSTERNORRLANDS LÄN</t>
        </is>
      </c>
      <c r="G320" t="inlineStr">
        <is>
          <t>ÖRNSKÖLDSVIK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21569-2022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44706</v>
      </c>
      <c r="E321" s="1" t="n">
        <v>46218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37247-2022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44806</v>
      </c>
      <c r="E322" s="1" t="n">
        <v>46218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SCA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27634-2022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44742</v>
      </c>
      <c r="E323" s="1" t="n">
        <v>46218</v>
      </c>
      <c r="F323" t="inlineStr">
        <is>
          <t>VÄSTERNORRLANDS LÄN</t>
        </is>
      </c>
      <c r="G323" t="inlineStr">
        <is>
          <t>ÖRNSKÖLDSVIK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59227-2021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44490</v>
      </c>
      <c r="E324" s="1" t="n">
        <v>46218</v>
      </c>
      <c r="F324" t="inlineStr">
        <is>
          <t>VÄSTERNORRLANDS LÄN</t>
        </is>
      </c>
      <c r="G324" t="inlineStr">
        <is>
          <t>ÖRNSKÖLDSVIK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47410-2021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44447</v>
      </c>
      <c r="E325" s="1" t="n">
        <v>46218</v>
      </c>
      <c r="F325" t="inlineStr">
        <is>
          <t>VÄSTERNORRLANDS LÄN</t>
        </is>
      </c>
      <c r="G325" t="inlineStr">
        <is>
          <t>ÖRNSKÖLDSVIK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61356-2021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46218</v>
      </c>
      <c r="F326" t="inlineStr">
        <is>
          <t>VÄSTERNORRLANDS LÄN</t>
        </is>
      </c>
      <c r="G326" t="inlineStr">
        <is>
          <t>ÖRNSKÖLDSVIK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51506-2022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46218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55283-2022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46218</v>
      </c>
      <c r="F328" t="inlineStr">
        <is>
          <t>VÄSTERNORRLANDS LÄN</t>
        </is>
      </c>
      <c r="G328" t="inlineStr">
        <is>
          <t>ÖRNSKÖLDSVIK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30247-2022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44758</v>
      </c>
      <c r="E329" s="1" t="n">
        <v>46218</v>
      </c>
      <c r="F329" t="inlineStr">
        <is>
          <t>VÄSTERNORRLANDS LÄN</t>
        </is>
      </c>
      <c r="G329" t="inlineStr">
        <is>
          <t>ÖRNSKÖLDSVIK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59545-2021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44491</v>
      </c>
      <c r="E330" s="1" t="n">
        <v>46218</v>
      </c>
      <c r="F330" t="inlineStr">
        <is>
          <t>VÄSTERNORRLANDS LÄN</t>
        </is>
      </c>
      <c r="G330" t="inlineStr">
        <is>
          <t>ÖRNSKÖLDSVIK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30408-2022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44761</v>
      </c>
      <c r="E331" s="1" t="n">
        <v>46218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26023-2022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44734</v>
      </c>
      <c r="E332" s="1" t="n">
        <v>46218</v>
      </c>
      <c r="F332" t="inlineStr">
        <is>
          <t>VÄSTERNORRLANDS LÄN</t>
        </is>
      </c>
      <c r="G332" t="inlineStr">
        <is>
          <t>ÖRNSKÖLDSVIK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36554-2022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44804</v>
      </c>
      <c r="E333" s="1" t="n">
        <v>46218</v>
      </c>
      <c r="F333" t="inlineStr">
        <is>
          <t>VÄSTERNORRLANDS LÄN</t>
        </is>
      </c>
      <c r="G333" t="inlineStr">
        <is>
          <t>ÖRNSKÖLDSVIK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45829-2022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44846</v>
      </c>
      <c r="E334" s="1" t="n">
        <v>46218</v>
      </c>
      <c r="F334" t="inlineStr">
        <is>
          <t>VÄSTERNORRLANDS LÄN</t>
        </is>
      </c>
      <c r="G334" t="inlineStr">
        <is>
          <t>ÖRNSKÖLDSVIK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42320-2022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44831</v>
      </c>
      <c r="E335" s="1" t="n">
        <v>46218</v>
      </c>
      <c r="F335" t="inlineStr">
        <is>
          <t>VÄSTERNORRLANDS LÄN</t>
        </is>
      </c>
      <c r="G335" t="inlineStr">
        <is>
          <t>ÖRNSKÖLDSVIK</t>
        </is>
      </c>
      <c r="I335" t="n">
        <v>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28848-2022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44749</v>
      </c>
      <c r="E336" s="1" t="n">
        <v>46218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42319-2021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44427</v>
      </c>
      <c r="E337" s="1" t="n">
        <v>46218</v>
      </c>
      <c r="F337" t="inlineStr">
        <is>
          <t>VÄSTERNORRLANDS LÄN</t>
        </is>
      </c>
      <c r="G337" t="inlineStr">
        <is>
          <t>ÖRNSKÖLDSVIK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68876-2021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44530</v>
      </c>
      <c r="E338" s="1" t="n">
        <v>46218</v>
      </c>
      <c r="F338" t="inlineStr">
        <is>
          <t>VÄSTERNORRLANDS LÄN</t>
        </is>
      </c>
      <c r="G338" t="inlineStr">
        <is>
          <t>ÖRNSKÖLDSVIK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44843-2022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44839</v>
      </c>
      <c r="E339" s="1" t="n">
        <v>46218</v>
      </c>
      <c r="F339" t="inlineStr">
        <is>
          <t>VÄSTERNORRLANDS LÄN</t>
        </is>
      </c>
      <c r="G339" t="inlineStr">
        <is>
          <t>ÖRNSKÖLDSVIK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41248-2022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44826</v>
      </c>
      <c r="E340" s="1" t="n">
        <v>46218</v>
      </c>
      <c r="F340" t="inlineStr">
        <is>
          <t>VÄSTERNORRLANDS LÄN</t>
        </is>
      </c>
      <c r="G340" t="inlineStr">
        <is>
          <t>ÖRNSKÖLDSVIK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42339-2021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44427</v>
      </c>
      <c r="E341" s="1" t="n">
        <v>46218</v>
      </c>
      <c r="F341" t="inlineStr">
        <is>
          <t>VÄSTERNORRLANDS LÄN</t>
        </is>
      </c>
      <c r="G341" t="inlineStr">
        <is>
          <t>ÖRNSKÖLDSVIK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8581-2022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44613</v>
      </c>
      <c r="E342" s="1" t="n">
        <v>46218</v>
      </c>
      <c r="F342" t="inlineStr">
        <is>
          <t>VÄSTERNORRLANDS LÄN</t>
        </is>
      </c>
      <c r="G342" t="inlineStr">
        <is>
          <t>ÖRNSKÖLDSVIK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16209-2022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44670</v>
      </c>
      <c r="E343" s="1" t="n">
        <v>46218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16211-2022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44670</v>
      </c>
      <c r="E344" s="1" t="n">
        <v>46218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18074-2022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44684</v>
      </c>
      <c r="E345" s="1" t="n">
        <v>46218</v>
      </c>
      <c r="F345" t="inlineStr">
        <is>
          <t>VÄSTERNORRLANDS LÄN</t>
        </is>
      </c>
      <c r="G345" t="inlineStr">
        <is>
          <t>ÖRNSKÖLDSVIK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45050-2021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44439</v>
      </c>
      <c r="E346" s="1" t="n">
        <v>46218</v>
      </c>
      <c r="F346" t="inlineStr">
        <is>
          <t>VÄSTERNORRLANDS LÄN</t>
        </is>
      </c>
      <c r="G346" t="inlineStr">
        <is>
          <t>ÖRNSKÖLDSVIK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20096-2022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44698</v>
      </c>
      <c r="E347" s="1" t="n">
        <v>46218</v>
      </c>
      <c r="F347" t="inlineStr">
        <is>
          <t>VÄSTERNORRLANDS LÄN</t>
        </is>
      </c>
      <c r="G347" t="inlineStr">
        <is>
          <t>ÖRNSKÖLDSVIK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57438-2021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44483</v>
      </c>
      <c r="E348" s="1" t="n">
        <v>46218</v>
      </c>
      <c r="F348" t="inlineStr">
        <is>
          <t>VÄSTERNORRLANDS LÄN</t>
        </is>
      </c>
      <c r="G348" t="inlineStr">
        <is>
          <t>ÖRNSKÖLDSVIK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66752-2021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44521</v>
      </c>
      <c r="E349" s="1" t="n">
        <v>46218</v>
      </c>
      <c r="F349" t="inlineStr">
        <is>
          <t>VÄSTERNORRLANDS LÄN</t>
        </is>
      </c>
      <c r="G349" t="inlineStr">
        <is>
          <t>ÖRNSKÖLDSVIK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21601-2022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44706</v>
      </c>
      <c r="E350" s="1" t="n">
        <v>46218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64714-2021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44512</v>
      </c>
      <c r="E351" s="1" t="n">
        <v>46218</v>
      </c>
      <c r="F351" t="inlineStr">
        <is>
          <t>VÄSTERNORRLANDS LÄN</t>
        </is>
      </c>
      <c r="G351" t="inlineStr">
        <is>
          <t>ÖRNSKÖLDSVIK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22077-2022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44711</v>
      </c>
      <c r="E352" s="1" t="n">
        <v>46218</v>
      </c>
      <c r="F352" t="inlineStr">
        <is>
          <t>VÄSTERNORRLANDS LÄN</t>
        </is>
      </c>
      <c r="G352" t="inlineStr">
        <is>
          <t>ÖRNSKÖLDSVIK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55638-2021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44476</v>
      </c>
      <c r="E353" s="1" t="n">
        <v>46218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57310-2021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44483</v>
      </c>
      <c r="E354" s="1" t="n">
        <v>46218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944-2022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44568</v>
      </c>
      <c r="E355" s="1" t="n">
        <v>46218</v>
      </c>
      <c r="F355" t="inlineStr">
        <is>
          <t>VÄSTERNORRLANDS LÄN</t>
        </is>
      </c>
      <c r="G355" t="inlineStr">
        <is>
          <t>ÖRNSKÖLDSVIK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64707-2021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44512</v>
      </c>
      <c r="E356" s="1" t="n">
        <v>46218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48541-2021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44452</v>
      </c>
      <c r="E357" s="1" t="n">
        <v>46218</v>
      </c>
      <c r="F357" t="inlineStr">
        <is>
          <t>VÄSTERNORRLANDS LÄN</t>
        </is>
      </c>
      <c r="G357" t="inlineStr">
        <is>
          <t>ÖRNSKÖLDSVIK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67865-2021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44525</v>
      </c>
      <c r="E358" s="1" t="n">
        <v>46218</v>
      </c>
      <c r="F358" t="inlineStr">
        <is>
          <t>VÄSTERNORRLANDS LÄN</t>
        </is>
      </c>
      <c r="G358" t="inlineStr">
        <is>
          <t>ÖRNSKÖLDSVIK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52290-2021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44463</v>
      </c>
      <c r="E359" s="1" t="n">
        <v>46218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50867-2022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44867</v>
      </c>
      <c r="E360" s="1" t="n">
        <v>46218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14.5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67834-2021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44525</v>
      </c>
      <c r="E361" s="1" t="n">
        <v>46218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20600-2022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44700</v>
      </c>
      <c r="E362" s="1" t="n">
        <v>46218</v>
      </c>
      <c r="F362" t="inlineStr">
        <is>
          <t>VÄSTERNORRLANDS LÄN</t>
        </is>
      </c>
      <c r="G362" t="inlineStr">
        <is>
          <t>ÖRNSKÖLDSVIK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52062-2021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44463</v>
      </c>
      <c r="E363" s="1" t="n">
        <v>46218</v>
      </c>
      <c r="F363" t="inlineStr">
        <is>
          <t>VÄSTERNORRLANDS LÄN</t>
        </is>
      </c>
      <c r="G363" t="inlineStr">
        <is>
          <t>ÖRNSKÖLDSVIK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21595-2022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44706</v>
      </c>
      <c r="E364" s="1" t="n">
        <v>46218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64116-2021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44509</v>
      </c>
      <c r="E365" s="1" t="n">
        <v>46218</v>
      </c>
      <c r="F365" t="inlineStr">
        <is>
          <t>VÄSTERNORRLANDS LÄN</t>
        </is>
      </c>
      <c r="G365" t="inlineStr">
        <is>
          <t>ÖRNSKÖLDSVIK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52258-2021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44463</v>
      </c>
      <c r="E366" s="1" t="n">
        <v>46218</v>
      </c>
      <c r="F366" t="inlineStr">
        <is>
          <t>VÄSTERNORRLANDS LÄN</t>
        </is>
      </c>
      <c r="G366" t="inlineStr">
        <is>
          <t>ÖRNSKÖLDSVIK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43104-2021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44431</v>
      </c>
      <c r="E367" s="1" t="n">
        <v>46218</v>
      </c>
      <c r="F367" t="inlineStr">
        <is>
          <t>VÄSTERNORRLANDS LÄN</t>
        </is>
      </c>
      <c r="G367" t="inlineStr">
        <is>
          <t>ÖRNSKÖLDSVIK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59660-2021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44494</v>
      </c>
      <c r="E368" s="1" t="n">
        <v>46218</v>
      </c>
      <c r="F368" t="inlineStr">
        <is>
          <t>VÄSTERNORRLANDS LÄN</t>
        </is>
      </c>
      <c r="G368" t="inlineStr">
        <is>
          <t>ÖRNSKÖLDSVIK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32078-2022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44778</v>
      </c>
      <c r="E369" s="1" t="n">
        <v>46218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32079-2022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44778</v>
      </c>
      <c r="E370" s="1" t="n">
        <v>46218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20532-2022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44699</v>
      </c>
      <c r="E371" s="1" t="n">
        <v>46218</v>
      </c>
      <c r="F371" t="inlineStr">
        <is>
          <t>VÄSTERNORRLANDS LÄN</t>
        </is>
      </c>
      <c r="G371" t="inlineStr">
        <is>
          <t>ÖRNSKÖLDSVIK</t>
        </is>
      </c>
      <c r="H371" t="inlineStr">
        <is>
          <t>SCA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20127-2022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44698</v>
      </c>
      <c r="E372" s="1" t="n">
        <v>46218</v>
      </c>
      <c r="F372" t="inlineStr">
        <is>
          <t>VÄSTERNORRLANDS LÄN</t>
        </is>
      </c>
      <c r="G372" t="inlineStr">
        <is>
          <t>ÖRNSKÖLDSVIK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63230-2021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44505</v>
      </c>
      <c r="E373" s="1" t="n">
        <v>46218</v>
      </c>
      <c r="F373" t="inlineStr">
        <is>
          <t>VÄSTERNORRLANDS LÄN</t>
        </is>
      </c>
      <c r="G373" t="inlineStr">
        <is>
          <t>ÖRNSKÖLDSVIK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27869-2022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44743</v>
      </c>
      <c r="E374" s="1" t="n">
        <v>46218</v>
      </c>
      <c r="F374" t="inlineStr">
        <is>
          <t>VÄSTERNORRLANDS LÄN</t>
        </is>
      </c>
      <c r="G374" t="inlineStr">
        <is>
          <t>ÖRNSKÖLDSVIK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65317-2021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44515</v>
      </c>
      <c r="E375" s="1" t="n">
        <v>46218</v>
      </c>
      <c r="F375" t="inlineStr">
        <is>
          <t>VÄSTERNORRLANDS LÄN</t>
        </is>
      </c>
      <c r="G375" t="inlineStr">
        <is>
          <t>ÖRNSKÖLDSVIK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72876-2021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44547</v>
      </c>
      <c r="E376" s="1" t="n">
        <v>46218</v>
      </c>
      <c r="F376" t="inlineStr">
        <is>
          <t>VÄSTERNORRLANDS LÄN</t>
        </is>
      </c>
      <c r="G376" t="inlineStr">
        <is>
          <t>ÖRNSKÖLDSVIK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55455-2021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44475</v>
      </c>
      <c r="E377" s="1" t="n">
        <v>46218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64018-2021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44510</v>
      </c>
      <c r="E378" s="1" t="n">
        <v>46218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41157-2021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44424</v>
      </c>
      <c r="E379" s="1" t="n">
        <v>46218</v>
      </c>
      <c r="F379" t="inlineStr">
        <is>
          <t>VÄSTERNORRLANDS LÄN</t>
        </is>
      </c>
      <c r="G379" t="inlineStr">
        <is>
          <t>ÖRNSKÖLDSVIK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31008-2022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44768</v>
      </c>
      <c r="E380" s="1" t="n">
        <v>46218</v>
      </c>
      <c r="F380" t="inlineStr">
        <is>
          <t>VÄSTERNORRLANDS LÄN</t>
        </is>
      </c>
      <c r="G380" t="inlineStr">
        <is>
          <t>ÖRNSKÖLDSVIK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40046-2022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44820</v>
      </c>
      <c r="E381" s="1" t="n">
        <v>46218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39931-2022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44819</v>
      </c>
      <c r="E382" s="1" t="n">
        <v>46218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SCA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32031-2022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44778</v>
      </c>
      <c r="E383" s="1" t="n">
        <v>46218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35408-2022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44798</v>
      </c>
      <c r="E384" s="1" t="n">
        <v>46218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35415-2022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44798</v>
      </c>
      <c r="E385" s="1" t="n">
        <v>46218</v>
      </c>
      <c r="F385" t="inlineStr">
        <is>
          <t>VÄSTERNORRLANDS LÄN</t>
        </is>
      </c>
      <c r="G385" t="inlineStr">
        <is>
          <t>ÖRNSKÖLDSVIK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39873-2021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44417</v>
      </c>
      <c r="E386" s="1" t="n">
        <v>46218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45126-2021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44439</v>
      </c>
      <c r="E387" s="1" t="n">
        <v>46218</v>
      </c>
      <c r="F387" t="inlineStr">
        <is>
          <t>VÄSTERNORRLANDS LÄN</t>
        </is>
      </c>
      <c r="G387" t="inlineStr">
        <is>
          <t>ÖRNSKÖLDSVIK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47830-2022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44855</v>
      </c>
      <c r="E388" s="1" t="n">
        <v>46218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46702-2022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44851</v>
      </c>
      <c r="E389" s="1" t="n">
        <v>46218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68152-2021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44526</v>
      </c>
      <c r="E390" s="1" t="n">
        <v>46218</v>
      </c>
      <c r="F390" t="inlineStr">
        <is>
          <t>VÄSTERNORRLANDS LÄN</t>
        </is>
      </c>
      <c r="G390" t="inlineStr">
        <is>
          <t>ÖRNSKÖLDSVIK</t>
        </is>
      </c>
      <c r="H390" t="inlineStr">
        <is>
          <t>Holmen skog AB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44961-2022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44841</v>
      </c>
      <c r="E391" s="1" t="n">
        <v>46218</v>
      </c>
      <c r="F391" t="inlineStr">
        <is>
          <t>VÄSTERNORRLANDS LÄN</t>
        </is>
      </c>
      <c r="G391" t="inlineStr">
        <is>
          <t>ÖRNSKÖLDSVIK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70885-2021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44537</v>
      </c>
      <c r="E392" s="1" t="n">
        <v>46218</v>
      </c>
      <c r="F392" t="inlineStr">
        <is>
          <t>VÄSTERNORRLANDS LÄN</t>
        </is>
      </c>
      <c r="G392" t="inlineStr">
        <is>
          <t>ÖRNSKÖLDSVIK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42632-2021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44428</v>
      </c>
      <c r="E393" s="1" t="n">
        <v>46218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42739-2021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44428</v>
      </c>
      <c r="E394" s="1" t="n">
        <v>46218</v>
      </c>
      <c r="F394" t="inlineStr">
        <is>
          <t>VÄSTERNORRLANDS LÄN</t>
        </is>
      </c>
      <c r="G394" t="inlineStr">
        <is>
          <t>ÖRNSKÖLDSVIK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56513-2021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44480</v>
      </c>
      <c r="E395" s="1" t="n">
        <v>46218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47922-2022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44855</v>
      </c>
      <c r="E396" s="1" t="n">
        <v>46218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70581-2021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44537</v>
      </c>
      <c r="E397" s="1" t="n">
        <v>46218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60612-2021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44495</v>
      </c>
      <c r="E398" s="1" t="n">
        <v>46218</v>
      </c>
      <c r="F398" t="inlineStr">
        <is>
          <t>VÄSTERNORRLANDS LÄN</t>
        </is>
      </c>
      <c r="G398" t="inlineStr">
        <is>
          <t>ÖRNSKÖLDSVIK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72397-2021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44545</v>
      </c>
      <c r="E399" s="1" t="n">
        <v>46218</v>
      </c>
      <c r="F399" t="inlineStr">
        <is>
          <t>VÄSTERNORRLANDS LÄN</t>
        </is>
      </c>
      <c r="G399" t="inlineStr">
        <is>
          <t>ÖRNSKÖLDSVIK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20470-2022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44699</v>
      </c>
      <c r="E400" s="1" t="n">
        <v>46218</v>
      </c>
      <c r="F400" t="inlineStr">
        <is>
          <t>VÄSTERNORRLANDS LÄN</t>
        </is>
      </c>
      <c r="G400" t="inlineStr">
        <is>
          <t>ÖRNSKÖLDSVIK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60450-2021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44496</v>
      </c>
      <c r="E401" s="1" t="n">
        <v>46218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11142-2022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44629</v>
      </c>
      <c r="E402" s="1" t="n">
        <v>46218</v>
      </c>
      <c r="F402" t="inlineStr">
        <is>
          <t>VÄSTERNORRLANDS LÄN</t>
        </is>
      </c>
      <c r="G402" t="inlineStr">
        <is>
          <t>ÖRNSKÖLDSVIK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16477-2022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44671</v>
      </c>
      <c r="E403" s="1" t="n">
        <v>46218</v>
      </c>
      <c r="F403" t="inlineStr">
        <is>
          <t>VÄSTERNORRLANDS LÄN</t>
        </is>
      </c>
      <c r="G403" t="inlineStr">
        <is>
          <t>ÖRNSKÖLDSVIK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44852-2022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44841</v>
      </c>
      <c r="E404" s="1" t="n">
        <v>46218</v>
      </c>
      <c r="F404" t="inlineStr">
        <is>
          <t>VÄSTERNORRLANDS LÄN</t>
        </is>
      </c>
      <c r="G404" t="inlineStr">
        <is>
          <t>ÖRNSKÖLDSVIK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51454-2022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44869</v>
      </c>
      <c r="E405" s="1" t="n">
        <v>46218</v>
      </c>
      <c r="F405" t="inlineStr">
        <is>
          <t>VÄSTERNORRLANDS LÄN</t>
        </is>
      </c>
      <c r="G405" t="inlineStr">
        <is>
          <t>ÖRNSKÖLDSVIK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38366-2022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44812</v>
      </c>
      <c r="E406" s="1" t="n">
        <v>46218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24202-2022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44725</v>
      </c>
      <c r="E407" s="1" t="n">
        <v>46218</v>
      </c>
      <c r="F407" t="inlineStr">
        <is>
          <t>VÄSTERNORRLANDS LÄN</t>
        </is>
      </c>
      <c r="G407" t="inlineStr">
        <is>
          <t>ÖRNSKÖLDSVIK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55570-2021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44475</v>
      </c>
      <c r="E408" s="1" t="n">
        <v>46218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13424-2025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45736</v>
      </c>
      <c r="E409" s="1" t="n">
        <v>46218</v>
      </c>
      <c r="F409" t="inlineStr">
        <is>
          <t>VÄSTERNORRLANDS LÄN</t>
        </is>
      </c>
      <c r="G409" t="inlineStr">
        <is>
          <t>ÖRNSKÖLDSVIK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9254-2023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44980</v>
      </c>
      <c r="E410" s="1" t="n">
        <v>46218</v>
      </c>
      <c r="F410" t="inlineStr">
        <is>
          <t>VÄSTERNORRLANDS LÄN</t>
        </is>
      </c>
      <c r="G410" t="inlineStr">
        <is>
          <t>ÖRNSKÖLDSVIK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54341-2021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46218</v>
      </c>
      <c r="F411" t="inlineStr">
        <is>
          <t>VÄSTERNORRLANDS LÄN</t>
        </is>
      </c>
      <c r="G411" t="inlineStr">
        <is>
          <t>ÖRNSKÖLDSVIK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54391-2021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44473</v>
      </c>
      <c r="E412" s="1" t="n">
        <v>46218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27829-2022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44743</v>
      </c>
      <c r="E413" s="1" t="n">
        <v>46218</v>
      </c>
      <c r="F413" t="inlineStr">
        <is>
          <t>VÄSTERNORRLANDS LÄN</t>
        </is>
      </c>
      <c r="G413" t="inlineStr">
        <is>
          <t>ÖRNSKÖLDSVIK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27368-2022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44742</v>
      </c>
      <c r="E414" s="1" t="n">
        <v>46218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24569-2022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44726</v>
      </c>
      <c r="E415" s="1" t="n">
        <v>46218</v>
      </c>
      <c r="F415" t="inlineStr">
        <is>
          <t>VÄSTERNORRLANDS LÄN</t>
        </is>
      </c>
      <c r="G415" t="inlineStr">
        <is>
          <t>ÖRNSKÖLDSVIK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53799-2021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44469</v>
      </c>
      <c r="E416" s="1" t="n">
        <v>46218</v>
      </c>
      <c r="F416" t="inlineStr">
        <is>
          <t>VÄSTERNORRLANDS LÄN</t>
        </is>
      </c>
      <c r="G416" t="inlineStr">
        <is>
          <t>ÖRNSKÖLDSVIK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49598-2022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44862</v>
      </c>
      <c r="E417" s="1" t="n">
        <v>46218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16.6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50732-2022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44862</v>
      </c>
      <c r="E418" s="1" t="n">
        <v>46218</v>
      </c>
      <c r="F418" t="inlineStr">
        <is>
          <t>VÄSTERNORRLANDS LÄN</t>
        </is>
      </c>
      <c r="G418" t="inlineStr">
        <is>
          <t>ÖRNSKÖLDSVIK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21970-2024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45443</v>
      </c>
      <c r="E419" s="1" t="n">
        <v>46218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23944-2023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45078</v>
      </c>
      <c r="E420" s="1" t="n">
        <v>46218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34546-2022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44793</v>
      </c>
      <c r="E421" s="1" t="n">
        <v>46218</v>
      </c>
      <c r="F421" t="inlineStr">
        <is>
          <t>VÄSTERNORRLANDS LÄN</t>
        </is>
      </c>
      <c r="G421" t="inlineStr">
        <is>
          <t>ÖRNSKÖLDSVIK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48457-2022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44858</v>
      </c>
      <c r="E422" s="1" t="n">
        <v>46218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58475-2021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44488</v>
      </c>
      <c r="E423" s="1" t="n">
        <v>46218</v>
      </c>
      <c r="F423" t="inlineStr">
        <is>
          <t>VÄSTERNORRLANDS LÄN</t>
        </is>
      </c>
      <c r="G423" t="inlineStr">
        <is>
          <t>ÖRNSKÖLDSVIK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63458-2021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44508</v>
      </c>
      <c r="E424" s="1" t="n">
        <v>46218</v>
      </c>
      <c r="F424" t="inlineStr">
        <is>
          <t>VÄSTERNORRLANDS LÄN</t>
        </is>
      </c>
      <c r="G424" t="inlineStr">
        <is>
          <t>ÖRNSKÖLDSVIK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72521-2021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44546</v>
      </c>
      <c r="E425" s="1" t="n">
        <v>46218</v>
      </c>
      <c r="F425" t="inlineStr">
        <is>
          <t>VÄSTERNORRLANDS LÄN</t>
        </is>
      </c>
      <c r="G425" t="inlineStr">
        <is>
          <t>ÖRNSKÖLDSVIK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24277-2024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45457</v>
      </c>
      <c r="E426" s="1" t="n">
        <v>46218</v>
      </c>
      <c r="F426" t="inlineStr">
        <is>
          <t>VÄSTERNORRLANDS LÄN</t>
        </is>
      </c>
      <c r="G426" t="inlineStr">
        <is>
          <t>ÖRNSKÖLDSVIK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22749-2022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44714</v>
      </c>
      <c r="E427" s="1" t="n">
        <v>46218</v>
      </c>
      <c r="F427" t="inlineStr">
        <is>
          <t>VÄSTERNORRLANDS LÄN</t>
        </is>
      </c>
      <c r="G427" t="inlineStr">
        <is>
          <t>ÖRNSKÖLDSVIK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9529-2024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45359</v>
      </c>
      <c r="E428" s="1" t="n">
        <v>46218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6594-2022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44601</v>
      </c>
      <c r="E429" s="1" t="n">
        <v>46218</v>
      </c>
      <c r="F429" t="inlineStr">
        <is>
          <t>VÄSTERNORRLANDS LÄN</t>
        </is>
      </c>
      <c r="G429" t="inlineStr">
        <is>
          <t>ÖRNSKÖLDSVIK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18147-2023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45040</v>
      </c>
      <c r="E430" s="1" t="n">
        <v>46218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SCA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20474-2022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44699</v>
      </c>
      <c r="E431" s="1" t="n">
        <v>46218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36796-2022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44805</v>
      </c>
      <c r="E432" s="1" t="n">
        <v>46218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36151-2022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44803</v>
      </c>
      <c r="E433" s="1" t="n">
        <v>46218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63449-2021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44508</v>
      </c>
      <c r="E434" s="1" t="n">
        <v>46218</v>
      </c>
      <c r="F434" t="inlineStr">
        <is>
          <t>VÄSTERNORRLANDS LÄN</t>
        </is>
      </c>
      <c r="G434" t="inlineStr">
        <is>
          <t>ÖRNSKÖLDSVIK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46047-2021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44441</v>
      </c>
      <c r="E435" s="1" t="n">
        <v>46218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SCA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12960-2022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44642</v>
      </c>
      <c r="E436" s="1" t="n">
        <v>46218</v>
      </c>
      <c r="F436" t="inlineStr">
        <is>
          <t>VÄSTERNORRLANDS LÄN</t>
        </is>
      </c>
      <c r="G436" t="inlineStr">
        <is>
          <t>ÖRNSKÖLDSVIK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40764-2024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45558</v>
      </c>
      <c r="E437" s="1" t="n">
        <v>46218</v>
      </c>
      <c r="F437" t="inlineStr">
        <is>
          <t>VÄSTERNORRLANDS LÄN</t>
        </is>
      </c>
      <c r="G437" t="inlineStr">
        <is>
          <t>ÖRNSKÖLDSVIK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42578-2024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45565</v>
      </c>
      <c r="E438" s="1" t="n">
        <v>46218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14027-2025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45740</v>
      </c>
      <c r="E439" s="1" t="n">
        <v>46218</v>
      </c>
      <c r="F439" t="inlineStr">
        <is>
          <t>VÄSTERNORRLANDS LÄN</t>
        </is>
      </c>
      <c r="G439" t="inlineStr">
        <is>
          <t>ÖRNSKÖLDSVIK</t>
        </is>
      </c>
      <c r="I439" t="n">
        <v>27.3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58461-2021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44488</v>
      </c>
      <c r="E440" s="1" t="n">
        <v>46218</v>
      </c>
      <c r="F440" t="inlineStr">
        <is>
          <t>VÄSTERNORRLANDS LÄN</t>
        </is>
      </c>
      <c r="G440" t="inlineStr">
        <is>
          <t>ÖRNSKÖLDSVIK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36678-2024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45537</v>
      </c>
      <c r="E441" s="1" t="n">
        <v>46218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49027-2024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45594</v>
      </c>
      <c r="E442" s="1" t="n">
        <v>46218</v>
      </c>
      <c r="F442" t="inlineStr">
        <is>
          <t>VÄSTERNORRLANDS LÄN</t>
        </is>
      </c>
      <c r="G442" t="inlineStr">
        <is>
          <t>ÖRNSKÖLDSVIK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42351-2021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44427</v>
      </c>
      <c r="E443" s="1" t="n">
        <v>46218</v>
      </c>
      <c r="F443" t="inlineStr">
        <is>
          <t>VÄSTERNORRLANDS LÄN</t>
        </is>
      </c>
      <c r="G443" t="inlineStr">
        <is>
          <t>ÖRNSKÖLDSVIK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25128-2024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45462</v>
      </c>
      <c r="E444" s="1" t="n">
        <v>46218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48554-2021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44452</v>
      </c>
      <c r="E445" s="1" t="n">
        <v>46218</v>
      </c>
      <c r="F445" t="inlineStr">
        <is>
          <t>VÄSTERNORRLANDS LÄN</t>
        </is>
      </c>
      <c r="G445" t="inlineStr">
        <is>
          <t>ÖRNSKÖLDSVIK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26647-2022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44739</v>
      </c>
      <c r="E446" s="1" t="n">
        <v>46218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54340-2021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44473</v>
      </c>
      <c r="E447" s="1" t="n">
        <v>46218</v>
      </c>
      <c r="F447" t="inlineStr">
        <is>
          <t>VÄSTERNORRLANDS LÄN</t>
        </is>
      </c>
      <c r="G447" t="inlineStr">
        <is>
          <t>ÖRNSKÖLDSVIK</t>
        </is>
      </c>
      <c r="I447" t="n">
        <v>5.4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69971-2021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44533</v>
      </c>
      <c r="E448" s="1" t="n">
        <v>46218</v>
      </c>
      <c r="F448" t="inlineStr">
        <is>
          <t>VÄSTERNORRLANDS LÄN</t>
        </is>
      </c>
      <c r="G448" t="inlineStr">
        <is>
          <t>ÖRNSKÖLDSVIK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63660-2023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45275</v>
      </c>
      <c r="E449" s="1" t="n">
        <v>46218</v>
      </c>
      <c r="F449" t="inlineStr">
        <is>
          <t>VÄSTERNORRLANDS LÄN</t>
        </is>
      </c>
      <c r="G449" t="inlineStr">
        <is>
          <t>ÖRNSKÖLDSVIK</t>
        </is>
      </c>
      <c r="I449" t="n">
        <v>16.3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44490-2022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44840</v>
      </c>
      <c r="E450" s="1" t="n">
        <v>46218</v>
      </c>
      <c r="F450" t="inlineStr">
        <is>
          <t>VÄSTERNORRLANDS LÄN</t>
        </is>
      </c>
      <c r="G450" t="inlineStr">
        <is>
          <t>ÖRNSKÖLDSVIK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7582-2025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45705</v>
      </c>
      <c r="E451" s="1" t="n">
        <v>46218</v>
      </c>
      <c r="F451" t="inlineStr">
        <is>
          <t>VÄSTERNORRLANDS LÄN</t>
        </is>
      </c>
      <c r="G451" t="inlineStr">
        <is>
          <t>ÖRNSKÖLDSVIK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59451-2023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45254</v>
      </c>
      <c r="E452" s="1" t="n">
        <v>46218</v>
      </c>
      <c r="F452" t="inlineStr">
        <is>
          <t>VÄSTERNORRLANDS LÄN</t>
        </is>
      </c>
      <c r="G452" t="inlineStr">
        <is>
          <t>ÖRNSKÖLDSVIK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31785-2024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45509</v>
      </c>
      <c r="E453" s="1" t="n">
        <v>46218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1703-2024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45307</v>
      </c>
      <c r="E454" s="1" t="n">
        <v>46218</v>
      </c>
      <c r="F454" t="inlineStr">
        <is>
          <t>VÄSTERNORRLANDS LÄN</t>
        </is>
      </c>
      <c r="G454" t="inlineStr">
        <is>
          <t>ÖRNSKÖLDSVIK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31786-2024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45509</v>
      </c>
      <c r="E455" s="1" t="n">
        <v>46218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22861-2023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45070</v>
      </c>
      <c r="E456" s="1" t="n">
        <v>46218</v>
      </c>
      <c r="F456" t="inlineStr">
        <is>
          <t>VÄSTERNORRLANDS LÄN</t>
        </is>
      </c>
      <c r="G456" t="inlineStr">
        <is>
          <t>ÖRNSKÖLDSVIK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48004-2022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44855</v>
      </c>
      <c r="E457" s="1" t="n">
        <v>46218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6.6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8115-2024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45351</v>
      </c>
      <c r="E458" s="1" t="n">
        <v>46218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73637-2021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44552</v>
      </c>
      <c r="E459" s="1" t="n">
        <v>46218</v>
      </c>
      <c r="F459" t="inlineStr">
        <is>
          <t>VÄSTERNORRLANDS LÄN</t>
        </is>
      </c>
      <c r="G459" t="inlineStr">
        <is>
          <t>ÖRNSKÖLDSVIK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64437-2021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44511</v>
      </c>
      <c r="E460" s="1" t="n">
        <v>46218</v>
      </c>
      <c r="F460" t="inlineStr">
        <is>
          <t>VÄSTERNORRLANDS LÄN</t>
        </is>
      </c>
      <c r="G460" t="inlineStr">
        <is>
          <t>ÖRNSKÖLDSVIK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39636-2024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45552</v>
      </c>
      <c r="E461" s="1" t="n">
        <v>46218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SCA</t>
        </is>
      </c>
      <c r="I461" t="n">
        <v>6.5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51755-2024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45607</v>
      </c>
      <c r="E462" s="1" t="n">
        <v>46218</v>
      </c>
      <c r="F462" t="inlineStr">
        <is>
          <t>VÄSTERNORRLANDS LÄN</t>
        </is>
      </c>
      <c r="G462" t="inlineStr">
        <is>
          <t>ÖRNSKÖLDSVIK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36163-2022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44803</v>
      </c>
      <c r="E463" s="1" t="n">
        <v>46218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33684-2022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44789</v>
      </c>
      <c r="E464" s="1" t="n">
        <v>46218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18422-2022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44687</v>
      </c>
      <c r="E465" s="1" t="n">
        <v>46218</v>
      </c>
      <c r="F465" t="inlineStr">
        <is>
          <t>VÄSTERNORRLANDS LÄN</t>
        </is>
      </c>
      <c r="G465" t="inlineStr">
        <is>
          <t>ÖRNSKÖLDSVIK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6528-2024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45341</v>
      </c>
      <c r="E466" s="1" t="n">
        <v>46218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49074-2023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45210</v>
      </c>
      <c r="E467" s="1" t="n">
        <v>46218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39723-2024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45552</v>
      </c>
      <c r="E468" s="1" t="n">
        <v>46218</v>
      </c>
      <c r="F468" t="inlineStr">
        <is>
          <t>VÄSTERNORRLANDS LÄN</t>
        </is>
      </c>
      <c r="G468" t="inlineStr">
        <is>
          <t>ÖRNSKÖLDSVIK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45966-2023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45195</v>
      </c>
      <c r="E469" s="1" t="n">
        <v>46218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SCA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60344-2022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44910</v>
      </c>
      <c r="E470" s="1" t="n">
        <v>46218</v>
      </c>
      <c r="F470" t="inlineStr">
        <is>
          <t>VÄSTERNORRLANDS LÄN</t>
        </is>
      </c>
      <c r="G470" t="inlineStr">
        <is>
          <t>ÖRNSKÖLDSVIK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38606-2025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45884</v>
      </c>
      <c r="E471" s="1" t="n">
        <v>46218</v>
      </c>
      <c r="F471" t="inlineStr">
        <is>
          <t>VÄSTERNORRLANDS LÄN</t>
        </is>
      </c>
      <c r="G471" t="inlineStr">
        <is>
          <t>ÖRNSKÖLDSVIK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55023-2023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45237</v>
      </c>
      <c r="E472" s="1" t="n">
        <v>46218</v>
      </c>
      <c r="F472" t="inlineStr">
        <is>
          <t>VÄSTERNORRLANDS LÄN</t>
        </is>
      </c>
      <c r="G472" t="inlineStr">
        <is>
          <t>ÖRNSKÖLDSVIK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57305-2023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45245</v>
      </c>
      <c r="E473" s="1" t="n">
        <v>46218</v>
      </c>
      <c r="F473" t="inlineStr">
        <is>
          <t>VÄSTERNORRLANDS LÄN</t>
        </is>
      </c>
      <c r="G473" t="inlineStr">
        <is>
          <t>ÖRNSKÖLDSVIK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13226-2023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45002</v>
      </c>
      <c r="E474" s="1" t="n">
        <v>46218</v>
      </c>
      <c r="F474" t="inlineStr">
        <is>
          <t>VÄSTERNORRLANDS LÄN</t>
        </is>
      </c>
      <c r="G474" t="inlineStr">
        <is>
          <t>ÖRNSKÖLDSVIK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13279-2023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45004</v>
      </c>
      <c r="E475" s="1" t="n">
        <v>46218</v>
      </c>
      <c r="F475" t="inlineStr">
        <is>
          <t>VÄSTERNORRLANDS LÄN</t>
        </is>
      </c>
      <c r="G475" t="inlineStr">
        <is>
          <t>ÖRNSKÖLDSVIK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11976-2022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44635</v>
      </c>
      <c r="E476" s="1" t="n">
        <v>46218</v>
      </c>
      <c r="F476" t="inlineStr">
        <is>
          <t>VÄSTERNORRLANDS LÄN</t>
        </is>
      </c>
      <c r="G476" t="inlineStr">
        <is>
          <t>ÖRNSKÖLDSVIK</t>
        </is>
      </c>
      <c r="I476" t="n">
        <v>11.9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25737-2022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44733</v>
      </c>
      <c r="E477" s="1" t="n">
        <v>46218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37048-2024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45539</v>
      </c>
      <c r="E478" s="1" t="n">
        <v>46218</v>
      </c>
      <c r="F478" t="inlineStr">
        <is>
          <t>VÄSTERNORRLANDS LÄN</t>
        </is>
      </c>
      <c r="G478" t="inlineStr">
        <is>
          <t>ÖRNSKÖLDSVIK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56991-2024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45628</v>
      </c>
      <c r="E479" s="1" t="n">
        <v>46218</v>
      </c>
      <c r="F479" t="inlineStr">
        <is>
          <t>VÄSTERNORRLANDS LÄN</t>
        </is>
      </c>
      <c r="G479" t="inlineStr">
        <is>
          <t>ÖRNSKÖLDSVIK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61232-2022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44909</v>
      </c>
      <c r="E480" s="1" t="n">
        <v>46218</v>
      </c>
      <c r="F480" t="inlineStr">
        <is>
          <t>VÄSTERNORRLANDS LÄN</t>
        </is>
      </c>
      <c r="G480" t="inlineStr">
        <is>
          <t>ÖRNSKÖLDSVIK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38296-2024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45545</v>
      </c>
      <c r="E481" s="1" t="n">
        <v>46218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63044-2023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45272</v>
      </c>
      <c r="E482" s="1" t="n">
        <v>46218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Övriga Aktiebolag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63916-2023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45278</v>
      </c>
      <c r="E483" s="1" t="n">
        <v>46218</v>
      </c>
      <c r="F483" t="inlineStr">
        <is>
          <t>VÄSTERNORRLANDS LÄN</t>
        </is>
      </c>
      <c r="G483" t="inlineStr">
        <is>
          <t>ÖRNSKÖLDSVIK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195-2025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45659</v>
      </c>
      <c r="E484" s="1" t="n">
        <v>46218</v>
      </c>
      <c r="F484" t="inlineStr">
        <is>
          <t>VÄSTERNORRLANDS LÄN</t>
        </is>
      </c>
      <c r="G484" t="inlineStr">
        <is>
          <t>ÖRNSKÖLDSVIK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42566-2024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45565</v>
      </c>
      <c r="E485" s="1" t="n">
        <v>46218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58167-2023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45250</v>
      </c>
      <c r="E486" s="1" t="n">
        <v>46218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35248-2022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44798</v>
      </c>
      <c r="E487" s="1" t="n">
        <v>46218</v>
      </c>
      <c r="F487" t="inlineStr">
        <is>
          <t>VÄSTERNORRLANDS LÄN</t>
        </is>
      </c>
      <c r="G487" t="inlineStr">
        <is>
          <t>ÖRNSKÖLDSVIK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34917-2024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45527</v>
      </c>
      <c r="E488" s="1" t="n">
        <v>46218</v>
      </c>
      <c r="F488" t="inlineStr">
        <is>
          <t>VÄSTERNORRLANDS LÄN</t>
        </is>
      </c>
      <c r="G488" t="inlineStr">
        <is>
          <t>ÖRNSKÖLDSVIK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1002-2024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45301</v>
      </c>
      <c r="E489" s="1" t="n">
        <v>46218</v>
      </c>
      <c r="F489" t="inlineStr">
        <is>
          <t>VÄSTERNORRLANDS LÄN</t>
        </is>
      </c>
      <c r="G489" t="inlineStr">
        <is>
          <t>ÖRNSKÖLDSVIK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37524-2024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45541</v>
      </c>
      <c r="E490" s="1" t="n">
        <v>46218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40572-2021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44420</v>
      </c>
      <c r="E491" s="1" t="n">
        <v>46218</v>
      </c>
      <c r="F491" t="inlineStr">
        <is>
          <t>VÄSTERNORRLANDS LÄN</t>
        </is>
      </c>
      <c r="G491" t="inlineStr">
        <is>
          <t>ÖRNSKÖLDSVIK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19121-2024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45427</v>
      </c>
      <c r="E492" s="1" t="n">
        <v>46218</v>
      </c>
      <c r="F492" t="inlineStr">
        <is>
          <t>VÄSTERNORRLANDS LÄN</t>
        </is>
      </c>
      <c r="G492" t="inlineStr">
        <is>
          <t>ÖRNSKÖLDSVIK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28338-2024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45477</v>
      </c>
      <c r="E493" s="1" t="n">
        <v>46218</v>
      </c>
      <c r="F493" t="inlineStr">
        <is>
          <t>VÄSTERNORRLANDS LÄN</t>
        </is>
      </c>
      <c r="G493" t="inlineStr">
        <is>
          <t>ÖRNSKÖLDSVIK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38884-2025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45887</v>
      </c>
      <c r="E494" s="1" t="n">
        <v>46218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5.5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37338-2023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45156</v>
      </c>
      <c r="E495" s="1" t="n">
        <v>46218</v>
      </c>
      <c r="F495" t="inlineStr">
        <is>
          <t>VÄSTERNORRLANDS LÄN</t>
        </is>
      </c>
      <c r="G495" t="inlineStr">
        <is>
          <t>ÖRNSKÖLDSVIK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196-2025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45659</v>
      </c>
      <c r="E496" s="1" t="n">
        <v>46218</v>
      </c>
      <c r="F496" t="inlineStr">
        <is>
          <t>VÄSTERNORRLANDS LÄN</t>
        </is>
      </c>
      <c r="G496" t="inlineStr">
        <is>
          <t>ÖRNSKÖLDSVIK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22289-2024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45446</v>
      </c>
      <c r="E497" s="1" t="n">
        <v>46218</v>
      </c>
      <c r="F497" t="inlineStr">
        <is>
          <t>VÄSTERNORRLANDS LÄN</t>
        </is>
      </c>
      <c r="G497" t="inlineStr">
        <is>
          <t>ÖRNSKÖLDSVIK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27800-2024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45475</v>
      </c>
      <c r="E498" s="1" t="n">
        <v>46218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30056-2024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45488</v>
      </c>
      <c r="E499" s="1" t="n">
        <v>46218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SCA</t>
        </is>
      </c>
      <c r="I499" t="n">
        <v>6.1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47836-2022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44855</v>
      </c>
      <c r="E500" s="1" t="n">
        <v>46218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10.2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33129-2022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44785</v>
      </c>
      <c r="E501" s="1" t="n">
        <v>46218</v>
      </c>
      <c r="F501" t="inlineStr">
        <is>
          <t>VÄSTERNORRLANDS LÄN</t>
        </is>
      </c>
      <c r="G501" t="inlineStr">
        <is>
          <t>ÖRNSKÖLDSVIK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38726-2025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45887</v>
      </c>
      <c r="E502" s="1" t="n">
        <v>46218</v>
      </c>
      <c r="F502" t="inlineStr">
        <is>
          <t>VÄSTERNORRLANDS LÄN</t>
        </is>
      </c>
      <c r="G502" t="inlineStr">
        <is>
          <t>ÖRNSKÖLDSVIK</t>
        </is>
      </c>
      <c r="I502" t="n">
        <v>14.4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61305-2023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45264</v>
      </c>
      <c r="E503" s="1" t="n">
        <v>46218</v>
      </c>
      <c r="F503" t="inlineStr">
        <is>
          <t>VÄSTERNORRLANDS LÄN</t>
        </is>
      </c>
      <c r="G503" t="inlineStr">
        <is>
          <t>ÖRNSKÖLDSVIK</t>
        </is>
      </c>
      <c r="I503" t="n">
        <v>6.2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53112-2024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45611</v>
      </c>
      <c r="E504" s="1" t="n">
        <v>46218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5.8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58775-2022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44903</v>
      </c>
      <c r="E505" s="1" t="n">
        <v>46218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4103-2024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45323</v>
      </c>
      <c r="E506" s="1" t="n">
        <v>46218</v>
      </c>
      <c r="F506" t="inlineStr">
        <is>
          <t>VÄSTERNORRLANDS LÄN</t>
        </is>
      </c>
      <c r="G506" t="inlineStr">
        <is>
          <t>ÖRNSKÖLDSVIK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37947-2023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45160</v>
      </c>
      <c r="E507" s="1" t="n">
        <v>46218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44522-2022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44840</v>
      </c>
      <c r="E508" s="1" t="n">
        <v>46218</v>
      </c>
      <c r="F508" t="inlineStr">
        <is>
          <t>VÄSTERNORRLANDS LÄN</t>
        </is>
      </c>
      <c r="G508" t="inlineStr">
        <is>
          <t>ÖRNSKÖLDSVIK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373-2025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45661</v>
      </c>
      <c r="E509" s="1" t="n">
        <v>46218</v>
      </c>
      <c r="F509" t="inlineStr">
        <is>
          <t>VÄSTERNORRLANDS LÄN</t>
        </is>
      </c>
      <c r="G509" t="inlineStr">
        <is>
          <t>ÖRNSKÖLDSVIK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11308-2024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45371</v>
      </c>
      <c r="E510" s="1" t="n">
        <v>46218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Kyrkan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34850-2024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45527</v>
      </c>
      <c r="E511" s="1" t="n">
        <v>46218</v>
      </c>
      <c r="F511" t="inlineStr">
        <is>
          <t>VÄSTERNORRLANDS LÄN</t>
        </is>
      </c>
      <c r="G511" t="inlineStr">
        <is>
          <t>ÖRNSKÖLDSVIK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25002-2024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45461</v>
      </c>
      <c r="E512" s="1" t="n">
        <v>46218</v>
      </c>
      <c r="F512" t="inlineStr">
        <is>
          <t>VÄSTERNORRLANDS LÄN</t>
        </is>
      </c>
      <c r="G512" t="inlineStr">
        <is>
          <t>ÖRNSKÖLDSVIK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38033-2024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45544</v>
      </c>
      <c r="E513" s="1" t="n">
        <v>46218</v>
      </c>
      <c r="F513" t="inlineStr">
        <is>
          <t>VÄSTERNORRLANDS LÄN</t>
        </is>
      </c>
      <c r="G513" t="inlineStr">
        <is>
          <t>ÖRNSKÖLDSVIK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38087-2024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45545</v>
      </c>
      <c r="E514" s="1" t="n">
        <v>46218</v>
      </c>
      <c r="F514" t="inlineStr">
        <is>
          <t>VÄSTERNORRLANDS LÄN</t>
        </is>
      </c>
      <c r="G514" t="inlineStr">
        <is>
          <t>ÖRNSKÖLDSVIK</t>
        </is>
      </c>
      <c r="I514" t="n">
        <v>13.3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61699-2024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45647</v>
      </c>
      <c r="E515" s="1" t="n">
        <v>46218</v>
      </c>
      <c r="F515" t="inlineStr">
        <is>
          <t>VÄSTERNORRLANDS LÄN</t>
        </is>
      </c>
      <c r="G515" t="inlineStr">
        <is>
          <t>ÖRNSKÖLDSVIK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43236-2023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45183</v>
      </c>
      <c r="E516" s="1" t="n">
        <v>46218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30207-2024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45488</v>
      </c>
      <c r="E517" s="1" t="n">
        <v>46218</v>
      </c>
      <c r="F517" t="inlineStr">
        <is>
          <t>VÄSTERNORRLANDS LÄN</t>
        </is>
      </c>
      <c r="G517" t="inlineStr">
        <is>
          <t>ÖRNSKÖLDSVIK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30209-2024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45488</v>
      </c>
      <c r="E518" s="1" t="n">
        <v>46218</v>
      </c>
      <c r="F518" t="inlineStr">
        <is>
          <t>VÄSTERNORRLANDS LÄN</t>
        </is>
      </c>
      <c r="G518" t="inlineStr">
        <is>
          <t>ÖRNSKÖLDSVIK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38932-2025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45887</v>
      </c>
      <c r="E519" s="1" t="n">
        <v>46218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6.8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38821-2025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45887</v>
      </c>
      <c r="E520" s="1" t="n">
        <v>46218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38798-2025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45887</v>
      </c>
      <c r="E521" s="1" t="n">
        <v>46218</v>
      </c>
      <c r="F521" t="inlineStr">
        <is>
          <t>VÄSTERNORRLANDS LÄN</t>
        </is>
      </c>
      <c r="G521" t="inlineStr">
        <is>
          <t>ÖRNSKÖLDSVIK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10970-2023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44985</v>
      </c>
      <c r="E522" s="1" t="n">
        <v>46218</v>
      </c>
      <c r="F522" t="inlineStr">
        <is>
          <t>VÄSTERNORRLANDS LÄN</t>
        </is>
      </c>
      <c r="G522" t="inlineStr">
        <is>
          <t>ÖRNSKÖLDSVIK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39739-2022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44819</v>
      </c>
      <c r="E523" s="1" t="n">
        <v>46218</v>
      </c>
      <c r="F523" t="inlineStr">
        <is>
          <t>VÄSTERNORRLANDS LÄN</t>
        </is>
      </c>
      <c r="G523" t="inlineStr">
        <is>
          <t>ÖRNSKÖLDSVIK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35030-2023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45145</v>
      </c>
      <c r="E524" s="1" t="n">
        <v>46218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40690-2024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45558</v>
      </c>
      <c r="E525" s="1" t="n">
        <v>46218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8217-2023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44971</v>
      </c>
      <c r="E526" s="1" t="n">
        <v>46218</v>
      </c>
      <c r="F526" t="inlineStr">
        <is>
          <t>VÄSTERNORRLANDS LÄN</t>
        </is>
      </c>
      <c r="G526" t="inlineStr">
        <is>
          <t>ÖRNSKÖLDSVIK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20217-2023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45054</v>
      </c>
      <c r="E527" s="1" t="n">
        <v>46218</v>
      </c>
      <c r="F527" t="inlineStr">
        <is>
          <t>VÄSTERNORRLANDS LÄN</t>
        </is>
      </c>
      <c r="G527" t="inlineStr">
        <is>
          <t>ÖRNSKÖLDSVIK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16692-2024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45408</v>
      </c>
      <c r="E528" s="1" t="n">
        <v>46218</v>
      </c>
      <c r="F528" t="inlineStr">
        <is>
          <t>VÄSTERNORRLANDS LÄN</t>
        </is>
      </c>
      <c r="G528" t="inlineStr">
        <is>
          <t>ÖRNSKÖLDSVIK</t>
        </is>
      </c>
      <c r="I528" t="n">
        <v>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62968-2021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44505</v>
      </c>
      <c r="E529" s="1" t="n">
        <v>46218</v>
      </c>
      <c r="F529" t="inlineStr">
        <is>
          <t>VÄSTERNORRLANDS LÄN</t>
        </is>
      </c>
      <c r="G529" t="inlineStr">
        <is>
          <t>ÖRNSKÖLDSVIK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43928-2023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45182</v>
      </c>
      <c r="E530" s="1" t="n">
        <v>46218</v>
      </c>
      <c r="F530" t="inlineStr">
        <is>
          <t>VÄSTERNORRLANDS LÄN</t>
        </is>
      </c>
      <c r="G530" t="inlineStr">
        <is>
          <t>ÖRNSKÖLDSVIK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26723-2024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45470</v>
      </c>
      <c r="E531" s="1" t="n">
        <v>46218</v>
      </c>
      <c r="F531" t="inlineStr">
        <is>
          <t>VÄSTERNORRLANDS LÄN</t>
        </is>
      </c>
      <c r="G531" t="inlineStr">
        <is>
          <t>ÖRNSKÖLDSVIK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8227-2023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44971</v>
      </c>
      <c r="E532" s="1" t="n">
        <v>46218</v>
      </c>
      <c r="F532" t="inlineStr">
        <is>
          <t>VÄSTERNORRLANDS LÄN</t>
        </is>
      </c>
      <c r="G532" t="inlineStr">
        <is>
          <t>ÖRNSKÖLDSVIK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38501-2025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45884</v>
      </c>
      <c r="E533" s="1" t="n">
        <v>46218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9.699999999999999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59898-2023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45257</v>
      </c>
      <c r="E534" s="1" t="n">
        <v>46218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42347-2023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45180</v>
      </c>
      <c r="E535" s="1" t="n">
        <v>46218</v>
      </c>
      <c r="F535" t="inlineStr">
        <is>
          <t>VÄSTERNORRLANDS LÄN</t>
        </is>
      </c>
      <c r="G535" t="inlineStr">
        <is>
          <t>ÖRNSKÖLDSVIK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30263-2024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45489</v>
      </c>
      <c r="E536" s="1" t="n">
        <v>46218</v>
      </c>
      <c r="F536" t="inlineStr">
        <is>
          <t>VÄSTERNORRLANDS LÄN</t>
        </is>
      </c>
      <c r="G536" t="inlineStr">
        <is>
          <t>ÖRNSKÖLDSVIK</t>
        </is>
      </c>
      <c r="I536" t="n">
        <v>11.5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62636-2021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44503</v>
      </c>
      <c r="E537" s="1" t="n">
        <v>46218</v>
      </c>
      <c r="F537" t="inlineStr">
        <is>
          <t>VÄSTERNORRLANDS LÄN</t>
        </is>
      </c>
      <c r="G537" t="inlineStr">
        <is>
          <t>ÖRNSKÖLDSVIK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68324-2021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44526</v>
      </c>
      <c r="E538" s="1" t="n">
        <v>46218</v>
      </c>
      <c r="F538" t="inlineStr">
        <is>
          <t>VÄSTERNORRLANDS LÄN</t>
        </is>
      </c>
      <c r="G538" t="inlineStr">
        <is>
          <t>ÖRNSKÖLDSVIK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14201-2023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45009</v>
      </c>
      <c r="E539" s="1" t="n">
        <v>46218</v>
      </c>
      <c r="F539" t="inlineStr">
        <is>
          <t>VÄSTERNORRLANDS LÄN</t>
        </is>
      </c>
      <c r="G539" t="inlineStr">
        <is>
          <t>ÖRNSKÖLDSVIK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39423-2025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45889</v>
      </c>
      <c r="E540" s="1" t="n">
        <v>46218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39200-2025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45888</v>
      </c>
      <c r="E541" s="1" t="n">
        <v>46218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9.699999999999999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39214-2025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45888</v>
      </c>
      <c r="E542" s="1" t="n">
        <v>46218</v>
      </c>
      <c r="F542" t="inlineStr">
        <is>
          <t>VÄSTERNORRLANDS LÄN</t>
        </is>
      </c>
      <c r="G542" t="inlineStr">
        <is>
          <t>ÖRNSKÖLDSVIK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34632-2023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45140</v>
      </c>
      <c r="E543" s="1" t="n">
        <v>46218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48199-2023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45205</v>
      </c>
      <c r="E544" s="1" t="n">
        <v>46218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39199-2025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45888</v>
      </c>
      <c r="E545" s="1" t="n">
        <v>46218</v>
      </c>
      <c r="F545" t="inlineStr">
        <is>
          <t>VÄSTERNORRLANDS LÄN</t>
        </is>
      </c>
      <c r="G545" t="inlineStr">
        <is>
          <t>ÖRNSKÖLDSVIK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39236-2025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45888</v>
      </c>
      <c r="E546" s="1" t="n">
        <v>46218</v>
      </c>
      <c r="F546" t="inlineStr">
        <is>
          <t>VÄSTERNORRLANDS LÄN</t>
        </is>
      </c>
      <c r="G546" t="inlineStr">
        <is>
          <t>ÖRNSKÖLDSVIK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21445-2025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45782</v>
      </c>
      <c r="E547" s="1" t="n">
        <v>46218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39078-2025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45888</v>
      </c>
      <c r="E548" s="1" t="n">
        <v>46218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38983-2025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45888</v>
      </c>
      <c r="E549" s="1" t="n">
        <v>46218</v>
      </c>
      <c r="F549" t="inlineStr">
        <is>
          <t>VÄSTERNORRLANDS LÄN</t>
        </is>
      </c>
      <c r="G549" t="inlineStr">
        <is>
          <t>ÖRNSKÖLDSVIK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39050-2025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45888</v>
      </c>
      <c r="E550" s="1" t="n">
        <v>46218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44210-2023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45188</v>
      </c>
      <c r="E551" s="1" t="n">
        <v>46218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20483-2023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45057</v>
      </c>
      <c r="E552" s="1" t="n">
        <v>46218</v>
      </c>
      <c r="F552" t="inlineStr">
        <is>
          <t>VÄSTERNORRLANDS LÄN</t>
        </is>
      </c>
      <c r="G552" t="inlineStr">
        <is>
          <t>ÖRNSKÖLDSVIK</t>
        </is>
      </c>
      <c r="I552" t="n">
        <v>7.5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25888-2024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45467</v>
      </c>
      <c r="E553" s="1" t="n">
        <v>46218</v>
      </c>
      <c r="F553" t="inlineStr">
        <is>
          <t>VÄSTERNORRLANDS LÄN</t>
        </is>
      </c>
      <c r="G553" t="inlineStr">
        <is>
          <t>ÖRNSKÖLDSVIK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23097-2023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45075</v>
      </c>
      <c r="E554" s="1" t="n">
        <v>46218</v>
      </c>
      <c r="F554" t="inlineStr">
        <is>
          <t>VÄSTERNORRLANDS LÄN</t>
        </is>
      </c>
      <c r="G554" t="inlineStr">
        <is>
          <t>ÖRNSKÖLDSVIK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28438-2024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45477</v>
      </c>
      <c r="E555" s="1" t="n">
        <v>46218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31930-2023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45118</v>
      </c>
      <c r="E556" s="1" t="n">
        <v>46218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SCA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5437-2025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45692</v>
      </c>
      <c r="E557" s="1" t="n">
        <v>46218</v>
      </c>
      <c r="F557" t="inlineStr">
        <is>
          <t>VÄSTERNORRLANDS LÄN</t>
        </is>
      </c>
      <c r="G557" t="inlineStr">
        <is>
          <t>ÖRNSKÖLDSVIK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51302-2024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45604</v>
      </c>
      <c r="E558" s="1" t="n">
        <v>46218</v>
      </c>
      <c r="F558" t="inlineStr">
        <is>
          <t>VÄSTERNORRLANDS LÄN</t>
        </is>
      </c>
      <c r="G558" t="inlineStr">
        <is>
          <t>ÖRNSKÖLDSVIK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39650-2025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45890</v>
      </c>
      <c r="E559" s="1" t="n">
        <v>46218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43245-2023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45183</v>
      </c>
      <c r="E560" s="1" t="n">
        <v>46218</v>
      </c>
      <c r="F560" t="inlineStr">
        <is>
          <t>VÄSTERNORRLANDS LÄN</t>
        </is>
      </c>
      <c r="G560" t="inlineStr">
        <is>
          <t>ÖRNSKÖLDSVIK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34152-2024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45524</v>
      </c>
      <c r="E561" s="1" t="n">
        <v>46218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34221-2024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45524</v>
      </c>
      <c r="E562" s="1" t="n">
        <v>46218</v>
      </c>
      <c r="F562" t="inlineStr">
        <is>
          <t>VÄSTERNORRLANDS LÄN</t>
        </is>
      </c>
      <c r="G562" t="inlineStr">
        <is>
          <t>ÖRNSKÖLDSVIK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40590-2023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45170</v>
      </c>
      <c r="E563" s="1" t="n">
        <v>46218</v>
      </c>
      <c r="F563" t="inlineStr">
        <is>
          <t>VÄSTERNORRLANDS LÄN</t>
        </is>
      </c>
      <c r="G563" t="inlineStr">
        <is>
          <t>ÖRNSKÖLDSVIK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42744-2021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44428</v>
      </c>
      <c r="E564" s="1" t="n">
        <v>46218</v>
      </c>
      <c r="F564" t="inlineStr">
        <is>
          <t>VÄSTERNORRLANDS LÄN</t>
        </is>
      </c>
      <c r="G564" t="inlineStr">
        <is>
          <t>ÖRNSKÖLDSVIK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39525-2025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45890</v>
      </c>
      <c r="E565" s="1" t="n">
        <v>46218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20.8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30100-2025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45826</v>
      </c>
      <c r="E566" s="1" t="n">
        <v>46218</v>
      </c>
      <c r="F566" t="inlineStr">
        <is>
          <t>VÄSTERNORRLANDS LÄN</t>
        </is>
      </c>
      <c r="G566" t="inlineStr">
        <is>
          <t>ÖRNSKÖLDSVIK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39918-2025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45891</v>
      </c>
      <c r="E567" s="1" t="n">
        <v>46218</v>
      </c>
      <c r="F567" t="inlineStr">
        <is>
          <t>VÄSTERNORRLANDS LÄN</t>
        </is>
      </c>
      <c r="G567" t="inlineStr">
        <is>
          <t>ÖRNSKÖLDSVIK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51717-2024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45607</v>
      </c>
      <c r="E568" s="1" t="n">
        <v>46218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19446-2025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45770</v>
      </c>
      <c r="E569" s="1" t="n">
        <v>46218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47109-2023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45201</v>
      </c>
      <c r="E570" s="1" t="n">
        <v>46218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39833-2024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45553</v>
      </c>
      <c r="E571" s="1" t="n">
        <v>46218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26846-2024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45470</v>
      </c>
      <c r="E572" s="1" t="n">
        <v>46218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10.4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11033-2025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45723</v>
      </c>
      <c r="E573" s="1" t="n">
        <v>46218</v>
      </c>
      <c r="F573" t="inlineStr">
        <is>
          <t>VÄSTERNORRLANDS LÄN</t>
        </is>
      </c>
      <c r="G573" t="inlineStr">
        <is>
          <t>ÖRNSKÖLDSVIK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932-2025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45666</v>
      </c>
      <c r="E574" s="1" t="n">
        <v>46218</v>
      </c>
      <c r="F574" t="inlineStr">
        <is>
          <t>VÄSTERNORRLANDS LÄN</t>
        </is>
      </c>
      <c r="G574" t="inlineStr">
        <is>
          <t>ÖRNSKÖLDSVIK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49494-2024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45596</v>
      </c>
      <c r="E575" s="1" t="n">
        <v>46218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22574-2024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45447</v>
      </c>
      <c r="E576" s="1" t="n">
        <v>46218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34692-2022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44795</v>
      </c>
      <c r="E577" s="1" t="n">
        <v>46218</v>
      </c>
      <c r="F577" t="inlineStr">
        <is>
          <t>VÄSTERNORRLANDS LÄN</t>
        </is>
      </c>
      <c r="G577" t="inlineStr">
        <is>
          <t>ÖRNSKÖLDSVIK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36282-2023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45149</v>
      </c>
      <c r="E578" s="1" t="n">
        <v>46218</v>
      </c>
      <c r="F578" t="inlineStr">
        <is>
          <t>VÄSTERNORRLANDS LÄN</t>
        </is>
      </c>
      <c r="G578" t="inlineStr">
        <is>
          <t>ÖRNSKÖLDSVIK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27818-2023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45098</v>
      </c>
      <c r="E579" s="1" t="n">
        <v>46218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40037-2025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45894</v>
      </c>
      <c r="E580" s="1" t="n">
        <v>46218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55655-2024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45622</v>
      </c>
      <c r="E581" s="1" t="n">
        <v>46218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SCA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8983-2025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45713</v>
      </c>
      <c r="E582" s="1" t="n">
        <v>46218</v>
      </c>
      <c r="F582" t="inlineStr">
        <is>
          <t>VÄSTERNORRLANDS LÄN</t>
        </is>
      </c>
      <c r="G582" t="inlineStr">
        <is>
          <t>ÖRNSKÖLDSVIK</t>
        </is>
      </c>
      <c r="I582" t="n">
        <v>3.6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40153-2024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45554</v>
      </c>
      <c r="E583" s="1" t="n">
        <v>46218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40259-2025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45895</v>
      </c>
      <c r="E584" s="1" t="n">
        <v>46218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40205-2025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45894</v>
      </c>
      <c r="E585" s="1" t="n">
        <v>46218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60494-2024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45643</v>
      </c>
      <c r="E586" s="1" t="n">
        <v>46218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SCA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40121-2025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45894</v>
      </c>
      <c r="E587" s="1" t="n">
        <v>46218</v>
      </c>
      <c r="F587" t="inlineStr">
        <is>
          <t>VÄSTERNORRLANDS LÄN</t>
        </is>
      </c>
      <c r="G587" t="inlineStr">
        <is>
          <t>ÖRNSKÖLDSVIK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61343-2024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45646</v>
      </c>
      <c r="E588" s="1" t="n">
        <v>46218</v>
      </c>
      <c r="F588" t="inlineStr">
        <is>
          <t>VÄSTERNORRLANDS LÄN</t>
        </is>
      </c>
      <c r="G588" t="inlineStr">
        <is>
          <t>ÖRNSKÖLDSVIK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40252-2025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45895</v>
      </c>
      <c r="E589" s="1" t="n">
        <v>46218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40825-2025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45897</v>
      </c>
      <c r="E590" s="1" t="n">
        <v>46218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40516-2025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45896</v>
      </c>
      <c r="E591" s="1" t="n">
        <v>46218</v>
      </c>
      <c r="F591" t="inlineStr">
        <is>
          <t>VÄSTERNORRLANDS LÄN</t>
        </is>
      </c>
      <c r="G591" t="inlineStr">
        <is>
          <t>ÖRNSKÖLDSVIK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48609-2024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45593</v>
      </c>
      <c r="E592" s="1" t="n">
        <v>46218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41489-2025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45901</v>
      </c>
      <c r="E593" s="1" t="n">
        <v>46218</v>
      </c>
      <c r="F593" t="inlineStr">
        <is>
          <t>VÄSTERNORRLANDS LÄN</t>
        </is>
      </c>
      <c r="G593" t="inlineStr">
        <is>
          <t>ÖRNSKÖLDSVIK</t>
        </is>
      </c>
      <c r="I593" t="n">
        <v>8.800000000000001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5765-2025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45694</v>
      </c>
      <c r="E594" s="1" t="n">
        <v>46218</v>
      </c>
      <c r="F594" t="inlineStr">
        <is>
          <t>VÄSTERNORRLANDS LÄN</t>
        </is>
      </c>
      <c r="G594" t="inlineStr">
        <is>
          <t>ÖRNSKÖLDSVIK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37133-2024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45539</v>
      </c>
      <c r="E595" s="1" t="n">
        <v>46218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41067-2025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45898</v>
      </c>
      <c r="E596" s="1" t="n">
        <v>46218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52719-2024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45610</v>
      </c>
      <c r="E597" s="1" t="n">
        <v>46218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10763-2024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45369</v>
      </c>
      <c r="E598" s="1" t="n">
        <v>46218</v>
      </c>
      <c r="F598" t="inlineStr">
        <is>
          <t>VÄSTERNORRLANDS LÄN</t>
        </is>
      </c>
      <c r="G598" t="inlineStr">
        <is>
          <t>ÖRNSKÖLDSVIK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33368-2024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45519</v>
      </c>
      <c r="E599" s="1" t="n">
        <v>46218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30644-2023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45112</v>
      </c>
      <c r="E600" s="1" t="n">
        <v>46218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47667-2023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45203</v>
      </c>
      <c r="E601" s="1" t="n">
        <v>46218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11486-2025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45726</v>
      </c>
      <c r="E602" s="1" t="n">
        <v>46218</v>
      </c>
      <c r="F602" t="inlineStr">
        <is>
          <t>VÄSTERNORRLANDS LÄN</t>
        </is>
      </c>
      <c r="G602" t="inlineStr">
        <is>
          <t>ÖRNSKÖLDSVIK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41045-2024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45559</v>
      </c>
      <c r="E603" s="1" t="n">
        <v>46218</v>
      </c>
      <c r="F603" t="inlineStr">
        <is>
          <t>VÄSTERNORRLANDS LÄN</t>
        </is>
      </c>
      <c r="G603" t="inlineStr">
        <is>
          <t>ÖRNSKÖLDSVIK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35250-2022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44798</v>
      </c>
      <c r="E604" s="1" t="n">
        <v>46218</v>
      </c>
      <c r="F604" t="inlineStr">
        <is>
          <t>VÄSTERNORRLANDS LÄN</t>
        </is>
      </c>
      <c r="G604" t="inlineStr">
        <is>
          <t>ÖRNSKÖLDSVIK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35266-2022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44798</v>
      </c>
      <c r="E605" s="1" t="n">
        <v>46218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Kyrkan</t>
        </is>
      </c>
      <c r="I605" t="n">
        <v>13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58530-2023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45251</v>
      </c>
      <c r="E606" s="1" t="n">
        <v>46218</v>
      </c>
      <c r="F606" t="inlineStr">
        <is>
          <t>VÄSTERNORRLANDS LÄN</t>
        </is>
      </c>
      <c r="G606" t="inlineStr">
        <is>
          <t>ÖRNSKÖLDSVIK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62257-2022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44922</v>
      </c>
      <c r="E607" s="1" t="n">
        <v>46218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SCA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21034-2024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45439</v>
      </c>
      <c r="E608" s="1" t="n">
        <v>46218</v>
      </c>
      <c r="F608" t="inlineStr">
        <is>
          <t>VÄSTERNORRLANDS LÄN</t>
        </is>
      </c>
      <c r="G608" t="inlineStr">
        <is>
          <t>ÖRNSKÖLDSVIK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54339-2021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44473</v>
      </c>
      <c r="E609" s="1" t="n">
        <v>46218</v>
      </c>
      <c r="F609" t="inlineStr">
        <is>
          <t>VÄSTERNORRLANDS LÄN</t>
        </is>
      </c>
      <c r="G609" t="inlineStr">
        <is>
          <t>ÖRNSKÖLDSVIK</t>
        </is>
      </c>
      <c r="I609" t="n">
        <v>9.6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53457-2023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45229</v>
      </c>
      <c r="E610" s="1" t="n">
        <v>46218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SCA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31721-2024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45509</v>
      </c>
      <c r="E611" s="1" t="n">
        <v>46218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5.9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20856-2024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45439</v>
      </c>
      <c r="E612" s="1" t="n">
        <v>46218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48701-2024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45593</v>
      </c>
      <c r="E613" s="1" t="n">
        <v>46218</v>
      </c>
      <c r="F613" t="inlineStr">
        <is>
          <t>VÄSTERNORRLANDS LÄN</t>
        </is>
      </c>
      <c r="G613" t="inlineStr">
        <is>
          <t>ÖRNSKÖLDSVIK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14298-2025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45740</v>
      </c>
      <c r="E614" s="1" t="n">
        <v>46218</v>
      </c>
      <c r="F614" t="inlineStr">
        <is>
          <t>VÄSTERNORRLANDS LÄN</t>
        </is>
      </c>
      <c r="G614" t="inlineStr">
        <is>
          <t>ÖRNSKÖLDSVIK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19532-2025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45770</v>
      </c>
      <c r="E615" s="1" t="n">
        <v>46218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54714-2022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44881</v>
      </c>
      <c r="E616" s="1" t="n">
        <v>46218</v>
      </c>
      <c r="F616" t="inlineStr">
        <is>
          <t>VÄSTERNORRLANDS LÄN</t>
        </is>
      </c>
      <c r="G616" t="inlineStr">
        <is>
          <t>ÖRNSKÖLDSVIK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50796-2024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45602</v>
      </c>
      <c r="E617" s="1" t="n">
        <v>46218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54582-2024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45617</v>
      </c>
      <c r="E618" s="1" t="n">
        <v>46218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23869-2024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45455</v>
      </c>
      <c r="E619" s="1" t="n">
        <v>46218</v>
      </c>
      <c r="F619" t="inlineStr">
        <is>
          <t>VÄSTERNORRLANDS LÄN</t>
        </is>
      </c>
      <c r="G619" t="inlineStr">
        <is>
          <t>ÖRNSKÖLDSVIK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7820-2025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45706</v>
      </c>
      <c r="E620" s="1" t="n">
        <v>46218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SCA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1795-2025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45670</v>
      </c>
      <c r="E621" s="1" t="n">
        <v>46218</v>
      </c>
      <c r="F621" t="inlineStr">
        <is>
          <t>VÄSTERNORRLANDS LÄN</t>
        </is>
      </c>
      <c r="G621" t="inlineStr">
        <is>
          <t>ÖRNSKÖLDSVIK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53162-2021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44468</v>
      </c>
      <c r="E622" s="1" t="n">
        <v>46218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9.199999999999999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55937-2022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44889</v>
      </c>
      <c r="E623" s="1" t="n">
        <v>46218</v>
      </c>
      <c r="F623" t="inlineStr">
        <is>
          <t>VÄSTERNORRLANDS LÄN</t>
        </is>
      </c>
      <c r="G623" t="inlineStr">
        <is>
          <t>ÖRNSKÖLDSVIK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57320-2022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44896</v>
      </c>
      <c r="E624" s="1" t="n">
        <v>46218</v>
      </c>
      <c r="F624" t="inlineStr">
        <is>
          <t>VÄSTERNORRLANDS LÄN</t>
        </is>
      </c>
      <c r="G624" t="inlineStr">
        <is>
          <t>ÖRNSKÖLDSVIK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44498-2023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45189</v>
      </c>
      <c r="E625" s="1" t="n">
        <v>46218</v>
      </c>
      <c r="F625" t="inlineStr">
        <is>
          <t>VÄSTERNORRLANDS LÄN</t>
        </is>
      </c>
      <c r="G625" t="inlineStr">
        <is>
          <t>ÖRNSKÖLDSVIK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35472-2024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45531</v>
      </c>
      <c r="E626" s="1" t="n">
        <v>46218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37924-2024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45544</v>
      </c>
      <c r="E627" s="1" t="n">
        <v>46218</v>
      </c>
      <c r="F627" t="inlineStr">
        <is>
          <t>VÄSTERNORRLANDS LÄN</t>
        </is>
      </c>
      <c r="G627" t="inlineStr">
        <is>
          <t>ÖRNSKÖLDSVIK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1268-2025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45667</v>
      </c>
      <c r="E628" s="1" t="n">
        <v>46218</v>
      </c>
      <c r="F628" t="inlineStr">
        <is>
          <t>VÄSTERNORRLANDS LÄN</t>
        </is>
      </c>
      <c r="G628" t="inlineStr">
        <is>
          <t>ÖRNSKÖLDSVIK</t>
        </is>
      </c>
      <c r="I628" t="n">
        <v>7.7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698-2024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45300</v>
      </c>
      <c r="E629" s="1" t="n">
        <v>46218</v>
      </c>
      <c r="F629" t="inlineStr">
        <is>
          <t>VÄSTERNORRLANDS LÄN</t>
        </is>
      </c>
      <c r="G629" t="inlineStr">
        <is>
          <t>ÖRNSKÖLDSVIK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49374-2023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45211</v>
      </c>
      <c r="E630" s="1" t="n">
        <v>46218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6.3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33917-2024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45523</v>
      </c>
      <c r="E631" s="1" t="n">
        <v>46218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56566-2024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45625</v>
      </c>
      <c r="E632" s="1" t="n">
        <v>46218</v>
      </c>
      <c r="F632" t="inlineStr">
        <is>
          <t>VÄSTERNORRLANDS LÄN</t>
        </is>
      </c>
      <c r="G632" t="inlineStr">
        <is>
          <t>ÖRNSKÖLDSVIK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69820-2021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44532</v>
      </c>
      <c r="E633" s="1" t="n">
        <v>46218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11.5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22532-2023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45069</v>
      </c>
      <c r="E634" s="1" t="n">
        <v>46218</v>
      </c>
      <c r="F634" t="inlineStr">
        <is>
          <t>VÄSTERNORRLANDS LÄN</t>
        </is>
      </c>
      <c r="G634" t="inlineStr">
        <is>
          <t>ÖRNSKÖLDSVIK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61121-2024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45645</v>
      </c>
      <c r="E635" s="1" t="n">
        <v>46218</v>
      </c>
      <c r="F635" t="inlineStr">
        <is>
          <t>VÄSTERNORRLANDS LÄN</t>
        </is>
      </c>
      <c r="G635" t="inlineStr">
        <is>
          <t>ÖRNSKÖLDSVIK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39637-2024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45552</v>
      </c>
      <c r="E636" s="1" t="n">
        <v>46218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SCA</t>
        </is>
      </c>
      <c r="I636" t="n">
        <v>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10482-2025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45721</v>
      </c>
      <c r="E637" s="1" t="n">
        <v>46218</v>
      </c>
      <c r="F637" t="inlineStr">
        <is>
          <t>VÄSTERNORRLANDS LÄN</t>
        </is>
      </c>
      <c r="G637" t="inlineStr">
        <is>
          <t>ÖRNSKÖLDSVIK</t>
        </is>
      </c>
      <c r="I637" t="n">
        <v>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44431-2022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44839</v>
      </c>
      <c r="E638" s="1" t="n">
        <v>46218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SCA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56128-2023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45240</v>
      </c>
      <c r="E639" s="1" t="n">
        <v>46218</v>
      </c>
      <c r="F639" t="inlineStr">
        <is>
          <t>VÄSTERNORRLANDS LÄN</t>
        </is>
      </c>
      <c r="G639" t="inlineStr">
        <is>
          <t>ÖRNSKÖLDSVIK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41545-2025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45901</v>
      </c>
      <c r="E640" s="1" t="n">
        <v>46218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41103-2025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45898</v>
      </c>
      <c r="E641" s="1" t="n">
        <v>46218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4.8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41143-2025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45898</v>
      </c>
      <c r="E642" s="1" t="n">
        <v>46218</v>
      </c>
      <c r="F642" t="inlineStr">
        <is>
          <t>VÄSTERNORRLANDS LÄN</t>
        </is>
      </c>
      <c r="G642" t="inlineStr">
        <is>
          <t>ÖRNSKÖLDSVIK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10499-2024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45366</v>
      </c>
      <c r="E643" s="1" t="n">
        <v>46218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4.3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43242-2023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45183</v>
      </c>
      <c r="E644" s="1" t="n">
        <v>46218</v>
      </c>
      <c r="F644" t="inlineStr">
        <is>
          <t>VÄSTERNORRLANDS LÄN</t>
        </is>
      </c>
      <c r="G644" t="inlineStr">
        <is>
          <t>ÖRNSKÖLDSVIK</t>
        </is>
      </c>
      <c r="I644" t="n">
        <v>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51760-2024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45607</v>
      </c>
      <c r="E645" s="1" t="n">
        <v>46218</v>
      </c>
      <c r="F645" t="inlineStr">
        <is>
          <t>VÄSTERNORRLANDS LÄN</t>
        </is>
      </c>
      <c r="G645" t="inlineStr">
        <is>
          <t>ÖRNSKÖLDSVIK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44865-2024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45575</v>
      </c>
      <c r="E646" s="1" t="n">
        <v>46218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11051-2023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44991</v>
      </c>
      <c r="E647" s="1" t="n">
        <v>46218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SCA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13161-2025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45734</v>
      </c>
      <c r="E648" s="1" t="n">
        <v>46218</v>
      </c>
      <c r="F648" t="inlineStr">
        <is>
          <t>VÄSTERNORRLANDS LÄN</t>
        </is>
      </c>
      <c r="G648" t="inlineStr">
        <is>
          <t>ÖRNSKÖLDSVIK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41931-2025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45903</v>
      </c>
      <c r="E649" s="1" t="n">
        <v>46218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41903-2025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45903</v>
      </c>
      <c r="E650" s="1" t="n">
        <v>46218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17356-2023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45033</v>
      </c>
      <c r="E651" s="1" t="n">
        <v>46218</v>
      </c>
      <c r="F651" t="inlineStr">
        <is>
          <t>VÄSTERNORRLANDS LÄN</t>
        </is>
      </c>
      <c r="G651" t="inlineStr">
        <is>
          <t>ÖRNSKÖLDSVIK</t>
        </is>
      </c>
      <c r="I651" t="n">
        <v>18.3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62285-2023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45267</v>
      </c>
      <c r="E652" s="1" t="n">
        <v>46218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42034-2025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45903</v>
      </c>
      <c r="E653" s="1" t="n">
        <v>46218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42080-2025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45903</v>
      </c>
      <c r="E654" s="1" t="n">
        <v>46218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5.4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33906-2023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45134</v>
      </c>
      <c r="E655" s="1" t="n">
        <v>46218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4.3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41894-2025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45903</v>
      </c>
      <c r="E656" s="1" t="n">
        <v>46218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38386-2023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45162</v>
      </c>
      <c r="E657" s="1" t="n">
        <v>46218</v>
      </c>
      <c r="F657" t="inlineStr">
        <is>
          <t>VÄSTERNORRLANDS LÄN</t>
        </is>
      </c>
      <c r="G657" t="inlineStr">
        <is>
          <t>ÖRNSKÖLDSVIK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13816-2024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45390</v>
      </c>
      <c r="E658" s="1" t="n">
        <v>46218</v>
      </c>
      <c r="F658" t="inlineStr">
        <is>
          <t>VÄSTERNORRLANDS LÄN</t>
        </is>
      </c>
      <c r="G658" t="inlineStr">
        <is>
          <t>ÖRNSKÖLDSVIK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53924-2023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45231</v>
      </c>
      <c r="E659" s="1" t="n">
        <v>46218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4.1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6274-2024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45337</v>
      </c>
      <c r="E660" s="1" t="n">
        <v>46218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SCA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41979-2023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45177</v>
      </c>
      <c r="E661" s="1" t="n">
        <v>46218</v>
      </c>
      <c r="F661" t="inlineStr">
        <is>
          <t>VÄSTERNORRLANDS LÄN</t>
        </is>
      </c>
      <c r="G661" t="inlineStr">
        <is>
          <t>ÖRNSKÖLDSVIK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60773-2023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45260</v>
      </c>
      <c r="E662" s="1" t="n">
        <v>46218</v>
      </c>
      <c r="F662" t="inlineStr">
        <is>
          <t>VÄSTERNORRLANDS LÄN</t>
        </is>
      </c>
      <c r="G662" t="inlineStr">
        <is>
          <t>ÖRNSKÖLDSVIK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39317-2024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45551</v>
      </c>
      <c r="E663" s="1" t="n">
        <v>46218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7.4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4360-2023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44954</v>
      </c>
      <c r="E664" s="1" t="n">
        <v>46218</v>
      </c>
      <c r="F664" t="inlineStr">
        <is>
          <t>VÄSTERNORRLANDS LÄN</t>
        </is>
      </c>
      <c r="G664" t="inlineStr">
        <is>
          <t>ÖRNSKÖLDSVIK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68084-2021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44526</v>
      </c>
      <c r="E665" s="1" t="n">
        <v>46218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Övriga Aktiebolag</t>
        </is>
      </c>
      <c r="I665" t="n">
        <v>9.699999999999999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9455-2025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45715</v>
      </c>
      <c r="E666" s="1" t="n">
        <v>46218</v>
      </c>
      <c r="F666" t="inlineStr">
        <is>
          <t>VÄSTERNORRLANDS LÄN</t>
        </is>
      </c>
      <c r="G666" t="inlineStr">
        <is>
          <t>ÖRNSKÖLDSVIK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25001-2024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45461</v>
      </c>
      <c r="E667" s="1" t="n">
        <v>46218</v>
      </c>
      <c r="F667" t="inlineStr">
        <is>
          <t>VÄSTERNORRLANDS LÄN</t>
        </is>
      </c>
      <c r="G667" t="inlineStr">
        <is>
          <t>ÖRNSKÖLDSVIK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33244-2023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45114</v>
      </c>
      <c r="E668" s="1" t="n">
        <v>46218</v>
      </c>
      <c r="F668" t="inlineStr">
        <is>
          <t>VÄSTERNORRLANDS LÄN</t>
        </is>
      </c>
      <c r="G668" t="inlineStr">
        <is>
          <t>ÖRNSKÖLDSVIK</t>
        </is>
      </c>
      <c r="I668" t="n">
        <v>3.3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38714-2024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45547</v>
      </c>
      <c r="E669" s="1" t="n">
        <v>46218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28336-2024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45477</v>
      </c>
      <c r="E670" s="1" t="n">
        <v>46218</v>
      </c>
      <c r="F670" t="inlineStr">
        <is>
          <t>VÄSTERNORRLANDS LÄN</t>
        </is>
      </c>
      <c r="G670" t="inlineStr">
        <is>
          <t>ÖRNSKÖLDSVIK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50727-2021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44459</v>
      </c>
      <c r="E671" s="1" t="n">
        <v>46218</v>
      </c>
      <c r="F671" t="inlineStr">
        <is>
          <t>VÄSTERNORRLANDS LÄN</t>
        </is>
      </c>
      <c r="G671" t="inlineStr">
        <is>
          <t>ÖRNSKÖLDSVIK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59041-2024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45636</v>
      </c>
      <c r="E672" s="1" t="n">
        <v>46218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SCA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33191-2024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45518</v>
      </c>
      <c r="E673" s="1" t="n">
        <v>46218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6383-2024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45338</v>
      </c>
      <c r="E674" s="1" t="n">
        <v>46218</v>
      </c>
      <c r="F674" t="inlineStr">
        <is>
          <t>VÄSTERNORRLANDS LÄN</t>
        </is>
      </c>
      <c r="G674" t="inlineStr">
        <is>
          <t>ÖRNSKÖLDSVIK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35941-2024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45533</v>
      </c>
      <c r="E675" s="1" t="n">
        <v>46218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Holmen skog AB</t>
        </is>
      </c>
      <c r="I675" t="n">
        <v>11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59495-2023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45253</v>
      </c>
      <c r="E676" s="1" t="n">
        <v>46218</v>
      </c>
      <c r="F676" t="inlineStr">
        <is>
          <t>VÄSTERNORRLANDS LÄN</t>
        </is>
      </c>
      <c r="G676" t="inlineStr">
        <is>
          <t>ÖRNSKÖLDSVIK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59581-2023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45254</v>
      </c>
      <c r="E677" s="1" t="n">
        <v>46218</v>
      </c>
      <c r="F677" t="inlineStr">
        <is>
          <t>VÄSTERNORRLANDS LÄN</t>
        </is>
      </c>
      <c r="G677" t="inlineStr">
        <is>
          <t>ÖRNSKÖLDSVIK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42164-2025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45904</v>
      </c>
      <c r="E678" s="1" t="n">
        <v>46218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42450-2025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45905</v>
      </c>
      <c r="E679" s="1" t="n">
        <v>46218</v>
      </c>
      <c r="F679" t="inlineStr">
        <is>
          <t>VÄSTERNORRLANDS LÄN</t>
        </is>
      </c>
      <c r="G679" t="inlineStr">
        <is>
          <t>ÖRNSKÖLDSVIK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42451-2025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45905</v>
      </c>
      <c r="E680" s="1" t="n">
        <v>46218</v>
      </c>
      <c r="F680" t="inlineStr">
        <is>
          <t>VÄSTERNORRLANDS LÄN</t>
        </is>
      </c>
      <c r="G680" t="inlineStr">
        <is>
          <t>ÖRNSKÖLDSVIK</t>
        </is>
      </c>
      <c r="I680" t="n">
        <v>5.4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10523-2025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45721</v>
      </c>
      <c r="E681" s="1" t="n">
        <v>46218</v>
      </c>
      <c r="F681" t="inlineStr">
        <is>
          <t>VÄSTERNORRLANDS LÄN</t>
        </is>
      </c>
      <c r="G681" t="inlineStr">
        <is>
          <t>ÖRNSKÖLDSVIK</t>
        </is>
      </c>
      <c r="I681" t="n">
        <v>5.3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42254-2025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45904</v>
      </c>
      <c r="E682" s="1" t="n">
        <v>46218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57994-2023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45247</v>
      </c>
      <c r="E683" s="1" t="n">
        <v>46218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55417-2024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45622</v>
      </c>
      <c r="E684" s="1" t="n">
        <v>46218</v>
      </c>
      <c r="F684" t="inlineStr">
        <is>
          <t>VÄSTERNORRLANDS LÄN</t>
        </is>
      </c>
      <c r="G684" t="inlineStr">
        <is>
          <t>ÖRNSKÖLDSVIK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42418-2025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45905</v>
      </c>
      <c r="E685" s="1" t="n">
        <v>46218</v>
      </c>
      <c r="F685" t="inlineStr">
        <is>
          <t>VÄSTERNORRLANDS LÄN</t>
        </is>
      </c>
      <c r="G685" t="inlineStr">
        <is>
          <t>ÖRNSKÖLDSVIK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51972-2023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45216</v>
      </c>
      <c r="E686" s="1" t="n">
        <v>46218</v>
      </c>
      <c r="F686" t="inlineStr">
        <is>
          <t>VÄSTERNORRLANDS LÄN</t>
        </is>
      </c>
      <c r="G686" t="inlineStr">
        <is>
          <t>ÖRNSKÖLDSVIK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58702-2023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45251</v>
      </c>
      <c r="E687" s="1" t="n">
        <v>46218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34462-2024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45525</v>
      </c>
      <c r="E688" s="1" t="n">
        <v>46218</v>
      </c>
      <c r="F688" t="inlineStr">
        <is>
          <t>VÄSTERNORRLANDS LÄN</t>
        </is>
      </c>
      <c r="G688" t="inlineStr">
        <is>
          <t>ÖRNSKÖLDSVIK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42522-2023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45181</v>
      </c>
      <c r="E689" s="1" t="n">
        <v>46218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42299-2025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45904</v>
      </c>
      <c r="E690" s="1" t="n">
        <v>46218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48439-2023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45205</v>
      </c>
      <c r="E691" s="1" t="n">
        <v>46218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SCA</t>
        </is>
      </c>
      <c r="I691" t="n">
        <v>7.5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42239-2025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45904</v>
      </c>
      <c r="E692" s="1" t="n">
        <v>46218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14318-2023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45011</v>
      </c>
      <c r="E693" s="1" t="n">
        <v>46218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SCA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63673-2023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45275</v>
      </c>
      <c r="E694" s="1" t="n">
        <v>46218</v>
      </c>
      <c r="F694" t="inlineStr">
        <is>
          <t>VÄSTERNORRLANDS LÄN</t>
        </is>
      </c>
      <c r="G694" t="inlineStr">
        <is>
          <t>ÖRNSKÖLDSVIK</t>
        </is>
      </c>
      <c r="I694" t="n">
        <v>11.5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62082-2023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45266</v>
      </c>
      <c r="E695" s="1" t="n">
        <v>46218</v>
      </c>
      <c r="F695" t="inlineStr">
        <is>
          <t>VÄSTERNORRLANDS LÄN</t>
        </is>
      </c>
      <c r="G695" t="inlineStr">
        <is>
          <t>ÖRNSKÖLDSVIK</t>
        </is>
      </c>
      <c r="I695" t="n">
        <v>4.6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25189-2024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45462</v>
      </c>
      <c r="E696" s="1" t="n">
        <v>46218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21737-2023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45065</v>
      </c>
      <c r="E697" s="1" t="n">
        <v>46218</v>
      </c>
      <c r="F697" t="inlineStr">
        <is>
          <t>VÄSTERNORRLANDS LÄN</t>
        </is>
      </c>
      <c r="G697" t="inlineStr">
        <is>
          <t>ÖRNSKÖLDSVIK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43053-2025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45909</v>
      </c>
      <c r="E698" s="1" t="n">
        <v>46218</v>
      </c>
      <c r="F698" t="inlineStr">
        <is>
          <t>VÄSTERNORRLANDS LÄN</t>
        </is>
      </c>
      <c r="G698" t="inlineStr">
        <is>
          <t>ÖRNSKÖLDSVIK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43035-2025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45909</v>
      </c>
      <c r="E699" s="1" t="n">
        <v>46218</v>
      </c>
      <c r="F699" t="inlineStr">
        <is>
          <t>VÄSTERNORRLANDS LÄN</t>
        </is>
      </c>
      <c r="G699" t="inlineStr">
        <is>
          <t>ÖRNSKÖLDSVIK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6510-2025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45699</v>
      </c>
      <c r="E700" s="1" t="n">
        <v>46218</v>
      </c>
      <c r="F700" t="inlineStr">
        <is>
          <t>VÄSTERNORRLANDS LÄN</t>
        </is>
      </c>
      <c r="G700" t="inlineStr">
        <is>
          <t>ÖRNSKÖLDSVIK</t>
        </is>
      </c>
      <c r="I700" t="n">
        <v>6.3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8019-2025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45707</v>
      </c>
      <c r="E701" s="1" t="n">
        <v>46218</v>
      </c>
      <c r="F701" t="inlineStr">
        <is>
          <t>VÄSTERNORRLANDS LÄN</t>
        </is>
      </c>
      <c r="G701" t="inlineStr">
        <is>
          <t>ÖRNSKÖLDSVIK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43023-2025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45909</v>
      </c>
      <c r="E702" s="1" t="n">
        <v>46218</v>
      </c>
      <c r="F702" t="inlineStr">
        <is>
          <t>VÄSTERNORRLANDS LÄN</t>
        </is>
      </c>
      <c r="G702" t="inlineStr">
        <is>
          <t>ÖRNSKÖLDSVIK</t>
        </is>
      </c>
      <c r="I702" t="n">
        <v>8.4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61212-2024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45645</v>
      </c>
      <c r="E703" s="1" t="n">
        <v>46218</v>
      </c>
      <c r="F703" t="inlineStr">
        <is>
          <t>VÄSTERNORRLANDS LÄN</t>
        </is>
      </c>
      <c r="G703" t="inlineStr">
        <is>
          <t>ÖRNSKÖLDSVIK</t>
        </is>
      </c>
      <c r="I703" t="n">
        <v>4.6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46481-2023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45194</v>
      </c>
      <c r="E704" s="1" t="n">
        <v>46218</v>
      </c>
      <c r="F704" t="inlineStr">
        <is>
          <t>VÄSTERNORRLANDS LÄN</t>
        </is>
      </c>
      <c r="G704" t="inlineStr">
        <is>
          <t>ÖRNSKÖLDSVIK</t>
        </is>
      </c>
      <c r="I704" t="n">
        <v>18.8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4345-2024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45324</v>
      </c>
      <c r="E705" s="1" t="n">
        <v>46218</v>
      </c>
      <c r="F705" t="inlineStr">
        <is>
          <t>VÄSTERNORRLANDS LÄN</t>
        </is>
      </c>
      <c r="G705" t="inlineStr">
        <is>
          <t>ÖRNSKÖLDSVIK</t>
        </is>
      </c>
      <c r="I705" t="n">
        <v>9.1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42699-2025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45908</v>
      </c>
      <c r="E706" s="1" t="n">
        <v>46218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SCA</t>
        </is>
      </c>
      <c r="I706" t="n">
        <v>4.6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42700-2025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45908</v>
      </c>
      <c r="E707" s="1" t="n">
        <v>46218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SCA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43105-2025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45909</v>
      </c>
      <c r="E708" s="1" t="n">
        <v>46218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32208-2024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45511</v>
      </c>
      <c r="E709" s="1" t="n">
        <v>46218</v>
      </c>
      <c r="F709" t="inlineStr">
        <is>
          <t>VÄSTERNORRLANDS LÄN</t>
        </is>
      </c>
      <c r="G709" t="inlineStr">
        <is>
          <t>ÖRNSKÖLDSVIK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33771-2024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45520</v>
      </c>
      <c r="E710" s="1" t="n">
        <v>46218</v>
      </c>
      <c r="F710" t="inlineStr">
        <is>
          <t>VÄSTERNORRLANDS LÄN</t>
        </is>
      </c>
      <c r="G710" t="inlineStr">
        <is>
          <t>ÖRNSKÖLDSVIK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30118-2024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45489</v>
      </c>
      <c r="E711" s="1" t="n">
        <v>46218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48979-2023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45209</v>
      </c>
      <c r="E712" s="1" t="n">
        <v>46218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40867-2023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45173</v>
      </c>
      <c r="E713" s="1" t="n">
        <v>46218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47871-2024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45588</v>
      </c>
      <c r="E714" s="1" t="n">
        <v>46218</v>
      </c>
      <c r="F714" t="inlineStr">
        <is>
          <t>VÄSTERNORRLANDS LÄN</t>
        </is>
      </c>
      <c r="G714" t="inlineStr">
        <is>
          <t>ÖRNSKÖLDSVIK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31410-2024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45505</v>
      </c>
      <c r="E715" s="1" t="n">
        <v>46218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4794-2024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45328</v>
      </c>
      <c r="E716" s="1" t="n">
        <v>46218</v>
      </c>
      <c r="F716" t="inlineStr">
        <is>
          <t>VÄSTERNORRLANDS LÄN</t>
        </is>
      </c>
      <c r="G716" t="inlineStr">
        <is>
          <t>ÖRNSKÖLDSVIK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20326-2025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45775</v>
      </c>
      <c r="E717" s="1" t="n">
        <v>46218</v>
      </c>
      <c r="F717" t="inlineStr">
        <is>
          <t>VÄSTERNORRLANDS LÄN</t>
        </is>
      </c>
      <c r="G717" t="inlineStr">
        <is>
          <t>ÖRNSKÖLDSVIK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39566-2024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45552</v>
      </c>
      <c r="E718" s="1" t="n">
        <v>46218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22962-2024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45449</v>
      </c>
      <c r="E719" s="1" t="n">
        <v>46218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62560-2023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45268</v>
      </c>
      <c r="E720" s="1" t="n">
        <v>46218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SCA</t>
        </is>
      </c>
      <c r="I720" t="n">
        <v>18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51303-2024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45604</v>
      </c>
      <c r="E721" s="1" t="n">
        <v>46218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48913-2023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45204</v>
      </c>
      <c r="E722" s="1" t="n">
        <v>46218</v>
      </c>
      <c r="F722" t="inlineStr">
        <is>
          <t>VÄSTERNORRLANDS LÄN</t>
        </is>
      </c>
      <c r="G722" t="inlineStr">
        <is>
          <t>ÖRNSKÖLDSVIK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58526-2024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45635</v>
      </c>
      <c r="E723" s="1" t="n">
        <v>46218</v>
      </c>
      <c r="F723" t="inlineStr">
        <is>
          <t>VÄSTERNORRLANDS LÄN</t>
        </is>
      </c>
      <c r="G723" t="inlineStr">
        <is>
          <t>ÖRNSKÖLDSVIK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26457-2023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45089</v>
      </c>
      <c r="E724" s="1" t="n">
        <v>46218</v>
      </c>
      <c r="F724" t="inlineStr">
        <is>
          <t>VÄSTERNORRLANDS LÄN</t>
        </is>
      </c>
      <c r="G724" t="inlineStr">
        <is>
          <t>ÖRNSKÖLDSVIK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42396-2023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45175</v>
      </c>
      <c r="E725" s="1" t="n">
        <v>46218</v>
      </c>
      <c r="F725" t="inlineStr">
        <is>
          <t>VÄSTERNORRLANDS LÄN</t>
        </is>
      </c>
      <c r="G725" t="inlineStr">
        <is>
          <t>ÖRNSKÖLDSVIK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54500-2021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44473</v>
      </c>
      <c r="E726" s="1" t="n">
        <v>46218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44330-2022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44839</v>
      </c>
      <c r="E727" s="1" t="n">
        <v>46218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8.1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45943-2023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45195</v>
      </c>
      <c r="E728" s="1" t="n">
        <v>46218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SCA</t>
        </is>
      </c>
      <c r="I728" t="n">
        <v>4.5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50223-2024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45600</v>
      </c>
      <c r="E729" s="1" t="n">
        <v>46218</v>
      </c>
      <c r="F729" t="inlineStr">
        <is>
          <t>VÄSTERNORRLANDS LÄN</t>
        </is>
      </c>
      <c r="G729" t="inlineStr">
        <is>
          <t>ÖRNSKÖLDSVIK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68934-2021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44529</v>
      </c>
      <c r="E730" s="1" t="n">
        <v>46218</v>
      </c>
      <c r="F730" t="inlineStr">
        <is>
          <t>VÄSTERNORRLANDS LÄN</t>
        </is>
      </c>
      <c r="G730" t="inlineStr">
        <is>
          <t>ÖRNSKÖLDSVIK</t>
        </is>
      </c>
      <c r="I730" t="n">
        <v>7.2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42354-2021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44427</v>
      </c>
      <c r="E731" s="1" t="n">
        <v>46218</v>
      </c>
      <c r="F731" t="inlineStr">
        <is>
          <t>VÄSTERNORRLANDS LÄN</t>
        </is>
      </c>
      <c r="G731" t="inlineStr">
        <is>
          <t>ÖRNSKÖLDSVIK</t>
        </is>
      </c>
      <c r="I731" t="n">
        <v>4.1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1559-2024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45306</v>
      </c>
      <c r="E732" s="1" t="n">
        <v>46218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11925-2024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45376</v>
      </c>
      <c r="E733" s="1" t="n">
        <v>46218</v>
      </c>
      <c r="F733" t="inlineStr">
        <is>
          <t>VÄSTERNORRLANDS LÄN</t>
        </is>
      </c>
      <c r="G733" t="inlineStr">
        <is>
          <t>ÖRNSKÖLDSVIK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43403-2025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45911</v>
      </c>
      <c r="E734" s="1" t="n">
        <v>46218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7.8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43417-2025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45911</v>
      </c>
      <c r="E735" s="1" t="n">
        <v>46218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SCA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43418-2025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45911</v>
      </c>
      <c r="E736" s="1" t="n">
        <v>46218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SCA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43201-2025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45910</v>
      </c>
      <c r="E737" s="1" t="n">
        <v>46218</v>
      </c>
      <c r="F737" t="inlineStr">
        <is>
          <t>VÄSTERNORRLANDS LÄN</t>
        </is>
      </c>
      <c r="G737" t="inlineStr">
        <is>
          <t>ÖRNSKÖLDSVIK</t>
        </is>
      </c>
      <c r="I737" t="n">
        <v>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43872-2025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45912</v>
      </c>
      <c r="E738" s="1" t="n">
        <v>46218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44002-2025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45915</v>
      </c>
      <c r="E739" s="1" t="n">
        <v>46218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44008-2025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45915</v>
      </c>
      <c r="E740" s="1" t="n">
        <v>46218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44123-2025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45915</v>
      </c>
      <c r="E741" s="1" t="n">
        <v>46218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29810-2024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45485</v>
      </c>
      <c r="E742" s="1" t="n">
        <v>46218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44314-2025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45915</v>
      </c>
      <c r="E743" s="1" t="n">
        <v>46218</v>
      </c>
      <c r="F743" t="inlineStr">
        <is>
          <t>VÄSTERNORRLANDS LÄN</t>
        </is>
      </c>
      <c r="G743" t="inlineStr">
        <is>
          <t>ÖRNSKÖLDSVIK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43696-2025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45912</v>
      </c>
      <c r="E744" s="1" t="n">
        <v>46218</v>
      </c>
      <c r="F744" t="inlineStr">
        <is>
          <t>VÄSTERNORRLANDS LÄN</t>
        </is>
      </c>
      <c r="G744" t="inlineStr">
        <is>
          <t>ÖRNSKÖLDSVIK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44222-2025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45915</v>
      </c>
      <c r="E745" s="1" t="n">
        <v>46218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43810-2025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45912</v>
      </c>
      <c r="E746" s="1" t="n">
        <v>46218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43927-2025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45915</v>
      </c>
      <c r="E747" s="1" t="n">
        <v>46218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44352-2025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45915</v>
      </c>
      <c r="E748" s="1" t="n">
        <v>46218</v>
      </c>
      <c r="F748" t="inlineStr">
        <is>
          <t>VÄSTERNORRLANDS LÄN</t>
        </is>
      </c>
      <c r="G748" t="inlineStr">
        <is>
          <t>ÖRNSKÖLDSVIK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60867-2021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44497</v>
      </c>
      <c r="E749" s="1" t="n">
        <v>46218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38750-2024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45547</v>
      </c>
      <c r="E750" s="1" t="n">
        <v>46218</v>
      </c>
      <c r="F750" t="inlineStr">
        <is>
          <t>VÄSTERNORRLANDS LÄN</t>
        </is>
      </c>
      <c r="G750" t="inlineStr">
        <is>
          <t>ÖRNSKÖLDSVIK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38753-2024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45547</v>
      </c>
      <c r="E751" s="1" t="n">
        <v>46218</v>
      </c>
      <c r="F751" t="inlineStr">
        <is>
          <t>VÄSTERNORRLANDS LÄN</t>
        </is>
      </c>
      <c r="G751" t="inlineStr">
        <is>
          <t>ÖRNSKÖLDSVIK</t>
        </is>
      </c>
      <c r="I751" t="n">
        <v>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44255-2025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45915</v>
      </c>
      <c r="E752" s="1" t="n">
        <v>46218</v>
      </c>
      <c r="F752" t="inlineStr">
        <is>
          <t>VÄSTERNORRLANDS LÄN</t>
        </is>
      </c>
      <c r="G752" t="inlineStr">
        <is>
          <t>ÖRNSKÖLDSVIK</t>
        </is>
      </c>
      <c r="I752" t="n">
        <v>8.5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5193-2025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45691</v>
      </c>
      <c r="E753" s="1" t="n">
        <v>46218</v>
      </c>
      <c r="F753" t="inlineStr">
        <is>
          <t>VÄSTERNORRLANDS LÄN</t>
        </is>
      </c>
      <c r="G753" t="inlineStr">
        <is>
          <t>ÖRNSKÖLDSVIK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43712-2025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45912</v>
      </c>
      <c r="E754" s="1" t="n">
        <v>46218</v>
      </c>
      <c r="F754" t="inlineStr">
        <is>
          <t>VÄSTERNORRLANDS LÄN</t>
        </is>
      </c>
      <c r="G754" t="inlineStr">
        <is>
          <t>ÖRNSKÖLDSVIK</t>
        </is>
      </c>
      <c r="I754" t="n">
        <v>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40134-2023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45169</v>
      </c>
      <c r="E755" s="1" t="n">
        <v>46218</v>
      </c>
      <c r="F755" t="inlineStr">
        <is>
          <t>VÄSTERNORRLANDS LÄN</t>
        </is>
      </c>
      <c r="G755" t="inlineStr">
        <is>
          <t>ÖRNSKÖLDSVIK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38566-2023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45162</v>
      </c>
      <c r="E756" s="1" t="n">
        <v>46218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44738-2025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45917</v>
      </c>
      <c r="E757" s="1" t="n">
        <v>46218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4.7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44490-2025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45916</v>
      </c>
      <c r="E758" s="1" t="n">
        <v>46218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18.1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34309-2022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44792</v>
      </c>
      <c r="E759" s="1" t="n">
        <v>46218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4.9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21418-2025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45692</v>
      </c>
      <c r="E760" s="1" t="n">
        <v>46218</v>
      </c>
      <c r="F760" t="inlineStr">
        <is>
          <t>VÄSTERNORRLANDS LÄN</t>
        </is>
      </c>
      <c r="G760" t="inlineStr">
        <is>
          <t>ÖRNSKÖLDSVIK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49002-2021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44453</v>
      </c>
      <c r="E761" s="1" t="n">
        <v>46218</v>
      </c>
      <c r="F761" t="inlineStr">
        <is>
          <t>VÄSTERNORRLANDS LÄN</t>
        </is>
      </c>
      <c r="G761" t="inlineStr">
        <is>
          <t>ÖRNSKÖLDSVIK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48323-2023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45201</v>
      </c>
      <c r="E762" s="1" t="n">
        <v>46218</v>
      </c>
      <c r="F762" t="inlineStr">
        <is>
          <t>VÄSTERNORRLANDS LÄN</t>
        </is>
      </c>
      <c r="G762" t="inlineStr">
        <is>
          <t>ÖRNSKÖLDSVIK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5103-2024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45330</v>
      </c>
      <c r="E763" s="1" t="n">
        <v>46218</v>
      </c>
      <c r="F763" t="inlineStr">
        <is>
          <t>VÄSTERNORRLANDS LÄN</t>
        </is>
      </c>
      <c r="G763" t="inlineStr">
        <is>
          <t>ÖRNSKÖLDSVIK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44689-2025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45917</v>
      </c>
      <c r="E764" s="1" t="n">
        <v>46218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9379-2025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45715</v>
      </c>
      <c r="E765" s="1" t="n">
        <v>46218</v>
      </c>
      <c r="F765" t="inlineStr">
        <is>
          <t>VÄSTERNORRLANDS LÄN</t>
        </is>
      </c>
      <c r="G765" t="inlineStr">
        <is>
          <t>ÖRNSKÖLDSVIK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28699-2024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45478</v>
      </c>
      <c r="E766" s="1" t="n">
        <v>46218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63091-2023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45273</v>
      </c>
      <c r="E767" s="1" t="n">
        <v>46218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33901-2023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45122</v>
      </c>
      <c r="E768" s="1" t="n">
        <v>46218</v>
      </c>
      <c r="F768" t="inlineStr">
        <is>
          <t>VÄSTERNORRLANDS LÄN</t>
        </is>
      </c>
      <c r="G768" t="inlineStr">
        <is>
          <t>ÖRNSKÖLDSVIK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54773-2024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45618</v>
      </c>
      <c r="E769" s="1" t="n">
        <v>46218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44357-2022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44839</v>
      </c>
      <c r="E770" s="1" t="n">
        <v>46218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48703-2023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45208</v>
      </c>
      <c r="E771" s="1" t="n">
        <v>46218</v>
      </c>
      <c r="F771" t="inlineStr">
        <is>
          <t>VÄSTERNORRLANDS LÄN</t>
        </is>
      </c>
      <c r="G771" t="inlineStr">
        <is>
          <t>ÖRNSKÖLDSVIK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1595-2025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45667</v>
      </c>
      <c r="E772" s="1" t="n">
        <v>46218</v>
      </c>
      <c r="F772" t="inlineStr">
        <is>
          <t>VÄSTERNORRLANDS LÄN</t>
        </is>
      </c>
      <c r="G772" t="inlineStr">
        <is>
          <t>ÖRNSKÖLDSVIK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51479-2024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45604</v>
      </c>
      <c r="E773" s="1" t="n">
        <v>46218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8674-2025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45712</v>
      </c>
      <c r="E774" s="1" t="n">
        <v>46218</v>
      </c>
      <c r="F774" t="inlineStr">
        <is>
          <t>VÄSTERNORRLANDS LÄN</t>
        </is>
      </c>
      <c r="G774" t="inlineStr">
        <is>
          <t>ÖRNSKÖLDSVIK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17493-2024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45415</v>
      </c>
      <c r="E775" s="1" t="n">
        <v>46218</v>
      </c>
      <c r="F775" t="inlineStr">
        <is>
          <t>VÄSTERNORRLANDS LÄN</t>
        </is>
      </c>
      <c r="G775" t="inlineStr">
        <is>
          <t>ÖRNSKÖLDSVIK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22263-2023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45068</v>
      </c>
      <c r="E776" s="1" t="n">
        <v>46218</v>
      </c>
      <c r="F776" t="inlineStr">
        <is>
          <t>VÄSTERNORRLANDS LÄN</t>
        </is>
      </c>
      <c r="G776" t="inlineStr">
        <is>
          <t>ÖRNSKÖLDSVIK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61122-2024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45645</v>
      </c>
      <c r="E777" s="1" t="n">
        <v>46218</v>
      </c>
      <c r="F777" t="inlineStr">
        <is>
          <t>VÄSTERNORRLANDS LÄN</t>
        </is>
      </c>
      <c r="G777" t="inlineStr">
        <is>
          <t>ÖRNSKÖLDSVIK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45229-2025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45919</v>
      </c>
      <c r="E778" s="1" t="n">
        <v>46218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Holmen skog AB</t>
        </is>
      </c>
      <c r="I778" t="n">
        <v>4.5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57498-2022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44896</v>
      </c>
      <c r="E779" s="1" t="n">
        <v>46218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13785-2025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45737</v>
      </c>
      <c r="E780" s="1" t="n">
        <v>46218</v>
      </c>
      <c r="F780" t="inlineStr">
        <is>
          <t>VÄSTERNORRLANDS LÄN</t>
        </is>
      </c>
      <c r="G780" t="inlineStr">
        <is>
          <t>ÖRNSKÖLDSVIK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45220-2025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45919</v>
      </c>
      <c r="E781" s="1" t="n">
        <v>46218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10784-2023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44988</v>
      </c>
      <c r="E782" s="1" t="n">
        <v>46218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SCA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27801-2022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44743</v>
      </c>
      <c r="E783" s="1" t="n">
        <v>46218</v>
      </c>
      <c r="F783" t="inlineStr">
        <is>
          <t>VÄSTERNORRLANDS LÄN</t>
        </is>
      </c>
      <c r="G783" t="inlineStr">
        <is>
          <t>ÖRNSKÖLDSVIK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6210-2025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45698</v>
      </c>
      <c r="E784" s="1" t="n">
        <v>46218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Holmen skog AB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26521-2022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44739</v>
      </c>
      <c r="E785" s="1" t="n">
        <v>46218</v>
      </c>
      <c r="F785" t="inlineStr">
        <is>
          <t>VÄSTERNORRLANDS LÄN</t>
        </is>
      </c>
      <c r="G785" t="inlineStr">
        <is>
          <t>ÖRNSKÖLDSVIK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48007-2023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45204</v>
      </c>
      <c r="E786" s="1" t="n">
        <v>46218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45773-2024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45579</v>
      </c>
      <c r="E787" s="1" t="n">
        <v>46218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4.5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44947-2025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45918</v>
      </c>
      <c r="E788" s="1" t="n">
        <v>46218</v>
      </c>
      <c r="F788" t="inlineStr">
        <is>
          <t>VÄSTERNORRLANDS LÄN</t>
        </is>
      </c>
      <c r="G788" t="inlineStr">
        <is>
          <t>ÖRNSKÖLDSVIK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44952-2025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45918</v>
      </c>
      <c r="E789" s="1" t="n">
        <v>46218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45026-2025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45918</v>
      </c>
      <c r="E790" s="1" t="n">
        <v>46218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45095-2025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45919</v>
      </c>
      <c r="E791" s="1" t="n">
        <v>46218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SCA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29163-2024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45482</v>
      </c>
      <c r="E792" s="1" t="n">
        <v>46218</v>
      </c>
      <c r="F792" t="inlineStr">
        <is>
          <t>VÄSTERNORRLANDS LÄN</t>
        </is>
      </c>
      <c r="G792" t="inlineStr">
        <is>
          <t>ÖRNSKÖLDSVIK</t>
        </is>
      </c>
      <c r="I792" t="n">
        <v>0.3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38291-2024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45545</v>
      </c>
      <c r="E793" s="1" t="n">
        <v>46218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34577-2024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45526</v>
      </c>
      <c r="E794" s="1" t="n">
        <v>46218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7.8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34603-2024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45526</v>
      </c>
      <c r="E795" s="1" t="n">
        <v>46218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3.7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40244-2021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44419</v>
      </c>
      <c r="E796" s="1" t="n">
        <v>46218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3.8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50888-2023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45218</v>
      </c>
      <c r="E797" s="1" t="n">
        <v>46218</v>
      </c>
      <c r="F797" t="inlineStr">
        <is>
          <t>VÄSTERNORRLANDS LÄN</t>
        </is>
      </c>
      <c r="G797" t="inlineStr">
        <is>
          <t>ÖRNSKÖLDSVIK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342-2024</t>
        </is>
      </c>
      <c r="B798" t="inlineStr">
        <is>
          <t>avverkningsanmälan</t>
        </is>
      </c>
      <c r="C798" t="inlineStr">
        <is>
          <t>Avverkning för att bevara och utveckla /försöksver</t>
        </is>
      </c>
      <c r="D798" s="1" t="n">
        <v>45295</v>
      </c>
      <c r="E798" s="1" t="n">
        <v>46218</v>
      </c>
      <c r="F798" t="inlineStr">
        <is>
          <t>VÄSTERNORRLANDS LÄN</t>
        </is>
      </c>
      <c r="G798" t="inlineStr">
        <is>
          <t>ÖRNSKÖLDSVIK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29092-2024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45481</v>
      </c>
      <c r="E799" s="1" t="n">
        <v>46218</v>
      </c>
      <c r="F799" t="inlineStr">
        <is>
          <t>VÄSTERNORRLANDS LÄN</t>
        </is>
      </c>
      <c r="G799" t="inlineStr">
        <is>
          <t>ÖRNSKÖLDSVIK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16489-2023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45027</v>
      </c>
      <c r="E800" s="1" t="n">
        <v>46218</v>
      </c>
      <c r="F800" t="inlineStr">
        <is>
          <t>VÄSTERNORRLANDS LÄN</t>
        </is>
      </c>
      <c r="G800" t="inlineStr">
        <is>
          <t>ÖRNSKÖLDSVIK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62484-2023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45268</v>
      </c>
      <c r="E801" s="1" t="n">
        <v>46218</v>
      </c>
      <c r="F801" t="inlineStr">
        <is>
          <t>VÄSTERNORRLANDS LÄN</t>
        </is>
      </c>
      <c r="G801" t="inlineStr">
        <is>
          <t>ÖRNSKÖLDSVIK</t>
        </is>
      </c>
      <c r="I801" t="n">
        <v>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37873-2024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45544</v>
      </c>
      <c r="E802" s="1" t="n">
        <v>46218</v>
      </c>
      <c r="F802" t="inlineStr">
        <is>
          <t>VÄSTERNORRLANDS LÄN</t>
        </is>
      </c>
      <c r="G802" t="inlineStr">
        <is>
          <t>ÖRNSKÖLDSVIK</t>
        </is>
      </c>
      <c r="I802" t="n">
        <v>12.3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16060-2022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44665</v>
      </c>
      <c r="E803" s="1" t="n">
        <v>46218</v>
      </c>
      <c r="F803" t="inlineStr">
        <is>
          <t>VÄSTERNORRLANDS LÄN</t>
        </is>
      </c>
      <c r="G803" t="inlineStr">
        <is>
          <t>ÖRNSKÖLDSVIK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27562-2024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45474</v>
      </c>
      <c r="E804" s="1" t="n">
        <v>46218</v>
      </c>
      <c r="F804" t="inlineStr">
        <is>
          <t>VÄSTERNORRLANDS LÄN</t>
        </is>
      </c>
      <c r="G804" t="inlineStr">
        <is>
          <t>ÖRNSKÖLDSVIK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45817-2025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45923</v>
      </c>
      <c r="E805" s="1" t="n">
        <v>46218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45793-2025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45923</v>
      </c>
      <c r="E806" s="1" t="n">
        <v>46218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SCA</t>
        </is>
      </c>
      <c r="I806" t="n">
        <v>5.1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45653-2025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45923</v>
      </c>
      <c r="E807" s="1" t="n">
        <v>46218</v>
      </c>
      <c r="F807" t="inlineStr">
        <is>
          <t>VÄSTERNORRLANDS LÄN</t>
        </is>
      </c>
      <c r="G807" t="inlineStr">
        <is>
          <t>ÖRNSKÖLDSVIK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45652-2025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45923</v>
      </c>
      <c r="E808" s="1" t="n">
        <v>46218</v>
      </c>
      <c r="F808" t="inlineStr">
        <is>
          <t>VÄSTERNORRLANDS LÄN</t>
        </is>
      </c>
      <c r="G808" t="inlineStr">
        <is>
          <t>ÖRNSKÖLDSVIK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45880-2025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45923</v>
      </c>
      <c r="E809" s="1" t="n">
        <v>46218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45461-2025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45922</v>
      </c>
      <c r="E810" s="1" t="n">
        <v>46218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9.6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45532-2025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45922</v>
      </c>
      <c r="E811" s="1" t="n">
        <v>46218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6.9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45667-2025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45923</v>
      </c>
      <c r="E812" s="1" t="n">
        <v>46218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45592-2025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45922</v>
      </c>
      <c r="E813" s="1" t="n">
        <v>46218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SCA</t>
        </is>
      </c>
      <c r="I813" t="n">
        <v>25.8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45451-2025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45922</v>
      </c>
      <c r="E814" s="1" t="n">
        <v>46218</v>
      </c>
      <c r="F814" t="inlineStr">
        <is>
          <t>VÄSTERNORRLANDS LÄN</t>
        </is>
      </c>
      <c r="G814" t="inlineStr">
        <is>
          <t>ÖRNSKÖLDSVIK</t>
        </is>
      </c>
      <c r="I814" t="n">
        <v>8.1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45445-2025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45922</v>
      </c>
      <c r="E815" s="1" t="n">
        <v>46218</v>
      </c>
      <c r="F815" t="inlineStr">
        <is>
          <t>VÄSTERNORRLANDS LÄN</t>
        </is>
      </c>
      <c r="G815" t="inlineStr">
        <is>
          <t>ÖRNSKÖLDSVIK</t>
        </is>
      </c>
      <c r="I815" t="n">
        <v>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46137-2025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45924</v>
      </c>
      <c r="E816" s="1" t="n">
        <v>46218</v>
      </c>
      <c r="F816" t="inlineStr">
        <is>
          <t>VÄSTERNORRLANDS LÄN</t>
        </is>
      </c>
      <c r="G816" t="inlineStr">
        <is>
          <t>ÖRNSKÖLDSVIK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45975-2025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45924</v>
      </c>
      <c r="E817" s="1" t="n">
        <v>46218</v>
      </c>
      <c r="F817" t="inlineStr">
        <is>
          <t>VÄSTERNORRLANDS LÄN</t>
        </is>
      </c>
      <c r="G817" t="inlineStr">
        <is>
          <t>ÖRNSKÖLDSVIK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48133-2024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45589</v>
      </c>
      <c r="E818" s="1" t="n">
        <v>46218</v>
      </c>
      <c r="F818" t="inlineStr">
        <is>
          <t>VÄSTERNORRLANDS LÄN</t>
        </is>
      </c>
      <c r="G818" t="inlineStr">
        <is>
          <t>ÖRNSKÖLDSVIK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43176-2022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44834</v>
      </c>
      <c r="E819" s="1" t="n">
        <v>46218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19.8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45979-2025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45924</v>
      </c>
      <c r="E820" s="1" t="n">
        <v>46218</v>
      </c>
      <c r="F820" t="inlineStr">
        <is>
          <t>VÄSTERNORRLANDS LÄN</t>
        </is>
      </c>
      <c r="G820" t="inlineStr">
        <is>
          <t>ÖRNSKÖLDSVIK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13494-2023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45005</v>
      </c>
      <c r="E821" s="1" t="n">
        <v>46218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SCA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28868-2023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45104</v>
      </c>
      <c r="E822" s="1" t="n">
        <v>46218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18866-2024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45426</v>
      </c>
      <c r="E823" s="1" t="n">
        <v>46218</v>
      </c>
      <c r="F823" t="inlineStr">
        <is>
          <t>VÄSTERNORRLANDS LÄN</t>
        </is>
      </c>
      <c r="G823" t="inlineStr">
        <is>
          <t>ÖRNSKÖLDSVIK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46082-2025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45924</v>
      </c>
      <c r="E824" s="1" t="n">
        <v>46218</v>
      </c>
      <c r="F824" t="inlineStr">
        <is>
          <t>VÄSTERNORRLANDS LÄN</t>
        </is>
      </c>
      <c r="G824" t="inlineStr">
        <is>
          <t>ÖRNSKÖLDSVIK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46130-2025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45924</v>
      </c>
      <c r="E825" s="1" t="n">
        <v>46218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SCA</t>
        </is>
      </c>
      <c r="I825" t="n">
        <v>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26761-2024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45470</v>
      </c>
      <c r="E826" s="1" t="n">
        <v>46218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10.5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26765-2024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45470</v>
      </c>
      <c r="E827" s="1" t="n">
        <v>46218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46038-2025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45924</v>
      </c>
      <c r="E828" s="1" t="n">
        <v>46218</v>
      </c>
      <c r="F828" t="inlineStr">
        <is>
          <t>VÄSTERNORRLANDS LÄN</t>
        </is>
      </c>
      <c r="G828" t="inlineStr">
        <is>
          <t>ÖRNSKÖLDSVIK</t>
        </is>
      </c>
      <c r="I828" t="n">
        <v>6.3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46039-2025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45924</v>
      </c>
      <c r="E829" s="1" t="n">
        <v>46218</v>
      </c>
      <c r="F829" t="inlineStr">
        <is>
          <t>VÄSTERNORRLANDS LÄN</t>
        </is>
      </c>
      <c r="G829" t="inlineStr">
        <is>
          <t>ÖRNSKÖLDSVIK</t>
        </is>
      </c>
      <c r="I829" t="n">
        <v>5.7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49860-2024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45597</v>
      </c>
      <c r="E830" s="1" t="n">
        <v>46218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36524-2024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45537</v>
      </c>
      <c r="E831" s="1" t="n">
        <v>46218</v>
      </c>
      <c r="F831" t="inlineStr">
        <is>
          <t>VÄSTERNORRLANDS LÄN</t>
        </is>
      </c>
      <c r="G831" t="inlineStr">
        <is>
          <t>ÖRNSKÖLDSVIK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46107-2025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45924</v>
      </c>
      <c r="E832" s="1" t="n">
        <v>46218</v>
      </c>
      <c r="F832" t="inlineStr">
        <is>
          <t>VÄSTERNORRLANDS LÄN</t>
        </is>
      </c>
      <c r="G832" t="inlineStr">
        <is>
          <t>ÖRNSKÖLDSVIK</t>
        </is>
      </c>
      <c r="I832" t="n">
        <v>12.2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46112-2025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45924</v>
      </c>
      <c r="E833" s="1" t="n">
        <v>46218</v>
      </c>
      <c r="F833" t="inlineStr">
        <is>
          <t>VÄSTERNORRLANDS LÄN</t>
        </is>
      </c>
      <c r="G833" t="inlineStr">
        <is>
          <t>ÖRNSKÖLDSVIK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46048-2025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45924</v>
      </c>
      <c r="E834" s="1" t="n">
        <v>46218</v>
      </c>
      <c r="F834" t="inlineStr">
        <is>
          <t>VÄSTERNORRLANDS LÄN</t>
        </is>
      </c>
      <c r="G834" t="inlineStr">
        <is>
          <t>ÖRNSKÖLDSVIK</t>
        </is>
      </c>
      <c r="I834" t="n">
        <v>3.5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46105-2025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45924</v>
      </c>
      <c r="E835" s="1" t="n">
        <v>46218</v>
      </c>
      <c r="F835" t="inlineStr">
        <is>
          <t>VÄSTERNORRLANDS LÄN</t>
        </is>
      </c>
      <c r="G835" t="inlineStr">
        <is>
          <t>ÖRNSKÖLDSVIK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12736-2025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45733</v>
      </c>
      <c r="E836" s="1" t="n">
        <v>46218</v>
      </c>
      <c r="F836" t="inlineStr">
        <is>
          <t>VÄSTERNORRLANDS LÄN</t>
        </is>
      </c>
      <c r="G836" t="inlineStr">
        <is>
          <t>ÖRNSKÖLDSVIK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12750-2025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45733</v>
      </c>
      <c r="E837" s="1" t="n">
        <v>46218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46734-2025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45926</v>
      </c>
      <c r="E838" s="1" t="n">
        <v>46218</v>
      </c>
      <c r="F838" t="inlineStr">
        <is>
          <t>VÄSTERNORRLANDS LÄN</t>
        </is>
      </c>
      <c r="G838" t="inlineStr">
        <is>
          <t>ÖRNSKÖLDSVIK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46910-2025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45929</v>
      </c>
      <c r="E839" s="1" t="n">
        <v>46218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46619-2025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45926</v>
      </c>
      <c r="E840" s="1" t="n">
        <v>46218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30349-2024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45490</v>
      </c>
      <c r="E841" s="1" t="n">
        <v>46218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SCA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21640-2023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45063</v>
      </c>
      <c r="E842" s="1" t="n">
        <v>46218</v>
      </c>
      <c r="F842" t="inlineStr">
        <is>
          <t>VÄSTERNORRLANDS LÄN</t>
        </is>
      </c>
      <c r="G842" t="inlineStr">
        <is>
          <t>ÖRNSKÖLDSVIK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39435-2023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45163</v>
      </c>
      <c r="E843" s="1" t="n">
        <v>46218</v>
      </c>
      <c r="F843" t="inlineStr">
        <is>
          <t>VÄSTERNORRLANDS LÄN</t>
        </is>
      </c>
      <c r="G843" t="inlineStr">
        <is>
          <t>ÖRNSKÖLDSVIK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62593-2023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45271</v>
      </c>
      <c r="E844" s="1" t="n">
        <v>46218</v>
      </c>
      <c r="F844" t="inlineStr">
        <is>
          <t>VÄSTERNORRLANDS LÄN</t>
        </is>
      </c>
      <c r="G844" t="inlineStr">
        <is>
          <t>ÖRNSKÖLDSVIK</t>
        </is>
      </c>
      <c r="I844" t="n">
        <v>6.8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8012-2025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45707</v>
      </c>
      <c r="E845" s="1" t="n">
        <v>46218</v>
      </c>
      <c r="F845" t="inlineStr">
        <is>
          <t>VÄSTERNORRLANDS LÄN</t>
        </is>
      </c>
      <c r="G845" t="inlineStr">
        <is>
          <t>ÖRNSKÖLDSVIK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46711-2025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45926</v>
      </c>
      <c r="E846" s="1" t="n">
        <v>46218</v>
      </c>
      <c r="F846" t="inlineStr">
        <is>
          <t>VÄSTERNORRLANDS LÄN</t>
        </is>
      </c>
      <c r="G846" t="inlineStr">
        <is>
          <t>ÖRNSKÖLDSVIK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4802-2025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45688</v>
      </c>
      <c r="E847" s="1" t="n">
        <v>46218</v>
      </c>
      <c r="F847" t="inlineStr">
        <is>
          <t>VÄSTERNORRLANDS LÄN</t>
        </is>
      </c>
      <c r="G847" t="inlineStr">
        <is>
          <t>ÖRNSKÖLDSVIK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46941-2025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45929</v>
      </c>
      <c r="E848" s="1" t="n">
        <v>46218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10.8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27092-2023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45096</v>
      </c>
      <c r="E849" s="1" t="n">
        <v>46218</v>
      </c>
      <c r="F849" t="inlineStr">
        <is>
          <t>VÄSTERNORRLANDS LÄN</t>
        </is>
      </c>
      <c r="G849" t="inlineStr">
        <is>
          <t>ÖRNSKÖLDSVIK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5580-2025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45693</v>
      </c>
      <c r="E850" s="1" t="n">
        <v>46218</v>
      </c>
      <c r="F850" t="inlineStr">
        <is>
          <t>VÄSTERNORRLANDS LÄN</t>
        </is>
      </c>
      <c r="G850" t="inlineStr">
        <is>
          <t>ÖRNSKÖLDSVIK</t>
        </is>
      </c>
      <c r="I850" t="n">
        <v>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23137-2024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45450</v>
      </c>
      <c r="E851" s="1" t="n">
        <v>46218</v>
      </c>
      <c r="F851" t="inlineStr">
        <is>
          <t>VÄSTERNORRLANDS LÄN</t>
        </is>
      </c>
      <c r="G851" t="inlineStr">
        <is>
          <t>ÖRNSKÖLDSVIK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46519-2023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45197</v>
      </c>
      <c r="E852" s="1" t="n">
        <v>46218</v>
      </c>
      <c r="F852" t="inlineStr">
        <is>
          <t>VÄSTERNORRLANDS LÄN</t>
        </is>
      </c>
      <c r="G852" t="inlineStr">
        <is>
          <t>ÖRNSKÖLDSVIK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46895-2025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45929</v>
      </c>
      <c r="E853" s="1" t="n">
        <v>46218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SCA</t>
        </is>
      </c>
      <c r="I853" t="n">
        <v>3.5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9772-2024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45362</v>
      </c>
      <c r="E854" s="1" t="n">
        <v>46218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5.9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39625-2023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45167</v>
      </c>
      <c r="E855" s="1" t="n">
        <v>46218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11774-2025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45727</v>
      </c>
      <c r="E856" s="1" t="n">
        <v>46218</v>
      </c>
      <c r="F856" t="inlineStr">
        <is>
          <t>VÄSTERNORRLANDS LÄN</t>
        </is>
      </c>
      <c r="G856" t="inlineStr">
        <is>
          <t>ÖRNSKÖLDSVIK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52376-2024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45609</v>
      </c>
      <c r="E857" s="1" t="n">
        <v>46218</v>
      </c>
      <c r="F857" t="inlineStr">
        <is>
          <t>VÄSTERNORRLANDS LÄN</t>
        </is>
      </c>
      <c r="G857" t="inlineStr">
        <is>
          <t>ÖRNSKÖLDSVIK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68748-2021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44529</v>
      </c>
      <c r="E858" s="1" t="n">
        <v>46218</v>
      </c>
      <c r="F858" t="inlineStr">
        <is>
          <t>VÄSTERNORRLANDS LÄN</t>
        </is>
      </c>
      <c r="G858" t="inlineStr">
        <is>
          <t>ÖRNSKÖLDSVIK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30258-2024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45489</v>
      </c>
      <c r="E859" s="1" t="n">
        <v>46218</v>
      </c>
      <c r="F859" t="inlineStr">
        <is>
          <t>VÄSTERNORRLANDS LÄN</t>
        </is>
      </c>
      <c r="G859" t="inlineStr">
        <is>
          <t>ÖRNSKÖLDSVIK</t>
        </is>
      </c>
      <c r="I859" t="n">
        <v>4.1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52658-2024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45610</v>
      </c>
      <c r="E860" s="1" t="n">
        <v>46218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4.4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17874-2022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44683</v>
      </c>
      <c r="E861" s="1" t="n">
        <v>46218</v>
      </c>
      <c r="F861" t="inlineStr">
        <is>
          <t>VÄSTERNORRLANDS LÄN</t>
        </is>
      </c>
      <c r="G861" t="inlineStr">
        <is>
          <t>ÖRNSKÖLDSVIK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10814-2025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45722</v>
      </c>
      <c r="E862" s="1" t="n">
        <v>46218</v>
      </c>
      <c r="F862" t="inlineStr">
        <is>
          <t>VÄSTERNORRLANDS LÄN</t>
        </is>
      </c>
      <c r="G862" t="inlineStr">
        <is>
          <t>ÖRNSKÖLDSVIK</t>
        </is>
      </c>
      <c r="I862" t="n">
        <v>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27874-2023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45098</v>
      </c>
      <c r="E863" s="1" t="n">
        <v>46218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29671-2023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45107</v>
      </c>
      <c r="E864" s="1" t="n">
        <v>46218</v>
      </c>
      <c r="F864" t="inlineStr">
        <is>
          <t>VÄSTERNORRLANDS LÄN</t>
        </is>
      </c>
      <c r="G864" t="inlineStr">
        <is>
          <t>ÖRNSKÖLDSVIK</t>
        </is>
      </c>
      <c r="I864" t="n">
        <v>7.9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22631-2024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45447</v>
      </c>
      <c r="E865" s="1" t="n">
        <v>46218</v>
      </c>
      <c r="F865" t="inlineStr">
        <is>
          <t>VÄSTERNORRLANDS LÄN</t>
        </is>
      </c>
      <c r="G865" t="inlineStr">
        <is>
          <t>ÖRNSKÖLDSVIK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42561-2023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45181</v>
      </c>
      <c r="E866" s="1" t="n">
        <v>46218</v>
      </c>
      <c r="F866" t="inlineStr">
        <is>
          <t>VÄSTERNORRLANDS LÄN</t>
        </is>
      </c>
      <c r="G866" t="inlineStr">
        <is>
          <t>ÖRNSKÖLDSVIK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66636-2021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44519</v>
      </c>
      <c r="E867" s="1" t="n">
        <v>46218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7909-2025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45707</v>
      </c>
      <c r="E868" s="1" t="n">
        <v>46218</v>
      </c>
      <c r="F868" t="inlineStr">
        <is>
          <t>VÄSTERNORRLANDS LÄN</t>
        </is>
      </c>
      <c r="G868" t="inlineStr">
        <is>
          <t>ÖRNSKÖLDSVIK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62107-2022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44920</v>
      </c>
      <c r="E869" s="1" t="n">
        <v>46218</v>
      </c>
      <c r="F869" t="inlineStr">
        <is>
          <t>VÄSTERNORRLANDS LÄN</t>
        </is>
      </c>
      <c r="G869" t="inlineStr">
        <is>
          <t>ÖRNSKÖLDSVIK</t>
        </is>
      </c>
      <c r="I869" t="n">
        <v>26.3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67765-2021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44525</v>
      </c>
      <c r="E870" s="1" t="n">
        <v>46218</v>
      </c>
      <c r="F870" t="inlineStr">
        <is>
          <t>VÄSTERNORRLANDS LÄN</t>
        </is>
      </c>
      <c r="G870" t="inlineStr">
        <is>
          <t>ÖRNSKÖLDSVIK</t>
        </is>
      </c>
      <c r="I870" t="n">
        <v>5.4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10574-2022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44623</v>
      </c>
      <c r="E871" s="1" t="n">
        <v>46218</v>
      </c>
      <c r="F871" t="inlineStr">
        <is>
          <t>VÄSTERNORRLANDS LÄN</t>
        </is>
      </c>
      <c r="G871" t="inlineStr">
        <is>
          <t>ÖRNSKÖLDSVIK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46694-2025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45926</v>
      </c>
      <c r="E872" s="1" t="n">
        <v>46218</v>
      </c>
      <c r="F872" t="inlineStr">
        <is>
          <t>VÄSTERNORRLANDS LÄN</t>
        </is>
      </c>
      <c r="G872" t="inlineStr">
        <is>
          <t>ÖRNSKÖLDSVIK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46709-2025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45926</v>
      </c>
      <c r="E873" s="1" t="n">
        <v>46218</v>
      </c>
      <c r="F873" t="inlineStr">
        <is>
          <t>VÄSTERNORRLANDS LÄN</t>
        </is>
      </c>
      <c r="G873" t="inlineStr">
        <is>
          <t>ÖRNSKÖLDSVIK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46987-2025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45929</v>
      </c>
      <c r="E874" s="1" t="n">
        <v>46218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0.4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19472-2025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45770</v>
      </c>
      <c r="E875" s="1" t="n">
        <v>46218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4.6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55640-2023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45238</v>
      </c>
      <c r="E876" s="1" t="n">
        <v>46218</v>
      </c>
      <c r="F876" t="inlineStr">
        <is>
          <t>VÄSTERNORRLANDS LÄN</t>
        </is>
      </c>
      <c r="G876" t="inlineStr">
        <is>
          <t>ÖRNSKÖLDSVIK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34625-2024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45526</v>
      </c>
      <c r="E877" s="1" t="n">
        <v>46218</v>
      </c>
      <c r="F877" t="inlineStr">
        <is>
          <t>VÄSTERNORRLANDS LÄN</t>
        </is>
      </c>
      <c r="G877" t="inlineStr">
        <is>
          <t>ÖRNSKÖLDSVIK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25329-2024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45462</v>
      </c>
      <c r="E878" s="1" t="n">
        <v>46218</v>
      </c>
      <c r="F878" t="inlineStr">
        <is>
          <t>VÄSTERNORRLANDS LÄN</t>
        </is>
      </c>
      <c r="G878" t="inlineStr">
        <is>
          <t>ÖRNSKÖLDSVIK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34648-2024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45526</v>
      </c>
      <c r="E879" s="1" t="n">
        <v>46218</v>
      </c>
      <c r="F879" t="inlineStr">
        <is>
          <t>VÄSTERNORRLANDS LÄN</t>
        </is>
      </c>
      <c r="G879" t="inlineStr">
        <is>
          <t>ÖRNSKÖLDSVIK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47609-2025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45931</v>
      </c>
      <c r="E880" s="1" t="n">
        <v>46218</v>
      </c>
      <c r="F880" t="inlineStr">
        <is>
          <t>VÄSTERNORRLANDS LÄN</t>
        </is>
      </c>
      <c r="G880" t="inlineStr">
        <is>
          <t>ÖRNSKÖLDSVIK</t>
        </is>
      </c>
      <c r="I880" t="n">
        <v>3.2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47611-2025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45931</v>
      </c>
      <c r="E881" s="1" t="n">
        <v>46218</v>
      </c>
      <c r="F881" t="inlineStr">
        <is>
          <t>VÄSTERNORRLANDS LÄN</t>
        </is>
      </c>
      <c r="G881" t="inlineStr">
        <is>
          <t>ÖRNSKÖLDSVIK</t>
        </is>
      </c>
      <c r="I881" t="n">
        <v>0.2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47266-2025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45930</v>
      </c>
      <c r="E882" s="1" t="n">
        <v>46218</v>
      </c>
      <c r="F882" t="inlineStr">
        <is>
          <t>VÄSTERNORRLANDS LÄN</t>
        </is>
      </c>
      <c r="G882" t="inlineStr">
        <is>
          <t>ÖRNSKÖLDSVIK</t>
        </is>
      </c>
      <c r="I882" t="n">
        <v>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61661-2022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44916</v>
      </c>
      <c r="E883" s="1" t="n">
        <v>46218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SCA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47610-2025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45931</v>
      </c>
      <c r="E884" s="1" t="n">
        <v>46218</v>
      </c>
      <c r="F884" t="inlineStr">
        <is>
          <t>VÄSTERNORRLANDS LÄN</t>
        </is>
      </c>
      <c r="G884" t="inlineStr">
        <is>
          <t>ÖRNSKÖLDSVIK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11485-2025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45726</v>
      </c>
      <c r="E885" s="1" t="n">
        <v>46218</v>
      </c>
      <c r="F885" t="inlineStr">
        <is>
          <t>VÄSTERNORRLANDS LÄN</t>
        </is>
      </c>
      <c r="G885" t="inlineStr">
        <is>
          <t>ÖRNSKÖLDSVIK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63738-2023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45277</v>
      </c>
      <c r="E886" s="1" t="n">
        <v>46218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Övriga Aktiebolag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63744-2023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45277</v>
      </c>
      <c r="E887" s="1" t="n">
        <v>46218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Övriga Aktiebolag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53003-2021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44467</v>
      </c>
      <c r="E888" s="1" t="n">
        <v>46218</v>
      </c>
      <c r="F888" t="inlineStr">
        <is>
          <t>VÄSTERNORRLANDS LÄN</t>
        </is>
      </c>
      <c r="G888" t="inlineStr">
        <is>
          <t>ÖRNSKÖLDSVIK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43424-2021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44432</v>
      </c>
      <c r="E889" s="1" t="n">
        <v>46218</v>
      </c>
      <c r="F889" t="inlineStr">
        <is>
          <t>VÄSTERNORRLANDS LÄN</t>
        </is>
      </c>
      <c r="G889" t="inlineStr">
        <is>
          <t>ÖRNSKÖLDSVIK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18239-2024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45420</v>
      </c>
      <c r="E890" s="1" t="n">
        <v>46218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SCA</t>
        </is>
      </c>
      <c r="I890" t="n">
        <v>2.9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47453-2025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45930</v>
      </c>
      <c r="E891" s="1" t="n">
        <v>46218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6.2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42838-2024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45566</v>
      </c>
      <c r="E892" s="1" t="n">
        <v>46218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44202-2023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45188</v>
      </c>
      <c r="E893" s="1" t="n">
        <v>46218</v>
      </c>
      <c r="F893" t="inlineStr">
        <is>
          <t>VÄSTERNORRLANDS LÄN</t>
        </is>
      </c>
      <c r="G893" t="inlineStr">
        <is>
          <t>ÖRNSKÖLDSVIK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14761-2025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45742</v>
      </c>
      <c r="E894" s="1" t="n">
        <v>46218</v>
      </c>
      <c r="F894" t="inlineStr">
        <is>
          <t>VÄSTERNORRLANDS LÄN</t>
        </is>
      </c>
      <c r="G894" t="inlineStr">
        <is>
          <t>ÖRNSKÖLDSVIK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37851-2024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45544</v>
      </c>
      <c r="E895" s="1" t="n">
        <v>46218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0.3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21258-2022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44706</v>
      </c>
      <c r="E896" s="1" t="n">
        <v>46218</v>
      </c>
      <c r="F896" t="inlineStr">
        <is>
          <t>VÄSTERNORRLANDS LÄN</t>
        </is>
      </c>
      <c r="G896" t="inlineStr">
        <is>
          <t>ÖRNSKÖLDSVIK</t>
        </is>
      </c>
      <c r="I896" t="n">
        <v>9.6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55251-2024</t>
        </is>
      </c>
      <c r="B897" t="inlineStr">
        <is>
          <t>avverkningsanmälan</t>
        </is>
      </c>
      <c r="C897" t="inlineStr">
        <is>
          <t>Avverkning för att bevara och utveckla /försöksver</t>
        </is>
      </c>
      <c r="D897" s="1" t="n">
        <v>45621</v>
      </c>
      <c r="E897" s="1" t="n">
        <v>46218</v>
      </c>
      <c r="F897" t="inlineStr">
        <is>
          <t>VÄSTERNORRLANDS LÄN</t>
        </is>
      </c>
      <c r="G897" t="inlineStr">
        <is>
          <t>ÖRNSKÖLDSVIK</t>
        </is>
      </c>
      <c r="I897" t="n">
        <v>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2118-2025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45672</v>
      </c>
      <c r="E898" s="1" t="n">
        <v>46218</v>
      </c>
      <c r="F898" t="inlineStr">
        <is>
          <t>VÄSTERNORRLANDS LÄN</t>
        </is>
      </c>
      <c r="G898" t="inlineStr">
        <is>
          <t>ÖRNSKÖLDSVIK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426-2024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45296</v>
      </c>
      <c r="E899" s="1" t="n">
        <v>46218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2129-2024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45309</v>
      </c>
      <c r="E900" s="1" t="n">
        <v>46218</v>
      </c>
      <c r="F900" t="inlineStr">
        <is>
          <t>VÄSTERNORRLANDS LÄN</t>
        </is>
      </c>
      <c r="G900" t="inlineStr">
        <is>
          <t>ÖRNSKÖLDSVIK</t>
        </is>
      </c>
      <c r="I900" t="n">
        <v>4.7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58441-2024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45635</v>
      </c>
      <c r="E901" s="1" t="n">
        <v>46218</v>
      </c>
      <c r="F901" t="inlineStr">
        <is>
          <t>VÄSTERNORRLANDS LÄN</t>
        </is>
      </c>
      <c r="G901" t="inlineStr">
        <is>
          <t>ÖRNSKÖLDSVIK</t>
        </is>
      </c>
      <c r="I901" t="n">
        <v>3.2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48611-2022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44859</v>
      </c>
      <c r="E902" s="1" t="n">
        <v>46218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1.9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48612-2022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44854</v>
      </c>
      <c r="E903" s="1" t="n">
        <v>46218</v>
      </c>
      <c r="F903" t="inlineStr">
        <is>
          <t>VÄSTERNORRLANDS LÄN</t>
        </is>
      </c>
      <c r="G903" t="inlineStr">
        <is>
          <t>ÖRNSKÖLDSVIK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8265-2025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45708</v>
      </c>
      <c r="E904" s="1" t="n">
        <v>46218</v>
      </c>
      <c r="F904" t="inlineStr">
        <is>
          <t>VÄSTERNORRLANDS LÄN</t>
        </is>
      </c>
      <c r="G904" t="inlineStr">
        <is>
          <t>ÖRNSKÖLDSVIK</t>
        </is>
      </c>
      <c r="I904" t="n">
        <v>7.3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39294-2023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45162</v>
      </c>
      <c r="E905" s="1" t="n">
        <v>46218</v>
      </c>
      <c r="F905" t="inlineStr">
        <is>
          <t>VÄSTERNORRLANDS LÄN</t>
        </is>
      </c>
      <c r="G905" t="inlineStr">
        <is>
          <t>ÖRNSKÖLDSVIK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41187-2023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45174</v>
      </c>
      <c r="E906" s="1" t="n">
        <v>46218</v>
      </c>
      <c r="F906" t="inlineStr">
        <is>
          <t>VÄSTERNORRLANDS LÄN</t>
        </is>
      </c>
      <c r="G906" t="inlineStr">
        <is>
          <t>ÖRNSKÖLDSVIK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11252-2024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45371</v>
      </c>
      <c r="E907" s="1" t="n">
        <v>46218</v>
      </c>
      <c r="F907" t="inlineStr">
        <is>
          <t>VÄSTERNORRLANDS LÄN</t>
        </is>
      </c>
      <c r="G907" t="inlineStr">
        <is>
          <t>ÖRNSKÖLDSVIK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352-2025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45659</v>
      </c>
      <c r="E908" s="1" t="n">
        <v>46218</v>
      </c>
      <c r="F908" t="inlineStr">
        <is>
          <t>VÄSTERNORRLANDS LÄN</t>
        </is>
      </c>
      <c r="G908" t="inlineStr">
        <is>
          <t>ÖRNSKÖLDSVIK</t>
        </is>
      </c>
      <c r="I908" t="n">
        <v>4.1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19889-2024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45433</v>
      </c>
      <c r="E909" s="1" t="n">
        <v>46218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47301-2025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45930</v>
      </c>
      <c r="E910" s="1" t="n">
        <v>46218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3.3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51854-2024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45607</v>
      </c>
      <c r="E911" s="1" t="n">
        <v>46218</v>
      </c>
      <c r="F911" t="inlineStr">
        <is>
          <t>VÄSTERNORRLANDS LÄN</t>
        </is>
      </c>
      <c r="G911" t="inlineStr">
        <is>
          <t>ÖRNSKÖLDSVIK</t>
        </is>
      </c>
      <c r="I911" t="n">
        <v>1.8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55670-2024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45622</v>
      </c>
      <c r="E912" s="1" t="n">
        <v>46218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39808-2024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45553</v>
      </c>
      <c r="E913" s="1" t="n">
        <v>46218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802-2024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45300</v>
      </c>
      <c r="E914" s="1" t="n">
        <v>46218</v>
      </c>
      <c r="F914" t="inlineStr">
        <is>
          <t>VÄSTERNORRLANDS LÄN</t>
        </is>
      </c>
      <c r="G914" t="inlineStr">
        <is>
          <t>ÖRNSKÖLDSVIK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7147-2023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44965</v>
      </c>
      <c r="E915" s="1" t="n">
        <v>46218</v>
      </c>
      <c r="F915" t="inlineStr">
        <is>
          <t>VÄSTERNORRLANDS LÄN</t>
        </is>
      </c>
      <c r="G915" t="inlineStr">
        <is>
          <t>ÖRNSKÖLDSVIK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44948-2022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44841</v>
      </c>
      <c r="E916" s="1" t="n">
        <v>46218</v>
      </c>
      <c r="F916" t="inlineStr">
        <is>
          <t>VÄSTERNORRLANDS LÄN</t>
        </is>
      </c>
      <c r="G916" t="inlineStr">
        <is>
          <t>ÖRNSKÖLDSVIK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59787-2022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44908</v>
      </c>
      <c r="E917" s="1" t="n">
        <v>46218</v>
      </c>
      <c r="F917" t="inlineStr">
        <is>
          <t>VÄSTERNORRLANDS LÄN</t>
        </is>
      </c>
      <c r="G917" t="inlineStr">
        <is>
          <t>ÖRNSKÖLDSVIK</t>
        </is>
      </c>
      <c r="I917" t="n">
        <v>2.3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19983-2023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45054</v>
      </c>
      <c r="E918" s="1" t="n">
        <v>46218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54853-2023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45236</v>
      </c>
      <c r="E919" s="1" t="n">
        <v>46218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1001-2025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45666</v>
      </c>
      <c r="E920" s="1" t="n">
        <v>46218</v>
      </c>
      <c r="F920" t="inlineStr">
        <is>
          <t>VÄSTERNORRLANDS LÄN</t>
        </is>
      </c>
      <c r="G920" t="inlineStr">
        <is>
          <t>ÖRNSKÖLDSVIK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19991-2024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45433</v>
      </c>
      <c r="E921" s="1" t="n">
        <v>46218</v>
      </c>
      <c r="F921" t="inlineStr">
        <is>
          <t>VÄSTERNORRLANDS LÄN</t>
        </is>
      </c>
      <c r="G921" t="inlineStr">
        <is>
          <t>ÖRNSKÖLDSVIK</t>
        </is>
      </c>
      <c r="I921" t="n">
        <v>0.4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40559-2021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44420</v>
      </c>
      <c r="E922" s="1" t="n">
        <v>46218</v>
      </c>
      <c r="F922" t="inlineStr">
        <is>
          <t>VÄSTERNORRLANDS LÄN</t>
        </is>
      </c>
      <c r="G922" t="inlineStr">
        <is>
          <t>ÖRNSKÖLDSVIK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47565-2025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45931</v>
      </c>
      <c r="E923" s="1" t="n">
        <v>46218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47570-2025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45931</v>
      </c>
      <c r="E924" s="1" t="n">
        <v>46218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0.2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59592-2023</t>
        </is>
      </c>
      <c r="B925" t="inlineStr">
        <is>
          <t>avverkningsanmälan</t>
        </is>
      </c>
      <c r="C925" t="inlineStr">
        <is>
          <t>Avverkning för att bevara och utveckla /försöksver</t>
        </is>
      </c>
      <c r="D925" s="1" t="n">
        <v>45254</v>
      </c>
      <c r="E925" s="1" t="n">
        <v>46218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47715-2025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45931</v>
      </c>
      <c r="E926" s="1" t="n">
        <v>46218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SCA</t>
        </is>
      </c>
      <c r="I926" t="n">
        <v>5.1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46971-2024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45586</v>
      </c>
      <c r="E927" s="1" t="n">
        <v>46218</v>
      </c>
      <c r="F927" t="inlineStr">
        <is>
          <t>VÄSTERNORRLANDS LÄN</t>
        </is>
      </c>
      <c r="G927" t="inlineStr">
        <is>
          <t>ÖRNSKÖLDSVIK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70307-2021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44536</v>
      </c>
      <c r="E928" s="1" t="n">
        <v>46218</v>
      </c>
      <c r="F928" t="inlineStr">
        <is>
          <t>VÄSTERNORRLANDS LÄN</t>
        </is>
      </c>
      <c r="G928" t="inlineStr">
        <is>
          <t>ÖRNSKÖLDSVIK</t>
        </is>
      </c>
      <c r="I928" t="n">
        <v>9.699999999999999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54791-2024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45618</v>
      </c>
      <c r="E929" s="1" t="n">
        <v>46218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14589-2025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45741</v>
      </c>
      <c r="E930" s="1" t="n">
        <v>46218</v>
      </c>
      <c r="F930" t="inlineStr">
        <is>
          <t>VÄSTERNORRLANDS LÄN</t>
        </is>
      </c>
      <c r="G930" t="inlineStr">
        <is>
          <t>ÖRNSKÖLDSVIK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20099-2024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45434</v>
      </c>
      <c r="E931" s="1" t="n">
        <v>46218</v>
      </c>
      <c r="F931" t="inlineStr">
        <is>
          <t>VÄSTERNORRLANDS LÄN</t>
        </is>
      </c>
      <c r="G931" t="inlineStr">
        <is>
          <t>ÖRNSKÖLDSVIK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15692-2022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44663</v>
      </c>
      <c r="E932" s="1" t="n">
        <v>46218</v>
      </c>
      <c r="F932" t="inlineStr">
        <is>
          <t>VÄSTERNORRLANDS LÄN</t>
        </is>
      </c>
      <c r="G932" t="inlineStr">
        <is>
          <t>ÖRNSKÖLDSVIK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61716-2024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45648</v>
      </c>
      <c r="E933" s="1" t="n">
        <v>46218</v>
      </c>
      <c r="F933" t="inlineStr">
        <is>
          <t>VÄSTERNORRLANDS LÄN</t>
        </is>
      </c>
      <c r="G933" t="inlineStr">
        <is>
          <t>ÖRNSKÖLDSVIK</t>
        </is>
      </c>
      <c r="I933" t="n">
        <v>5.3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43891-2024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45572</v>
      </c>
      <c r="E934" s="1" t="n">
        <v>46218</v>
      </c>
      <c r="F934" t="inlineStr">
        <is>
          <t>VÄSTERNORRLANDS LÄN</t>
        </is>
      </c>
      <c r="G934" t="inlineStr">
        <is>
          <t>ÖRNSKÖLDSVIK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49379-2023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45211</v>
      </c>
      <c r="E935" s="1" t="n">
        <v>46218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62440-2023</t>
        </is>
      </c>
      <c r="B936" t="inlineStr">
        <is>
          <t>avverkningsanmälan</t>
        </is>
      </c>
      <c r="C936" t="inlineStr">
        <is>
          <t>Avverkning för att bevara och utveckla /försöksver</t>
        </is>
      </c>
      <c r="D936" s="1" t="n">
        <v>45268</v>
      </c>
      <c r="E936" s="1" t="n">
        <v>46218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48282-2025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45933</v>
      </c>
      <c r="E937" s="1" t="n">
        <v>46218</v>
      </c>
      <c r="F937" t="inlineStr">
        <is>
          <t>VÄSTERNORRLANDS LÄN</t>
        </is>
      </c>
      <c r="G937" t="inlineStr">
        <is>
          <t>ÖRNSKÖLDSVIK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50947-2023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45211</v>
      </c>
      <c r="E938" s="1" t="n">
        <v>46218</v>
      </c>
      <c r="F938" t="inlineStr">
        <is>
          <t>VÄSTERNORRLANDS LÄN</t>
        </is>
      </c>
      <c r="G938" t="inlineStr">
        <is>
          <t>ÖRNSKÖLDSVIK</t>
        </is>
      </c>
      <c r="I938" t="n">
        <v>2.9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8252-2025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45708</v>
      </c>
      <c r="E939" s="1" t="n">
        <v>46218</v>
      </c>
      <c r="F939" t="inlineStr">
        <is>
          <t>VÄSTERNORRLANDS LÄN</t>
        </is>
      </c>
      <c r="G939" t="inlineStr">
        <is>
          <t>ÖRNSKÖLDSVIK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44159-2024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45572</v>
      </c>
      <c r="E940" s="1" t="n">
        <v>46218</v>
      </c>
      <c r="F940" t="inlineStr">
        <is>
          <t>VÄSTERNORRLANDS LÄN</t>
        </is>
      </c>
      <c r="G940" t="inlineStr">
        <is>
          <t>ÖRNSKÖLDSVIK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4344-2024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45324</v>
      </c>
      <c r="E941" s="1" t="n">
        <v>46218</v>
      </c>
      <c r="F941" t="inlineStr">
        <is>
          <t>VÄSTERNORRLANDS LÄN</t>
        </is>
      </c>
      <c r="G941" t="inlineStr">
        <is>
          <t>ÖRNSKÖLDSVIK</t>
        </is>
      </c>
      <c r="I941" t="n">
        <v>2.8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18198-2023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45041</v>
      </c>
      <c r="E942" s="1" t="n">
        <v>46218</v>
      </c>
      <c r="F942" t="inlineStr">
        <is>
          <t>VÄSTERNORRLANDS LÄN</t>
        </is>
      </c>
      <c r="G942" t="inlineStr">
        <is>
          <t>ÖRNSKÖLDSVIK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48328-2025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45933</v>
      </c>
      <c r="E943" s="1" t="n">
        <v>46218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1.3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3173-2024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45316</v>
      </c>
      <c r="E944" s="1" t="n">
        <v>46218</v>
      </c>
      <c r="F944" t="inlineStr">
        <is>
          <t>VÄSTERNORRLANDS LÄN</t>
        </is>
      </c>
      <c r="G944" t="inlineStr">
        <is>
          <t>ÖRNSKÖLDSVIK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52626-2024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45609</v>
      </c>
      <c r="E945" s="1" t="n">
        <v>46218</v>
      </c>
      <c r="F945" t="inlineStr">
        <is>
          <t>VÄSTERNORRLANDS LÄN</t>
        </is>
      </c>
      <c r="G945" t="inlineStr">
        <is>
          <t>ÖRNSKÖLDSVIK</t>
        </is>
      </c>
      <c r="I945" t="n">
        <v>1.4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48741-2023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45208</v>
      </c>
      <c r="E946" s="1" t="n">
        <v>46218</v>
      </c>
      <c r="F946" t="inlineStr">
        <is>
          <t>VÄSTERNORRLANDS LÄN</t>
        </is>
      </c>
      <c r="G946" t="inlineStr">
        <is>
          <t>ÖRNSKÖLDSVIK</t>
        </is>
      </c>
      <c r="I946" t="n">
        <v>0.2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58060-2022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44893</v>
      </c>
      <c r="E947" s="1" t="n">
        <v>46218</v>
      </c>
      <c r="F947" t="inlineStr">
        <is>
          <t>VÄSTERNORRLANDS LÄN</t>
        </is>
      </c>
      <c r="G947" t="inlineStr">
        <is>
          <t>ÖRNSKÖLDSVIK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21896-2022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44711</v>
      </c>
      <c r="E948" s="1" t="n">
        <v>46218</v>
      </c>
      <c r="F948" t="inlineStr">
        <is>
          <t>VÄSTERNORRLANDS LÄN</t>
        </is>
      </c>
      <c r="G948" t="inlineStr">
        <is>
          <t>ÖRNSKÖLDSVIK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28182-2024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45477</v>
      </c>
      <c r="E949" s="1" t="n">
        <v>46218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9.699999999999999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1148-2024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45302</v>
      </c>
      <c r="E950" s="1" t="n">
        <v>46218</v>
      </c>
      <c r="F950" t="inlineStr">
        <is>
          <t>VÄSTERNORRLANDS LÄN</t>
        </is>
      </c>
      <c r="G950" t="inlineStr">
        <is>
          <t>ÖRNSKÖLDSVIK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54174-2021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44470</v>
      </c>
      <c r="E951" s="1" t="n">
        <v>46218</v>
      </c>
      <c r="F951" t="inlineStr">
        <is>
          <t>VÄSTERNORRLANDS LÄN</t>
        </is>
      </c>
      <c r="G951" t="inlineStr">
        <is>
          <t>ÖRNSKÖLDSVIK</t>
        </is>
      </c>
      <c r="I951" t="n">
        <v>10.4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38605-2023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45162</v>
      </c>
      <c r="E952" s="1" t="n">
        <v>46218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47899-2025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45932</v>
      </c>
      <c r="E953" s="1" t="n">
        <v>46218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4.3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47755-2023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45203</v>
      </c>
      <c r="E954" s="1" t="n">
        <v>46218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37926-2024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45544</v>
      </c>
      <c r="E955" s="1" t="n">
        <v>46218</v>
      </c>
      <c r="F955" t="inlineStr">
        <is>
          <t>VÄSTERNORRLANDS LÄN</t>
        </is>
      </c>
      <c r="G955" t="inlineStr">
        <is>
          <t>ÖRNSKÖLDSVIK</t>
        </is>
      </c>
      <c r="I955" t="n">
        <v>5.7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20540-2022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44700</v>
      </c>
      <c r="E956" s="1" t="n">
        <v>46218</v>
      </c>
      <c r="F956" t="inlineStr">
        <is>
          <t>VÄSTERNORRLANDS LÄN</t>
        </is>
      </c>
      <c r="G956" t="inlineStr">
        <is>
          <t>ÖRNSKÖLDSVIK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36169-2023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45149</v>
      </c>
      <c r="E957" s="1" t="n">
        <v>46218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287-2023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44928</v>
      </c>
      <c r="E958" s="1" t="n">
        <v>46218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SCA</t>
        </is>
      </c>
      <c r="I958" t="n">
        <v>0.2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61095-2022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44915</v>
      </c>
      <c r="E959" s="1" t="n">
        <v>46218</v>
      </c>
      <c r="F959" t="inlineStr">
        <is>
          <t>VÄSTERNORRLANDS LÄN</t>
        </is>
      </c>
      <c r="G959" t="inlineStr">
        <is>
          <t>ÖRNSKÖLDSVIK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34746-2024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45526</v>
      </c>
      <c r="E960" s="1" t="n">
        <v>46218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3.2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59287-2024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45637</v>
      </c>
      <c r="E961" s="1" t="n">
        <v>46218</v>
      </c>
      <c r="F961" t="inlineStr">
        <is>
          <t>VÄSTERNORRLANDS LÄN</t>
        </is>
      </c>
      <c r="G961" t="inlineStr">
        <is>
          <t>ÖRNSKÖLDSVIK</t>
        </is>
      </c>
      <c r="I961" t="n">
        <v>3.7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60757-2023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45260</v>
      </c>
      <c r="E962" s="1" t="n">
        <v>46218</v>
      </c>
      <c r="F962" t="inlineStr">
        <is>
          <t>VÄSTERNORRLANDS LÄN</t>
        </is>
      </c>
      <c r="G962" t="inlineStr">
        <is>
          <t>ÖRNSKÖLDSVIK</t>
        </is>
      </c>
      <c r="I962" t="n">
        <v>3.7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48219-2025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45933</v>
      </c>
      <c r="E963" s="1" t="n">
        <v>46218</v>
      </c>
      <c r="F963" t="inlineStr">
        <is>
          <t>VÄSTERNORRLANDS LÄN</t>
        </is>
      </c>
      <c r="G963" t="inlineStr">
        <is>
          <t>ÖRNSKÖLDSVIK</t>
        </is>
      </c>
      <c r="I963" t="n">
        <v>9.4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47886-2025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45932</v>
      </c>
      <c r="E964" s="1" t="n">
        <v>46218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11984-2022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44635</v>
      </c>
      <c r="E965" s="1" t="n">
        <v>46218</v>
      </c>
      <c r="F965" t="inlineStr">
        <is>
          <t>VÄSTERNORRLANDS LÄN</t>
        </is>
      </c>
      <c r="G965" t="inlineStr">
        <is>
          <t>ÖRNSKÖLDSVIK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53221-2021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44467</v>
      </c>
      <c r="E966" s="1" t="n">
        <v>46218</v>
      </c>
      <c r="F966" t="inlineStr">
        <is>
          <t>VÄSTERNORRLANDS LÄN</t>
        </is>
      </c>
      <c r="G966" t="inlineStr">
        <is>
          <t>ÖRNSKÖLDSVIK</t>
        </is>
      </c>
      <c r="I966" t="n">
        <v>1.8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53705-2024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45615</v>
      </c>
      <c r="E967" s="1" t="n">
        <v>46218</v>
      </c>
      <c r="F967" t="inlineStr">
        <is>
          <t>VÄSTERNORRLANDS LÄN</t>
        </is>
      </c>
      <c r="G967" t="inlineStr">
        <is>
          <t>ÖRNSKÖLDSVIK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5439-2025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45692</v>
      </c>
      <c r="E968" s="1" t="n">
        <v>46218</v>
      </c>
      <c r="F968" t="inlineStr">
        <is>
          <t>VÄSTERNORRLANDS LÄN</t>
        </is>
      </c>
      <c r="G968" t="inlineStr">
        <is>
          <t>ÖRNSKÖLDSVIK</t>
        </is>
      </c>
      <c r="I968" t="n">
        <v>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48884-2024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45594</v>
      </c>
      <c r="E969" s="1" t="n">
        <v>46218</v>
      </c>
      <c r="F969" t="inlineStr">
        <is>
          <t>VÄSTERNORRLANDS LÄN</t>
        </is>
      </c>
      <c r="G969" t="inlineStr">
        <is>
          <t>ÖRNSKÖLDSVIK</t>
        </is>
      </c>
      <c r="I969" t="n">
        <v>2.8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33242-2023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45114</v>
      </c>
      <c r="E970" s="1" t="n">
        <v>46218</v>
      </c>
      <c r="F970" t="inlineStr">
        <is>
          <t>VÄSTERNORRLANDS LÄN</t>
        </is>
      </c>
      <c r="G970" t="inlineStr">
        <is>
          <t>ÖRNSKÖLDSVIK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37914-2022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44811</v>
      </c>
      <c r="E971" s="1" t="n">
        <v>46218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9474-2023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44977</v>
      </c>
      <c r="E972" s="1" t="n">
        <v>46218</v>
      </c>
      <c r="F972" t="inlineStr">
        <is>
          <t>VÄSTERNORRLANDS LÄN</t>
        </is>
      </c>
      <c r="G972" t="inlineStr">
        <is>
          <t>ÖRNSKÖLDSVIK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27153-2022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44741</v>
      </c>
      <c r="E973" s="1" t="n">
        <v>46218</v>
      </c>
      <c r="F973" t="inlineStr">
        <is>
          <t>VÄSTERNORRLANDS LÄN</t>
        </is>
      </c>
      <c r="G973" t="inlineStr">
        <is>
          <t>ÖRNSKÖLDSVIK</t>
        </is>
      </c>
      <c r="I973" t="n">
        <v>6.3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57120-2024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45629</v>
      </c>
      <c r="E974" s="1" t="n">
        <v>46218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2.7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21590-2022</t>
        </is>
      </c>
      <c r="B975" t="inlineStr">
        <is>
          <t>avverkningsanmälan</t>
        </is>
      </c>
      <c r="C975" t="inlineStr">
        <is>
          <t>Avverkning för att bevara och utveckla /försöksver</t>
        </is>
      </c>
      <c r="D975" s="1" t="n">
        <v>44706</v>
      </c>
      <c r="E975" s="1" t="n">
        <v>46218</v>
      </c>
      <c r="F975" t="inlineStr">
        <is>
          <t>VÄSTERNORRLANDS LÄN</t>
        </is>
      </c>
      <c r="G975" t="inlineStr">
        <is>
          <t>ÖRNSKÖLDSVIK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20451-2024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45435</v>
      </c>
      <c r="E976" s="1" t="n">
        <v>46218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38601-2023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45162</v>
      </c>
      <c r="E977" s="1" t="n">
        <v>46218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3.8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35451-2022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44798</v>
      </c>
      <c r="E978" s="1" t="n">
        <v>46218</v>
      </c>
      <c r="F978" t="inlineStr">
        <is>
          <t>VÄSTERNORRLANDS LÄN</t>
        </is>
      </c>
      <c r="G978" t="inlineStr">
        <is>
          <t>ÖRNSKÖLDSVIK</t>
        </is>
      </c>
      <c r="I978" t="n">
        <v>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37736-2023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45159</v>
      </c>
      <c r="E979" s="1" t="n">
        <v>46218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11156-2025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45723</v>
      </c>
      <c r="E980" s="1" t="n">
        <v>46218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32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54252-2021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44470</v>
      </c>
      <c r="E981" s="1" t="n">
        <v>46218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3.7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18203-2023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45041</v>
      </c>
      <c r="E982" s="1" t="n">
        <v>46218</v>
      </c>
      <c r="F982" t="inlineStr">
        <is>
          <t>VÄSTERNORRLANDS LÄN</t>
        </is>
      </c>
      <c r="G982" t="inlineStr">
        <is>
          <t>ÖRNSKÖLDSVIK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46707-2025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45926</v>
      </c>
      <c r="E983" s="1" t="n">
        <v>46218</v>
      </c>
      <c r="F983" t="inlineStr">
        <is>
          <t>VÄSTERNORRLANDS LÄN</t>
        </is>
      </c>
      <c r="G983" t="inlineStr">
        <is>
          <t>ÖRNSKÖLDSVIK</t>
        </is>
      </c>
      <c r="I983" t="n">
        <v>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59531-2023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45253</v>
      </c>
      <c r="E984" s="1" t="n">
        <v>46218</v>
      </c>
      <c r="F984" t="inlineStr">
        <is>
          <t>VÄSTERNORRLANDS LÄN</t>
        </is>
      </c>
      <c r="G984" t="inlineStr">
        <is>
          <t>ÖRNSKÖLDSVIK</t>
        </is>
      </c>
      <c r="I984" t="n">
        <v>0.3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39879-2021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44417</v>
      </c>
      <c r="E985" s="1" t="n">
        <v>46218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13733-2023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45006</v>
      </c>
      <c r="E986" s="1" t="n">
        <v>46218</v>
      </c>
      <c r="F986" t="inlineStr">
        <is>
          <t>VÄSTERNORRLANDS LÄN</t>
        </is>
      </c>
      <c r="G986" t="inlineStr">
        <is>
          <t>ÖRNSKÖLDSVIK</t>
        </is>
      </c>
      <c r="I986" t="n">
        <v>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48222-2025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45933</v>
      </c>
      <c r="E987" s="1" t="n">
        <v>46218</v>
      </c>
      <c r="F987" t="inlineStr">
        <is>
          <t>VÄSTERNORRLANDS LÄN</t>
        </is>
      </c>
      <c r="G987" t="inlineStr">
        <is>
          <t>ÖRNSKÖLDSVIK</t>
        </is>
      </c>
      <c r="I987" t="n">
        <v>2.3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48269-2025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45933</v>
      </c>
      <c r="E988" s="1" t="n">
        <v>46218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5.2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21136-2024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45440</v>
      </c>
      <c r="E989" s="1" t="n">
        <v>46218</v>
      </c>
      <c r="F989" t="inlineStr">
        <is>
          <t>VÄSTERNORRLANDS LÄN</t>
        </is>
      </c>
      <c r="G989" t="inlineStr">
        <is>
          <t>ÖRNSKÖLDSVIK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21138-2024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45440</v>
      </c>
      <c r="E990" s="1" t="n">
        <v>46218</v>
      </c>
      <c r="F990" t="inlineStr">
        <is>
          <t>VÄSTERNORRLANDS LÄN</t>
        </is>
      </c>
      <c r="G990" t="inlineStr">
        <is>
          <t>ÖRNSKÖLDSVIK</t>
        </is>
      </c>
      <c r="I990" t="n">
        <v>0.5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9285-2024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45358</v>
      </c>
      <c r="E991" s="1" t="n">
        <v>46218</v>
      </c>
      <c r="F991" t="inlineStr">
        <is>
          <t>VÄSTERNORRLANDS LÄN</t>
        </is>
      </c>
      <c r="G991" t="inlineStr">
        <is>
          <t>ÖRNSKÖLDSVIK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47832-2025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45932</v>
      </c>
      <c r="E992" s="1" t="n">
        <v>46218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3.6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37930-2024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45544</v>
      </c>
      <c r="E993" s="1" t="n">
        <v>46218</v>
      </c>
      <c r="F993" t="inlineStr">
        <is>
          <t>VÄSTERNORRLANDS LÄN</t>
        </is>
      </c>
      <c r="G993" t="inlineStr">
        <is>
          <t>ÖRNSKÖLDSVIK</t>
        </is>
      </c>
      <c r="I993" t="n">
        <v>6.8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29170-2024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45482</v>
      </c>
      <c r="E994" s="1" t="n">
        <v>46218</v>
      </c>
      <c r="F994" t="inlineStr">
        <is>
          <t>VÄSTERNORRLANDS LÄN</t>
        </is>
      </c>
      <c r="G994" t="inlineStr">
        <is>
          <t>ÖRNSKÖLDSVIK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16558-2022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44672</v>
      </c>
      <c r="E995" s="1" t="n">
        <v>46218</v>
      </c>
      <c r="F995" t="inlineStr">
        <is>
          <t>VÄSTERNORRLANDS LÄN</t>
        </is>
      </c>
      <c r="G995" t="inlineStr">
        <is>
          <t>ÖRNSKÖLDSVIK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60628-2021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44495</v>
      </c>
      <c r="E996" s="1" t="n">
        <v>46218</v>
      </c>
      <c r="F996" t="inlineStr">
        <is>
          <t>VÄSTERNORRLANDS LÄN</t>
        </is>
      </c>
      <c r="G996" t="inlineStr">
        <is>
          <t>ÖRNSKÖLDSVIK</t>
        </is>
      </c>
      <c r="I996" t="n">
        <v>0.3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49076-2023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45210</v>
      </c>
      <c r="E997" s="1" t="n">
        <v>46218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4050-2022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44588</v>
      </c>
      <c r="E998" s="1" t="n">
        <v>46218</v>
      </c>
      <c r="F998" t="inlineStr">
        <is>
          <t>VÄSTERNORRLANDS LÄN</t>
        </is>
      </c>
      <c r="G998" t="inlineStr">
        <is>
          <t>ÖRNSKÖLDSVIK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41619-2024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45560</v>
      </c>
      <c r="E999" s="1" t="n">
        <v>46218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57807-2024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45631</v>
      </c>
      <c r="E1000" s="1" t="n">
        <v>46218</v>
      </c>
      <c r="F1000" t="inlineStr">
        <is>
          <t>VÄSTERNORRLANDS LÄN</t>
        </is>
      </c>
      <c r="G1000" t="inlineStr">
        <is>
          <t>ÖRNSKÖLDSVIK</t>
        </is>
      </c>
      <c r="I1000" t="n">
        <v>10.3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48473-2025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45936</v>
      </c>
      <c r="E1001" s="1" t="n">
        <v>46218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SCA</t>
        </is>
      </c>
      <c r="I1001" t="n">
        <v>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48740-2025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45936</v>
      </c>
      <c r="E1002" s="1" t="n">
        <v>46218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SCA</t>
        </is>
      </c>
      <c r="I1002" t="n">
        <v>7.6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48665-2025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45936</v>
      </c>
      <c r="E1003" s="1" t="n">
        <v>46218</v>
      </c>
      <c r="F1003" t="inlineStr">
        <is>
          <t>VÄSTERNORRLANDS LÄN</t>
        </is>
      </c>
      <c r="G1003" t="inlineStr">
        <is>
          <t>ÖRNSKÖLDSVIK</t>
        </is>
      </c>
      <c r="I1003" t="n">
        <v>2.1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61445-2022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44916</v>
      </c>
      <c r="E1004" s="1" t="n">
        <v>46218</v>
      </c>
      <c r="F1004" t="inlineStr">
        <is>
          <t>VÄSTERNORRLANDS LÄN</t>
        </is>
      </c>
      <c r="G1004" t="inlineStr">
        <is>
          <t>ÖRNSKÖLDSVIK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56095-2024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45624</v>
      </c>
      <c r="E1005" s="1" t="n">
        <v>46218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2.3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37855-2024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45544</v>
      </c>
      <c r="E1006" s="1" t="n">
        <v>46218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2.5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49157-2025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45938</v>
      </c>
      <c r="E1007" s="1" t="n">
        <v>46218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0.4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49172-2025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45938</v>
      </c>
      <c r="E1008" s="1" t="n">
        <v>46218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68753-2021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44529</v>
      </c>
      <c r="E1009" s="1" t="n">
        <v>46218</v>
      </c>
      <c r="F1009" t="inlineStr">
        <is>
          <t>VÄSTERNORRLANDS LÄN</t>
        </is>
      </c>
      <c r="G1009" t="inlineStr">
        <is>
          <t>ÖRNSKÖLDSVIK</t>
        </is>
      </c>
      <c r="I1009" t="n">
        <v>2.1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54798-2024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45618</v>
      </c>
      <c r="E1010" s="1" t="n">
        <v>46218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2.8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10526-2025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45721</v>
      </c>
      <c r="E1011" s="1" t="n">
        <v>46218</v>
      </c>
      <c r="F1011" t="inlineStr">
        <is>
          <t>VÄSTERNORRLANDS LÄN</t>
        </is>
      </c>
      <c r="G1011" t="inlineStr">
        <is>
          <t>ÖRNSKÖLDSVIK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59334-2022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44904</v>
      </c>
      <c r="E1012" s="1" t="n">
        <v>46218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0.4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44727-2023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45190</v>
      </c>
      <c r="E1013" s="1" t="n">
        <v>46218</v>
      </c>
      <c r="F1013" t="inlineStr">
        <is>
          <t>VÄSTERNORRLANDS LÄN</t>
        </is>
      </c>
      <c r="G1013" t="inlineStr">
        <is>
          <t>ÖRNSKÖLDSVIK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40071-2023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45168</v>
      </c>
      <c r="E1014" s="1" t="n">
        <v>46218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20530-2025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45775</v>
      </c>
      <c r="E1015" s="1" t="n">
        <v>46218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48863-2025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45937</v>
      </c>
      <c r="E1016" s="1" t="n">
        <v>46218</v>
      </c>
      <c r="F1016" t="inlineStr">
        <is>
          <t>VÄSTERNORRLANDS LÄN</t>
        </is>
      </c>
      <c r="G1016" t="inlineStr">
        <is>
          <t>ÖRNSKÖLDSVIK</t>
        </is>
      </c>
      <c r="I1016" t="n">
        <v>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22547-2023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45069</v>
      </c>
      <c r="E1017" s="1" t="n">
        <v>46218</v>
      </c>
      <c r="F1017" t="inlineStr">
        <is>
          <t>VÄSTERNORRLANDS LÄN</t>
        </is>
      </c>
      <c r="G1017" t="inlineStr">
        <is>
          <t>ÖRNSKÖLDSVIK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5849-2024</t>
        </is>
      </c>
      <c r="B1018" t="inlineStr">
        <is>
          <t>avverkningsanmälan</t>
        </is>
      </c>
      <c r="C1018" t="inlineStr">
        <is>
          <t>Avverkning för att bevara och utveckla /försöksver</t>
        </is>
      </c>
      <c r="D1018" s="1" t="n">
        <v>45335</v>
      </c>
      <c r="E1018" s="1" t="n">
        <v>46218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20097-2022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44698</v>
      </c>
      <c r="E1019" s="1" t="n">
        <v>46218</v>
      </c>
      <c r="F1019" t="inlineStr">
        <is>
          <t>VÄSTERNORRLANDS LÄN</t>
        </is>
      </c>
      <c r="G1019" t="inlineStr">
        <is>
          <t>ÖRNSKÖLDSVIK</t>
        </is>
      </c>
      <c r="I1019" t="n">
        <v>2.9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28546-2024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45478</v>
      </c>
      <c r="E1020" s="1" t="n">
        <v>46218</v>
      </c>
      <c r="F1020" t="inlineStr">
        <is>
          <t>VÄSTERNORRLANDS LÄN</t>
        </is>
      </c>
      <c r="G1020" t="inlineStr">
        <is>
          <t>ÖRNSKÖLDSVIK</t>
        </is>
      </c>
      <c r="I1020" t="n">
        <v>4.8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48810-2025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45937</v>
      </c>
      <c r="E1021" s="1" t="n">
        <v>46218</v>
      </c>
      <c r="F1021" t="inlineStr">
        <is>
          <t>VÄSTERNORRLANDS LÄN</t>
        </is>
      </c>
      <c r="G1021" t="inlineStr">
        <is>
          <t>ÖRNSKÖLDSVIK</t>
        </is>
      </c>
      <c r="I1021" t="n">
        <v>0.4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48812-2025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45937</v>
      </c>
      <c r="E1022" s="1" t="n">
        <v>46218</v>
      </c>
      <c r="F1022" t="inlineStr">
        <is>
          <t>VÄSTERNORRLANDS LÄN</t>
        </is>
      </c>
      <c r="G1022" t="inlineStr">
        <is>
          <t>ÖRNSKÖLDSVIK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20333-2025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45775</v>
      </c>
      <c r="E1023" s="1" t="n">
        <v>46218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3.6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58358-2022</t>
        </is>
      </c>
      <c r="B1024" t="inlineStr">
        <is>
          <t>avverkningsanmälan</t>
        </is>
      </c>
      <c r="C1024" t="inlineStr">
        <is>
          <t>Avverkning för att bevara och utveckla /försöksver</t>
        </is>
      </c>
      <c r="D1024" s="1" t="n">
        <v>44901</v>
      </c>
      <c r="E1024" s="1" t="n">
        <v>46218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49161-2025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45938</v>
      </c>
      <c r="E1025" s="1" t="n">
        <v>46218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49162-2025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45938</v>
      </c>
      <c r="E1026" s="1" t="n">
        <v>46218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55913-2022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44889</v>
      </c>
      <c r="E1027" s="1" t="n">
        <v>46218</v>
      </c>
      <c r="F1027" t="inlineStr">
        <is>
          <t>VÄSTERNORRLANDS LÄN</t>
        </is>
      </c>
      <c r="G1027" t="inlineStr">
        <is>
          <t>ÖRNSKÖLDSVIK</t>
        </is>
      </c>
      <c r="I1027" t="n">
        <v>3.6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63727-2023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45276</v>
      </c>
      <c r="E1028" s="1" t="n">
        <v>46218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Övriga Aktiebolag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63728-2023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45276</v>
      </c>
      <c r="E1029" s="1" t="n">
        <v>46218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Övriga Aktiebolag</t>
        </is>
      </c>
      <c r="I1029" t="n">
        <v>4.8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49473-2025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45939</v>
      </c>
      <c r="E1030" s="1" t="n">
        <v>46218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SCA</t>
        </is>
      </c>
      <c r="I1030" t="n">
        <v>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10463-2025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45720</v>
      </c>
      <c r="E1031" s="1" t="n">
        <v>46218</v>
      </c>
      <c r="F1031" t="inlineStr">
        <is>
          <t>VÄSTERNORRLANDS LÄN</t>
        </is>
      </c>
      <c r="G1031" t="inlineStr">
        <is>
          <t>ÖRNSKÖLDSVIK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41082-2021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44422</v>
      </c>
      <c r="E1032" s="1" t="n">
        <v>46218</v>
      </c>
      <c r="F1032" t="inlineStr">
        <is>
          <t>VÄSTERNORRLANDS LÄN</t>
        </is>
      </c>
      <c r="G1032" t="inlineStr">
        <is>
          <t>ÖRNSKÖLDSVIK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49929-2023</t>
        </is>
      </c>
      <c r="B1033" t="inlineStr">
        <is>
          <t>avverkningsanmälan</t>
        </is>
      </c>
      <c r="C1033" t="inlineStr">
        <is>
          <t>Avverkning för att bevara och utveckla /försöksver</t>
        </is>
      </c>
      <c r="D1033" s="1" t="n">
        <v>45214</v>
      </c>
      <c r="E1033" s="1" t="n">
        <v>46218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SCA</t>
        </is>
      </c>
      <c r="I1033" t="n">
        <v>3.7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62857-2023</t>
        </is>
      </c>
      <c r="B1034" t="inlineStr">
        <is>
          <t>avverkningsanmälan</t>
        </is>
      </c>
      <c r="C1034" t="inlineStr">
        <is>
          <t>Avverkning för att bevara och utveckla /försöksver</t>
        </is>
      </c>
      <c r="D1034" s="1" t="n">
        <v>45272</v>
      </c>
      <c r="E1034" s="1" t="n">
        <v>46218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7.4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49348-2025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45938</v>
      </c>
      <c r="E1035" s="1" t="n">
        <v>46218</v>
      </c>
      <c r="F1035" t="inlineStr">
        <is>
          <t>VÄSTERNORRLANDS LÄN</t>
        </is>
      </c>
      <c r="G1035" t="inlineStr">
        <is>
          <t>ÖRNSKÖLDSVIK</t>
        </is>
      </c>
      <c r="I1035" t="n">
        <v>10.1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40490-2024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45555</v>
      </c>
      <c r="E1036" s="1" t="n">
        <v>46218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Kommuner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49459-2025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45939</v>
      </c>
      <c r="E1037" s="1" t="n">
        <v>46218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49372-2025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45938</v>
      </c>
      <c r="E1038" s="1" t="n">
        <v>46218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8.699999999999999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48891-2025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45937</v>
      </c>
      <c r="E1039" s="1" t="n">
        <v>46218</v>
      </c>
      <c r="F1039" t="inlineStr">
        <is>
          <t>VÄSTERNORRLANDS LÄN</t>
        </is>
      </c>
      <c r="G1039" t="inlineStr">
        <is>
          <t>ÖRNSKÖLDSVIK</t>
        </is>
      </c>
      <c r="I1039" t="n">
        <v>9.300000000000001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15030-2022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44657</v>
      </c>
      <c r="E1040" s="1" t="n">
        <v>46218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61081-2022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44915</v>
      </c>
      <c r="E1041" s="1" t="n">
        <v>46218</v>
      </c>
      <c r="F1041" t="inlineStr">
        <is>
          <t>VÄSTERNORRLANDS LÄN</t>
        </is>
      </c>
      <c r="G1041" t="inlineStr">
        <is>
          <t>ÖRNSKÖLDSVIK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55868-2024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45623</v>
      </c>
      <c r="E1042" s="1" t="n">
        <v>46218</v>
      </c>
      <c r="F1042" t="inlineStr">
        <is>
          <t>VÄSTERNORRLANDS LÄN</t>
        </is>
      </c>
      <c r="G1042" t="inlineStr">
        <is>
          <t>ÖRNSKÖLDSVIK</t>
        </is>
      </c>
      <c r="I1042" t="n">
        <v>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49351-2025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45938</v>
      </c>
      <c r="E1043" s="1" t="n">
        <v>46218</v>
      </c>
      <c r="F1043" t="inlineStr">
        <is>
          <t>VÄSTERNORRLANDS LÄN</t>
        </is>
      </c>
      <c r="G1043" t="inlineStr">
        <is>
          <t>ÖRNSKÖLDSVIK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50017-2025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45943</v>
      </c>
      <c r="E1044" s="1" t="n">
        <v>46218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8.300000000000001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49960-2023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45215</v>
      </c>
      <c r="E1045" s="1" t="n">
        <v>46218</v>
      </c>
      <c r="F1045" t="inlineStr">
        <is>
          <t>VÄSTERNORRLANDS LÄN</t>
        </is>
      </c>
      <c r="G1045" t="inlineStr">
        <is>
          <t>ÖRNSKÖLDSVIK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51754-2021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44462</v>
      </c>
      <c r="E1046" s="1" t="n">
        <v>46218</v>
      </c>
      <c r="F1046" t="inlineStr">
        <is>
          <t>VÄSTERNORRLANDS LÄN</t>
        </is>
      </c>
      <c r="G1046" t="inlineStr">
        <is>
          <t>ÖRNSKÖLDSVIK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63069-2023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45272</v>
      </c>
      <c r="E1047" s="1" t="n">
        <v>46218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Övriga Aktiebolag</t>
        </is>
      </c>
      <c r="I1047" t="n">
        <v>0.3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49719-2025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45939</v>
      </c>
      <c r="E1048" s="1" t="n">
        <v>46218</v>
      </c>
      <c r="F1048" t="inlineStr">
        <is>
          <t>VÄSTERNORRLANDS LÄN</t>
        </is>
      </c>
      <c r="G1048" t="inlineStr">
        <is>
          <t>ÖRNSKÖLDSVIK</t>
        </is>
      </c>
      <c r="I1048" t="n">
        <v>0.3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45105-2023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45191</v>
      </c>
      <c r="E1049" s="1" t="n">
        <v>46218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5.5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50015-2025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45943</v>
      </c>
      <c r="E1050" s="1" t="n">
        <v>46218</v>
      </c>
      <c r="F1050" t="inlineStr">
        <is>
          <t>VÄSTERNORRLANDS LÄN</t>
        </is>
      </c>
      <c r="G1050" t="inlineStr">
        <is>
          <t>ÖRNSKÖLDSVIK</t>
        </is>
      </c>
      <c r="I1050" t="n">
        <v>3.5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61013-2024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45645</v>
      </c>
      <c r="E1051" s="1" t="n">
        <v>46218</v>
      </c>
      <c r="F1051" t="inlineStr">
        <is>
          <t>VÄSTERNORRLANDS LÄN</t>
        </is>
      </c>
      <c r="G1051" t="inlineStr">
        <is>
          <t>ÖRNSKÖLDSVIK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35619-2024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45531</v>
      </c>
      <c r="E1052" s="1" t="n">
        <v>46218</v>
      </c>
      <c r="F1052" t="inlineStr">
        <is>
          <t>VÄSTERNORRLANDS LÄN</t>
        </is>
      </c>
      <c r="G1052" t="inlineStr">
        <is>
          <t>ÖRNSKÖLDSVIK</t>
        </is>
      </c>
      <c r="I1052" t="n">
        <v>14.1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15646-2025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45748</v>
      </c>
      <c r="E1053" s="1" t="n">
        <v>46218</v>
      </c>
      <c r="F1053" t="inlineStr">
        <is>
          <t>VÄSTERNORRLANDS LÄN</t>
        </is>
      </c>
      <c r="G1053" t="inlineStr">
        <is>
          <t>ÖRNSKÖLDSVIK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31188-2023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45113</v>
      </c>
      <c r="E1054" s="1" t="n">
        <v>46218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SCA</t>
        </is>
      </c>
      <c r="I1054" t="n">
        <v>8.699999999999999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47614-2023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45203</v>
      </c>
      <c r="E1055" s="1" t="n">
        <v>46218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50597-2025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45945</v>
      </c>
      <c r="E1056" s="1" t="n">
        <v>46218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10700-2023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44988</v>
      </c>
      <c r="E1057" s="1" t="n">
        <v>46218</v>
      </c>
      <c r="F1057" t="inlineStr">
        <is>
          <t>VÄSTERNORRLANDS LÄN</t>
        </is>
      </c>
      <c r="G1057" t="inlineStr">
        <is>
          <t>ÖRNSKÖLDSVIK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50526-2025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45945</v>
      </c>
      <c r="E1058" s="1" t="n">
        <v>46218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51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50602-2025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45945</v>
      </c>
      <c r="E1059" s="1" t="n">
        <v>46218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50568-2025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45945</v>
      </c>
      <c r="E1060" s="1" t="n">
        <v>46218</v>
      </c>
      <c r="F1060" t="inlineStr">
        <is>
          <t>VÄSTERNORRLANDS LÄN</t>
        </is>
      </c>
      <c r="G1060" t="inlineStr">
        <is>
          <t>ÖRNSKÖLDSVIK</t>
        </is>
      </c>
      <c r="I1060" t="n">
        <v>3.3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50573-2025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45945</v>
      </c>
      <c r="E1061" s="1" t="n">
        <v>46218</v>
      </c>
      <c r="F1061" t="inlineStr">
        <is>
          <t>VÄSTERNORRLANDS LÄN</t>
        </is>
      </c>
      <c r="G1061" t="inlineStr">
        <is>
          <t>ÖRNSKÖLDSVIK</t>
        </is>
      </c>
      <c r="I1061" t="n">
        <v>15.2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34020-2023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45135</v>
      </c>
      <c r="E1062" s="1" t="n">
        <v>46218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3.4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40212-2024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45554</v>
      </c>
      <c r="E1063" s="1" t="n">
        <v>46218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50382-2025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45944</v>
      </c>
      <c r="E1064" s="1" t="n">
        <v>46218</v>
      </c>
      <c r="F1064" t="inlineStr">
        <is>
          <t>VÄSTERNORRLANDS LÄN</t>
        </is>
      </c>
      <c r="G1064" t="inlineStr">
        <is>
          <t>ÖRNSKÖLDSVIK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37999-2023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45160</v>
      </c>
      <c r="E1065" s="1" t="n">
        <v>46218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50404-2025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45944</v>
      </c>
      <c r="E1066" s="1" t="n">
        <v>46218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0.5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34342-2024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45525</v>
      </c>
      <c r="E1067" s="1" t="n">
        <v>46218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5.2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41550-2023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45175</v>
      </c>
      <c r="E1068" s="1" t="n">
        <v>46218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4.9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61228-2022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44909</v>
      </c>
      <c r="E1069" s="1" t="n">
        <v>46218</v>
      </c>
      <c r="F1069" t="inlineStr">
        <is>
          <t>VÄSTERNORRLANDS LÄN</t>
        </is>
      </c>
      <c r="G1069" t="inlineStr">
        <is>
          <t>ÖRNSKÖLDSVIK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69183-2021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44531</v>
      </c>
      <c r="E1070" s="1" t="n">
        <v>46218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2.6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27072-2024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45471</v>
      </c>
      <c r="E1071" s="1" t="n">
        <v>46218</v>
      </c>
      <c r="F1071" t="inlineStr">
        <is>
          <t>VÄSTERNORRLANDS LÄN</t>
        </is>
      </c>
      <c r="G1071" t="inlineStr">
        <is>
          <t>ÖRNSKÖLDSVIK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56397-2024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45625</v>
      </c>
      <c r="E1072" s="1" t="n">
        <v>46218</v>
      </c>
      <c r="F1072" t="inlineStr">
        <is>
          <t>VÄSTERNORRLANDS LÄN</t>
        </is>
      </c>
      <c r="G1072" t="inlineStr">
        <is>
          <t>ÖRNSKÖLDSVIK</t>
        </is>
      </c>
      <c r="I1072" t="n">
        <v>1.9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68750-2021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44529</v>
      </c>
      <c r="E1073" s="1" t="n">
        <v>46218</v>
      </c>
      <c r="F1073" t="inlineStr">
        <is>
          <t>VÄSTERNORRLANDS LÄN</t>
        </is>
      </c>
      <c r="G1073" t="inlineStr">
        <is>
          <t>ÖRNSKÖLDSVIK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54622-2024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45617</v>
      </c>
      <c r="E1074" s="1" t="n">
        <v>46218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62472-2021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44503</v>
      </c>
      <c r="E1075" s="1" t="n">
        <v>46218</v>
      </c>
      <c r="F1075" t="inlineStr">
        <is>
          <t>VÄSTERNORRLANDS LÄN</t>
        </is>
      </c>
      <c r="G1075" t="inlineStr">
        <is>
          <t>ÖRNSKÖLDSVIK</t>
        </is>
      </c>
      <c r="I1075" t="n">
        <v>13.6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17357-2022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44678</v>
      </c>
      <c r="E1076" s="1" t="n">
        <v>46218</v>
      </c>
      <c r="F1076" t="inlineStr">
        <is>
          <t>VÄSTERNORRLANDS LÄN</t>
        </is>
      </c>
      <c r="G1076" t="inlineStr">
        <is>
          <t>ÖRNSKÖLDSVIK</t>
        </is>
      </c>
      <c r="I1076" t="n">
        <v>3.5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831-2024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45301</v>
      </c>
      <c r="E1077" s="1" t="n">
        <v>46218</v>
      </c>
      <c r="F1077" t="inlineStr">
        <is>
          <t>VÄSTERNORRLANDS LÄN</t>
        </is>
      </c>
      <c r="G1077" t="inlineStr">
        <is>
          <t>ÖRNSKÖLDSVIK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51114-2025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45947</v>
      </c>
      <c r="E1078" s="1" t="n">
        <v>46218</v>
      </c>
      <c r="F1078" t="inlineStr">
        <is>
          <t>VÄSTERNORRLANDS LÄN</t>
        </is>
      </c>
      <c r="G1078" t="inlineStr">
        <is>
          <t>ÖRNSKÖLDSVIK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59594-2024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45638</v>
      </c>
      <c r="E1079" s="1" t="n">
        <v>46218</v>
      </c>
      <c r="F1079" t="inlineStr">
        <is>
          <t>VÄSTERNORRLANDS LÄN</t>
        </is>
      </c>
      <c r="G1079" t="inlineStr">
        <is>
          <t>ÖRNSKÖLDSVIK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32482-2022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44782</v>
      </c>
      <c r="E1080" s="1" t="n">
        <v>46218</v>
      </c>
      <c r="F1080" t="inlineStr">
        <is>
          <t>VÄSTERNORRLANDS LÄN</t>
        </is>
      </c>
      <c r="G1080" t="inlineStr">
        <is>
          <t>ÖRNSKÖLDSVIK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50878-2023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45218</v>
      </c>
      <c r="E1081" s="1" t="n">
        <v>46218</v>
      </c>
      <c r="F1081" t="inlineStr">
        <is>
          <t>VÄSTERNORRLANDS LÄN</t>
        </is>
      </c>
      <c r="G1081" t="inlineStr">
        <is>
          <t>ÖRNSKÖLDSVIK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42764-2023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45181</v>
      </c>
      <c r="E1082" s="1" t="n">
        <v>46218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0.6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50900-2025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45946</v>
      </c>
      <c r="E1083" s="1" t="n">
        <v>46218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28651-2023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45096</v>
      </c>
      <c r="E1084" s="1" t="n">
        <v>46218</v>
      </c>
      <c r="F1084" t="inlineStr">
        <is>
          <t>VÄSTERNORRLANDS LÄN</t>
        </is>
      </c>
      <c r="G1084" t="inlineStr">
        <is>
          <t>ÖRNSKÖLDSVIK</t>
        </is>
      </c>
      <c r="I1084" t="n">
        <v>1.4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2111-2025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45672</v>
      </c>
      <c r="E1085" s="1" t="n">
        <v>46218</v>
      </c>
      <c r="F1085" t="inlineStr">
        <is>
          <t>VÄSTERNORRLANDS LÄN</t>
        </is>
      </c>
      <c r="G1085" t="inlineStr">
        <is>
          <t>ÖRNSKÖLDSVIK</t>
        </is>
      </c>
      <c r="I1085" t="n">
        <v>13.7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30460-2024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45491</v>
      </c>
      <c r="E1086" s="1" t="n">
        <v>46218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SCA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30894-2024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45498</v>
      </c>
      <c r="E1087" s="1" t="n">
        <v>46218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51008-2025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45947</v>
      </c>
      <c r="E1088" s="1" t="n">
        <v>46218</v>
      </c>
      <c r="F1088" t="inlineStr">
        <is>
          <t>VÄSTERNORRLANDS LÄN</t>
        </is>
      </c>
      <c r="G1088" t="inlineStr">
        <is>
          <t>ÖRNSKÖLDSVIK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15612-2025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45747</v>
      </c>
      <c r="E1089" s="1" t="n">
        <v>46218</v>
      </c>
      <c r="F1089" t="inlineStr">
        <is>
          <t>VÄSTERNORRLANDS LÄN</t>
        </is>
      </c>
      <c r="G1089" t="inlineStr">
        <is>
          <t>ÖRNSKÖLDSVIK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12682-2024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45384</v>
      </c>
      <c r="E1090" s="1" t="n">
        <v>46218</v>
      </c>
      <c r="F1090" t="inlineStr">
        <is>
          <t>VÄSTERNORRLANDS LÄN</t>
        </is>
      </c>
      <c r="G1090" t="inlineStr">
        <is>
          <t>ÖRNSKÖLDSVIK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51004-2025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45947</v>
      </c>
      <c r="E1091" s="1" t="n">
        <v>46218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SCA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57567-2022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44896</v>
      </c>
      <c r="E1092" s="1" t="n">
        <v>46218</v>
      </c>
      <c r="F1092" t="inlineStr">
        <is>
          <t>VÄSTERNORRLANDS LÄN</t>
        </is>
      </c>
      <c r="G1092" t="inlineStr">
        <is>
          <t>ÖRNSKÖLDSVIK</t>
        </is>
      </c>
      <c r="I1092" t="n">
        <v>5.3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59560-2023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45254</v>
      </c>
      <c r="E1093" s="1" t="n">
        <v>46218</v>
      </c>
      <c r="F1093" t="inlineStr">
        <is>
          <t>VÄSTERNORRLANDS LÄN</t>
        </is>
      </c>
      <c r="G1093" t="inlineStr">
        <is>
          <t>ÖRNSKÖLDSVIK</t>
        </is>
      </c>
      <c r="I1093" t="n">
        <v>12.1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51784-2025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45951</v>
      </c>
      <c r="E1094" s="1" t="n">
        <v>46218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SCA</t>
        </is>
      </c>
      <c r="I1094" t="n">
        <v>7.6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17099-2023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45034</v>
      </c>
      <c r="E1095" s="1" t="n">
        <v>46218</v>
      </c>
      <c r="F1095" t="inlineStr">
        <is>
          <t>VÄSTERNORRLANDS LÄN</t>
        </is>
      </c>
      <c r="G1095" t="inlineStr">
        <is>
          <t>ÖRNSKÖLDSVIK</t>
        </is>
      </c>
      <c r="I1095" t="n">
        <v>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40590-2022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44823</v>
      </c>
      <c r="E1096" s="1" t="n">
        <v>46218</v>
      </c>
      <c r="F1096" t="inlineStr">
        <is>
          <t>VÄSTERNORRLANDS LÄN</t>
        </is>
      </c>
      <c r="G1096" t="inlineStr">
        <is>
          <t>ÖRNSKÖLDSVIK</t>
        </is>
      </c>
      <c r="I1096" t="n">
        <v>10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51751-2025</t>
        </is>
      </c>
      <c r="B1097" t="inlineStr">
        <is>
          <t>avverkningsanmälan</t>
        </is>
      </c>
      <c r="C1097" t="inlineStr">
        <is>
          <t>Avverkning för annat ändamål</t>
        </is>
      </c>
      <c r="D1097" s="1" t="n">
        <v>45951</v>
      </c>
      <c r="E1097" s="1" t="n">
        <v>46218</v>
      </c>
      <c r="F1097" t="inlineStr">
        <is>
          <t>VÄSTERNORRLANDS LÄN</t>
        </is>
      </c>
      <c r="G1097" t="inlineStr">
        <is>
          <t>ÖRNSKÖLDSVIK</t>
        </is>
      </c>
      <c r="I1097" t="n">
        <v>2.2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51761-2025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45951</v>
      </c>
      <c r="E1098" s="1" t="n">
        <v>46218</v>
      </c>
      <c r="F1098" t="inlineStr">
        <is>
          <t>VÄSTERNORRLANDS LÄN</t>
        </is>
      </c>
      <c r="G1098" t="inlineStr">
        <is>
          <t>ÖRNSKÖLDSVIK</t>
        </is>
      </c>
      <c r="I1098" t="n">
        <v>8.5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41394-2023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45174</v>
      </c>
      <c r="E1099" s="1" t="n">
        <v>46218</v>
      </c>
      <c r="F1099" t="inlineStr">
        <is>
          <t>VÄSTERNORRLANDS LÄN</t>
        </is>
      </c>
      <c r="G1099" t="inlineStr">
        <is>
          <t>ÖRNSKÖLDSVIK</t>
        </is>
      </c>
      <c r="I1099" t="n">
        <v>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20222-2024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45434</v>
      </c>
      <c r="E1100" s="1" t="n">
        <v>46218</v>
      </c>
      <c r="F1100" t="inlineStr">
        <is>
          <t>VÄSTERNORRLANDS LÄN</t>
        </is>
      </c>
      <c r="G1100" t="inlineStr">
        <is>
          <t>ÖRNSKÖLDSVIK</t>
        </is>
      </c>
      <c r="I1100" t="n">
        <v>0.3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60313-2023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45258</v>
      </c>
      <c r="E1101" s="1" t="n">
        <v>46218</v>
      </c>
      <c r="F1101" t="inlineStr">
        <is>
          <t>VÄSTERNORRLANDS LÄN</t>
        </is>
      </c>
      <c r="G1101" t="inlineStr">
        <is>
          <t>ÖRNSKÖLDSVIK</t>
        </is>
      </c>
      <c r="I1101" t="n">
        <v>3.9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60319-2023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45258</v>
      </c>
      <c r="E1102" s="1" t="n">
        <v>46218</v>
      </c>
      <c r="F1102" t="inlineStr">
        <is>
          <t>VÄSTERNORRLANDS LÄN</t>
        </is>
      </c>
      <c r="G1102" t="inlineStr">
        <is>
          <t>ÖRNSKÖLDSVIK</t>
        </is>
      </c>
      <c r="I1102" t="n">
        <v>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51713-2025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45951</v>
      </c>
      <c r="E1103" s="1" t="n">
        <v>46218</v>
      </c>
      <c r="F1103" t="inlineStr">
        <is>
          <t>VÄSTERNORRLANDS LÄN</t>
        </is>
      </c>
      <c r="G1103" t="inlineStr">
        <is>
          <t>ÖRNSKÖLDSVIK</t>
        </is>
      </c>
      <c r="I1103" t="n">
        <v>2.9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51749-2025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45951</v>
      </c>
      <c r="E1104" s="1" t="n">
        <v>46218</v>
      </c>
      <c r="F1104" t="inlineStr">
        <is>
          <t>VÄSTERNORRLANDS LÄN</t>
        </is>
      </c>
      <c r="G1104" t="inlineStr">
        <is>
          <t>ÖRNSKÖLDSVIK</t>
        </is>
      </c>
      <c r="I1104" t="n">
        <v>3.9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49842-2024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45597</v>
      </c>
      <c r="E1105" s="1" t="n">
        <v>46218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2.1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53191-2024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45611</v>
      </c>
      <c r="E1106" s="1" t="n">
        <v>46218</v>
      </c>
      <c r="F1106" t="inlineStr">
        <is>
          <t>VÄSTERNORRLANDS LÄN</t>
        </is>
      </c>
      <c r="G1106" t="inlineStr">
        <is>
          <t>ÖRNSKÖLDSVIK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60511-2021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44495</v>
      </c>
      <c r="E1107" s="1" t="n">
        <v>46218</v>
      </c>
      <c r="F1107" t="inlineStr">
        <is>
          <t>VÄSTERNORRLANDS LÄN</t>
        </is>
      </c>
      <c r="G1107" t="inlineStr">
        <is>
          <t>ÖRNSKÖLDSVIK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51599-2025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45951</v>
      </c>
      <c r="E1108" s="1" t="n">
        <v>46218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13427-2023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45005</v>
      </c>
      <c r="E1109" s="1" t="n">
        <v>46218</v>
      </c>
      <c r="F1109" t="inlineStr">
        <is>
          <t>VÄSTERNORRLANDS LÄN</t>
        </is>
      </c>
      <c r="G1109" t="inlineStr">
        <is>
          <t>ÖRNSKÖLDSVIK</t>
        </is>
      </c>
      <c r="I1109" t="n">
        <v>3.4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29795-2022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44755</v>
      </c>
      <c r="E1110" s="1" t="n">
        <v>46218</v>
      </c>
      <c r="F1110" t="inlineStr">
        <is>
          <t>VÄSTERNORRLANDS LÄN</t>
        </is>
      </c>
      <c r="G1110" t="inlineStr">
        <is>
          <t>ÖRNSKÖLDSVIK</t>
        </is>
      </c>
      <c r="I1110" t="n">
        <v>1.7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21133-2024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45440</v>
      </c>
      <c r="E1111" s="1" t="n">
        <v>46218</v>
      </c>
      <c r="F1111" t="inlineStr">
        <is>
          <t>VÄSTERNORRLANDS LÄN</t>
        </is>
      </c>
      <c r="G1111" t="inlineStr">
        <is>
          <t>ÖRNSKÖLDSVIK</t>
        </is>
      </c>
      <c r="I1111" t="n">
        <v>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62089-2022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44919</v>
      </c>
      <c r="E1112" s="1" t="n">
        <v>46218</v>
      </c>
      <c r="F1112" t="inlineStr">
        <is>
          <t>VÄSTERNORRLANDS LÄN</t>
        </is>
      </c>
      <c r="G1112" t="inlineStr">
        <is>
          <t>ÖRNSKÖLDSVIK</t>
        </is>
      </c>
      <c r="I1112" t="n">
        <v>24.7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61195-2024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45645</v>
      </c>
      <c r="E1113" s="1" t="n">
        <v>46218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9.5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13909-2025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45737</v>
      </c>
      <c r="E1114" s="1" t="n">
        <v>46218</v>
      </c>
      <c r="F1114" t="inlineStr">
        <is>
          <t>VÄSTERNORRLANDS LÄN</t>
        </is>
      </c>
      <c r="G1114" t="inlineStr">
        <is>
          <t>ÖRNSKÖLDSVIK</t>
        </is>
      </c>
      <c r="I1114" t="n">
        <v>3.8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23346-2024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45453</v>
      </c>
      <c r="E1115" s="1" t="n">
        <v>46218</v>
      </c>
      <c r="F1115" t="inlineStr">
        <is>
          <t>VÄSTERNORRLANDS LÄN</t>
        </is>
      </c>
      <c r="G1115" t="inlineStr">
        <is>
          <t>ÖRNSKÖLDSVIK</t>
        </is>
      </c>
      <c r="I1115" t="n">
        <v>1.7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763-2023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44931</v>
      </c>
      <c r="E1116" s="1" t="n">
        <v>46218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35618-2024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45531</v>
      </c>
      <c r="E1117" s="1" t="n">
        <v>46218</v>
      </c>
      <c r="F1117" t="inlineStr">
        <is>
          <t>VÄSTERNORRLANDS LÄN</t>
        </is>
      </c>
      <c r="G1117" t="inlineStr">
        <is>
          <t>ÖRNSKÖLDSVIK</t>
        </is>
      </c>
      <c r="I1117" t="n">
        <v>13.1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33922-2023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45122</v>
      </c>
      <c r="E1118" s="1" t="n">
        <v>46218</v>
      </c>
      <c r="F1118" t="inlineStr">
        <is>
          <t>VÄSTERNORRLANDS LÄN</t>
        </is>
      </c>
      <c r="G1118" t="inlineStr">
        <is>
          <t>ÖRNSKÖLDSVIK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19519-2023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45050</v>
      </c>
      <c r="E1119" s="1" t="n">
        <v>46218</v>
      </c>
      <c r="F1119" t="inlineStr">
        <is>
          <t>VÄSTERNORRLANDS LÄN</t>
        </is>
      </c>
      <c r="G1119" t="inlineStr">
        <is>
          <t>ÖRNSKÖLDSVIK</t>
        </is>
      </c>
      <c r="I1119" t="n">
        <v>2.3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16193-2023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45027</v>
      </c>
      <c r="E1120" s="1" t="n">
        <v>46218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SCA</t>
        </is>
      </c>
      <c r="I1120" t="n">
        <v>2.3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28763-2024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45478</v>
      </c>
      <c r="E1121" s="1" t="n">
        <v>46218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4.6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20765-2025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45776</v>
      </c>
      <c r="E1122" s="1" t="n">
        <v>46218</v>
      </c>
      <c r="F1122" t="inlineStr">
        <is>
          <t>VÄSTERNORRLANDS LÄN</t>
        </is>
      </c>
      <c r="G1122" t="inlineStr">
        <is>
          <t>ÖRNSKÖLDSVIK</t>
        </is>
      </c>
      <c r="I1122" t="n">
        <v>20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35761-2024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45532</v>
      </c>
      <c r="E1123" s="1" t="n">
        <v>46218</v>
      </c>
      <c r="F1123" t="inlineStr">
        <is>
          <t>VÄSTERNORRLANDS LÄN</t>
        </is>
      </c>
      <c r="G1123" t="inlineStr">
        <is>
          <t>ÖRNSKÖLDSVIK</t>
        </is>
      </c>
      <c r="I1123" t="n">
        <v>0.2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51359-2025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45950</v>
      </c>
      <c r="E1124" s="1" t="n">
        <v>46218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11.9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43906-2024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45572</v>
      </c>
      <c r="E1125" s="1" t="n">
        <v>46218</v>
      </c>
      <c r="F1125" t="inlineStr">
        <is>
          <t>VÄSTERNORRLANDS LÄN</t>
        </is>
      </c>
      <c r="G1125" t="inlineStr">
        <is>
          <t>ÖRNSKÖLDSVIK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12179-2025</t>
        </is>
      </c>
      <c r="B1126" t="inlineStr">
        <is>
          <t>avverkningsanmälan</t>
        </is>
      </c>
      <c r="C1126" t="inlineStr">
        <is>
          <t>Avverkning för annat ändamål</t>
        </is>
      </c>
      <c r="D1126" s="1" t="n">
        <v>45729</v>
      </c>
      <c r="E1126" s="1" t="n">
        <v>46218</v>
      </c>
      <c r="F1126" t="inlineStr">
        <is>
          <t>VÄSTERNORRLANDS LÄN</t>
        </is>
      </c>
      <c r="G1126" t="inlineStr">
        <is>
          <t>ÖRNSKÖLDSVIK</t>
        </is>
      </c>
      <c r="I1126" t="n">
        <v>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11050-2023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44991</v>
      </c>
      <c r="E1127" s="1" t="n">
        <v>46218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SCA</t>
        </is>
      </c>
      <c r="I1127" t="n">
        <v>2.6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51490-2025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45950</v>
      </c>
      <c r="E1128" s="1" t="n">
        <v>46218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4.5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51492-2025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45950</v>
      </c>
      <c r="E1129" s="1" t="n">
        <v>46218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3.5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51516-2025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45950</v>
      </c>
      <c r="E1130" s="1" t="n">
        <v>46218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6.8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51752-2025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45951</v>
      </c>
      <c r="E1131" s="1" t="n">
        <v>46218</v>
      </c>
      <c r="F1131" t="inlineStr">
        <is>
          <t>VÄSTERNORRLANDS LÄN</t>
        </is>
      </c>
      <c r="G1131" t="inlineStr">
        <is>
          <t>ÖRNSKÖLDSVIK</t>
        </is>
      </c>
      <c r="I1131" t="n">
        <v>1.7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33479-2023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45131</v>
      </c>
      <c r="E1132" s="1" t="n">
        <v>46218</v>
      </c>
      <c r="F1132" t="inlineStr">
        <is>
          <t>VÄSTERNORRLANDS LÄN</t>
        </is>
      </c>
      <c r="G1132" t="inlineStr">
        <is>
          <t>ÖRNSKÖLDSVIK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48760-2022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44859</v>
      </c>
      <c r="E1133" s="1" t="n">
        <v>46218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5.4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50562-2022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44862</v>
      </c>
      <c r="E1134" s="1" t="n">
        <v>46218</v>
      </c>
      <c r="F1134" t="inlineStr">
        <is>
          <t>VÄSTERNORRLANDS LÄN</t>
        </is>
      </c>
      <c r="G1134" t="inlineStr">
        <is>
          <t>ÖRNSKÖLDSVIK</t>
        </is>
      </c>
      <c r="I1134" t="n">
        <v>2.7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21642-2024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45442</v>
      </c>
      <c r="E1135" s="1" t="n">
        <v>46218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51507-2025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45950</v>
      </c>
      <c r="E1136" s="1" t="n">
        <v>46218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4.5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51658-2025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45951</v>
      </c>
      <c r="E1137" s="1" t="n">
        <v>46218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2.7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56411-2023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45243</v>
      </c>
      <c r="E1138" s="1" t="n">
        <v>46218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0.6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39016-2024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45548</v>
      </c>
      <c r="E1139" s="1" t="n">
        <v>46218</v>
      </c>
      <c r="F1139" t="inlineStr">
        <is>
          <t>VÄSTERNORRLANDS LÄN</t>
        </is>
      </c>
      <c r="G1139" t="inlineStr">
        <is>
          <t>ÖRNSKÖLDSVIK</t>
        </is>
      </c>
      <c r="I1139" t="n">
        <v>0.9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42059-2023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45177</v>
      </c>
      <c r="E1140" s="1" t="n">
        <v>46218</v>
      </c>
      <c r="F1140" t="inlineStr">
        <is>
          <t>VÄSTERNORRLANDS LÄN</t>
        </is>
      </c>
      <c r="G1140" t="inlineStr">
        <is>
          <t>ÖRNSKÖLDSVIK</t>
        </is>
      </c>
      <c r="I1140" t="n">
        <v>1.8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61322-2022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44909</v>
      </c>
      <c r="E1141" s="1" t="n">
        <v>46218</v>
      </c>
      <c r="F1141" t="inlineStr">
        <is>
          <t>VÄSTERNORRLANDS LÄN</t>
        </is>
      </c>
      <c r="G1141" t="inlineStr">
        <is>
          <t>ÖRNSKÖLDSVIK</t>
        </is>
      </c>
      <c r="I1141" t="n">
        <v>3.8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52129-2025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45952</v>
      </c>
      <c r="E1142" s="1" t="n">
        <v>46218</v>
      </c>
      <c r="F1142" t="inlineStr">
        <is>
          <t>VÄSTERNORRLANDS LÄN</t>
        </is>
      </c>
      <c r="G1142" t="inlineStr">
        <is>
          <t>ÖRNSKÖLDSVIK</t>
        </is>
      </c>
      <c r="I1142" t="n">
        <v>22.6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18148-2023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45040</v>
      </c>
      <c r="E1143" s="1" t="n">
        <v>46218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SCA</t>
        </is>
      </c>
      <c r="I1143" t="n">
        <v>1.1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20726-2025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45776</v>
      </c>
      <c r="E1144" s="1" t="n">
        <v>46218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0.6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21226-2024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45440</v>
      </c>
      <c r="E1145" s="1" t="n">
        <v>46218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41999-2023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45174</v>
      </c>
      <c r="E1146" s="1" t="n">
        <v>46218</v>
      </c>
      <c r="F1146" t="inlineStr">
        <is>
          <t>VÄSTERNORRLANDS LÄN</t>
        </is>
      </c>
      <c r="G1146" t="inlineStr">
        <is>
          <t>ÖRNSKÖLDSVIK</t>
        </is>
      </c>
      <c r="I1146" t="n">
        <v>3.7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28659-2024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45478</v>
      </c>
      <c r="E1147" s="1" t="n">
        <v>46218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2.2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36661-2024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45537</v>
      </c>
      <c r="E1148" s="1" t="n">
        <v>46218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6.5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52160-2025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45953</v>
      </c>
      <c r="E1149" s="1" t="n">
        <v>46218</v>
      </c>
      <c r="F1149" t="inlineStr">
        <is>
          <t>VÄSTERNORRLANDS LÄN</t>
        </is>
      </c>
      <c r="G1149" t="inlineStr">
        <is>
          <t>ÖRNSKÖLDSVIK</t>
        </is>
      </c>
      <c r="I1149" t="n">
        <v>1.6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27467-2022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44742</v>
      </c>
      <c r="E1150" s="1" t="n">
        <v>46218</v>
      </c>
      <c r="F1150" t="inlineStr">
        <is>
          <t>VÄSTERNORRLANDS LÄN</t>
        </is>
      </c>
      <c r="G1150" t="inlineStr">
        <is>
          <t>ÖRNSKÖLDSVIK</t>
        </is>
      </c>
      <c r="I1150" t="n">
        <v>2.1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21241-2025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45779</v>
      </c>
      <c r="E1151" s="1" t="n">
        <v>46218</v>
      </c>
      <c r="F1151" t="inlineStr">
        <is>
          <t>VÄSTERNORRLANDS LÄN</t>
        </is>
      </c>
      <c r="G1151" t="inlineStr">
        <is>
          <t>ÖRNSKÖLDSVIK</t>
        </is>
      </c>
      <c r="I1151" t="n">
        <v>0.2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52193-2025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45953</v>
      </c>
      <c r="E1152" s="1" t="n">
        <v>46218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1.2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5637-2023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44960</v>
      </c>
      <c r="E1153" s="1" t="n">
        <v>46218</v>
      </c>
      <c r="F1153" t="inlineStr">
        <is>
          <t>VÄSTERNORRLANDS LÄN</t>
        </is>
      </c>
      <c r="G1153" t="inlineStr">
        <is>
          <t>ÖRNSKÖLDSVIK</t>
        </is>
      </c>
      <c r="I1153" t="n">
        <v>1.1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21475-2025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45782</v>
      </c>
      <c r="E1154" s="1" t="n">
        <v>46218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5.9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55351-2021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44475</v>
      </c>
      <c r="E1155" s="1" t="n">
        <v>46218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52142-2025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45953</v>
      </c>
      <c r="E1156" s="1" t="n">
        <v>46218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10.8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41710-2023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45173</v>
      </c>
      <c r="E1157" s="1" t="n">
        <v>46218</v>
      </c>
      <c r="F1157" t="inlineStr">
        <is>
          <t>VÄSTERNORRLANDS LÄN</t>
        </is>
      </c>
      <c r="G1157" t="inlineStr">
        <is>
          <t>ÖRNSKÖLDSVIK</t>
        </is>
      </c>
      <c r="I1157" t="n">
        <v>6.1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62001-2022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44914</v>
      </c>
      <c r="E1158" s="1" t="n">
        <v>46218</v>
      </c>
      <c r="F1158" t="inlineStr">
        <is>
          <t>VÄSTERNORRLANDS LÄN</t>
        </is>
      </c>
      <c r="G1158" t="inlineStr">
        <is>
          <t>ÖRNSKÖLDSVIK</t>
        </is>
      </c>
      <c r="I1158" t="n">
        <v>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52196-2025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45953</v>
      </c>
      <c r="E1159" s="1" t="n">
        <v>46218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11.5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47671-2022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44854</v>
      </c>
      <c r="E1160" s="1" t="n">
        <v>46218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3.2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49312-2024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45595</v>
      </c>
      <c r="E1161" s="1" t="n">
        <v>46218</v>
      </c>
      <c r="F1161" t="inlineStr">
        <is>
          <t>VÄSTERNORRLANDS LÄN</t>
        </is>
      </c>
      <c r="G1161" t="inlineStr">
        <is>
          <t>ÖRNSKÖLDSVIK</t>
        </is>
      </c>
      <c r="I1161" t="n">
        <v>7.8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52255-2025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45953</v>
      </c>
      <c r="E1162" s="1" t="n">
        <v>46218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2.1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51856-2025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45952</v>
      </c>
      <c r="E1163" s="1" t="n">
        <v>46218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5.4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21666-2025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45783</v>
      </c>
      <c r="E1164" s="1" t="n">
        <v>46218</v>
      </c>
      <c r="F1164" t="inlineStr">
        <is>
          <t>VÄSTERNORRLANDS LÄN</t>
        </is>
      </c>
      <c r="G1164" t="inlineStr">
        <is>
          <t>ÖRNSKÖLDSVIK</t>
        </is>
      </c>
      <c r="I1164" t="n">
        <v>4.2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52081-2025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45952</v>
      </c>
      <c r="E1165" s="1" t="n">
        <v>46218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2488-2022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44579</v>
      </c>
      <c r="E1166" s="1" t="n">
        <v>46218</v>
      </c>
      <c r="F1166" t="inlineStr">
        <is>
          <t>VÄSTERNORRLANDS LÄN</t>
        </is>
      </c>
      <c r="G1166" t="inlineStr">
        <is>
          <t>ÖRNSKÖLDSVIK</t>
        </is>
      </c>
      <c r="I1166" t="n">
        <v>2.3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52144-2025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45953</v>
      </c>
      <c r="E1167" s="1" t="n">
        <v>46218</v>
      </c>
      <c r="F1167" t="inlineStr">
        <is>
          <t>VÄSTERNORRLANDS LÄN</t>
        </is>
      </c>
      <c r="G1167" t="inlineStr">
        <is>
          <t>ÖRNSKÖLDSVIK</t>
        </is>
      </c>
      <c r="I1167" t="n">
        <v>17.9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14720-2025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45742</v>
      </c>
      <c r="E1168" s="1" t="n">
        <v>46218</v>
      </c>
      <c r="F1168" t="inlineStr">
        <is>
          <t>VÄSTERNORRLANDS LÄN</t>
        </is>
      </c>
      <c r="G1168" t="inlineStr">
        <is>
          <t>ÖRNSKÖLDSVIK</t>
        </is>
      </c>
      <c r="I1168" t="n">
        <v>1.1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36368-2024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45534</v>
      </c>
      <c r="E1169" s="1" t="n">
        <v>46218</v>
      </c>
      <c r="F1169" t="inlineStr">
        <is>
          <t>VÄSTERNORRLANDS LÄN</t>
        </is>
      </c>
      <c r="G1169" t="inlineStr">
        <is>
          <t>ÖRNSKÖLDSVIK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52055-2025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45952</v>
      </c>
      <c r="E1170" s="1" t="n">
        <v>46218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2.7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52140-2025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45953</v>
      </c>
      <c r="E1171" s="1" t="n">
        <v>46218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52145-2025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45953</v>
      </c>
      <c r="E1172" s="1" t="n">
        <v>46218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0.9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1416-2024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45303</v>
      </c>
      <c r="E1173" s="1" t="n">
        <v>46218</v>
      </c>
      <c r="F1173" t="inlineStr">
        <is>
          <t>VÄSTERNORRLANDS LÄN</t>
        </is>
      </c>
      <c r="G1173" t="inlineStr">
        <is>
          <t>ÖRNSKÖLDSVIK</t>
        </is>
      </c>
      <c r="I1173" t="n">
        <v>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1333-2023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44936</v>
      </c>
      <c r="E1174" s="1" t="n">
        <v>46218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1.6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28642-2022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44748</v>
      </c>
      <c r="E1175" s="1" t="n">
        <v>46218</v>
      </c>
      <c r="F1175" t="inlineStr">
        <is>
          <t>VÄSTERNORRLANDS LÄN</t>
        </is>
      </c>
      <c r="G1175" t="inlineStr">
        <is>
          <t>ÖRNSKÖLDSVIK</t>
        </is>
      </c>
      <c r="I1175" t="n">
        <v>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21777-2025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45783</v>
      </c>
      <c r="E1176" s="1" t="n">
        <v>46218</v>
      </c>
      <c r="F1176" t="inlineStr">
        <is>
          <t>VÄSTERNORRLANDS LÄN</t>
        </is>
      </c>
      <c r="G1176" t="inlineStr">
        <is>
          <t>ÖRNSKÖLDSVIK</t>
        </is>
      </c>
      <c r="I1176" t="n">
        <v>3.5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62467-2023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45267</v>
      </c>
      <c r="E1177" s="1" t="n">
        <v>46218</v>
      </c>
      <c r="F1177" t="inlineStr">
        <is>
          <t>VÄSTERNORRLANDS LÄN</t>
        </is>
      </c>
      <c r="G1177" t="inlineStr">
        <is>
          <t>ÖRNSKÖLDSVIK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45288-2024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45576</v>
      </c>
      <c r="E1178" s="1" t="n">
        <v>46218</v>
      </c>
      <c r="F1178" t="inlineStr">
        <is>
          <t>VÄSTERNORRLANDS LÄN</t>
        </is>
      </c>
      <c r="G1178" t="inlineStr">
        <is>
          <t>ÖRNSKÖLDSVIK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21521-2025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45782</v>
      </c>
      <c r="E1179" s="1" t="n">
        <v>46218</v>
      </c>
      <c r="F1179" t="inlineStr">
        <is>
          <t>VÄSTERNORRLANDS LÄN</t>
        </is>
      </c>
      <c r="G1179" t="inlineStr">
        <is>
          <t>ÖRNSKÖLDSVIK</t>
        </is>
      </c>
      <c r="I1179" t="n">
        <v>1.8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30346-2023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45111</v>
      </c>
      <c r="E1180" s="1" t="n">
        <v>46218</v>
      </c>
      <c r="F1180" t="inlineStr">
        <is>
          <t>VÄSTERNORRLANDS LÄN</t>
        </is>
      </c>
      <c r="G1180" t="inlineStr">
        <is>
          <t>ÖRNSKÖLDSVIK</t>
        </is>
      </c>
      <c r="I1180" t="n">
        <v>1.7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43009-2024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45567</v>
      </c>
      <c r="E1181" s="1" t="n">
        <v>46218</v>
      </c>
      <c r="F1181" t="inlineStr">
        <is>
          <t>VÄSTERNORRLANDS LÄN</t>
        </is>
      </c>
      <c r="G1181" t="inlineStr">
        <is>
          <t>ÖRNSKÖLDSVIK</t>
        </is>
      </c>
      <c r="I1181" t="n">
        <v>4.5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52005-2025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45952</v>
      </c>
      <c r="E1182" s="1" t="n">
        <v>46218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2.3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61342-2023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45264</v>
      </c>
      <c r="E1183" s="1" t="n">
        <v>46218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Övriga Aktiebolag</t>
        </is>
      </c>
      <c r="I1183" t="n">
        <v>4.9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21313-2025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45782</v>
      </c>
      <c r="E1184" s="1" t="n">
        <v>46218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52047-2025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45952</v>
      </c>
      <c r="E1185" s="1" t="n">
        <v>46218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Holmen skog AB</t>
        </is>
      </c>
      <c r="I1185" t="n">
        <v>2.3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4340-2024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45324</v>
      </c>
      <c r="E1186" s="1" t="n">
        <v>46218</v>
      </c>
      <c r="F1186" t="inlineStr">
        <is>
          <t>VÄSTERNORRLANDS LÄN</t>
        </is>
      </c>
      <c r="G1186" t="inlineStr">
        <is>
          <t>ÖRNSKÖLDSVIK</t>
        </is>
      </c>
      <c r="I1186" t="n">
        <v>3.4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4341-2024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45324</v>
      </c>
      <c r="E1187" s="1" t="n">
        <v>46218</v>
      </c>
      <c r="F1187" t="inlineStr">
        <is>
          <t>VÄSTERNORRLANDS LÄN</t>
        </is>
      </c>
      <c r="G1187" t="inlineStr">
        <is>
          <t>ÖRNSKÖLDSVIK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63748-2023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45277</v>
      </c>
      <c r="E1188" s="1" t="n">
        <v>46218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Övriga Aktiebolag</t>
        </is>
      </c>
      <c r="I1188" t="n">
        <v>4.6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37871-2024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45544</v>
      </c>
      <c r="E1189" s="1" t="n">
        <v>46218</v>
      </c>
      <c r="F1189" t="inlineStr">
        <is>
          <t>VÄSTERNORRLANDS LÄN</t>
        </is>
      </c>
      <c r="G1189" t="inlineStr">
        <is>
          <t>ÖRNSKÖLDSVIK</t>
        </is>
      </c>
      <c r="I1189" t="n">
        <v>2.5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52887-2025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45957</v>
      </c>
      <c r="E1190" s="1" t="n">
        <v>46218</v>
      </c>
      <c r="F1190" t="inlineStr">
        <is>
          <t>VÄSTERNORRLANDS LÄN</t>
        </is>
      </c>
      <c r="G1190" t="inlineStr">
        <is>
          <t>ÖRNSKÖLDSVIK</t>
        </is>
      </c>
      <c r="I1190" t="n">
        <v>10.1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62013-2021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44502</v>
      </c>
      <c r="E1191" s="1" t="n">
        <v>46218</v>
      </c>
      <c r="F1191" t="inlineStr">
        <is>
          <t>VÄSTERNORRLANDS LÄN</t>
        </is>
      </c>
      <c r="G1191" t="inlineStr">
        <is>
          <t>ÖRNSKÖLDSVIK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34123-2023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45135</v>
      </c>
      <c r="E1192" s="1" t="n">
        <v>46218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0.3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38661-2024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45547</v>
      </c>
      <c r="E1193" s="1" t="n">
        <v>46218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0.6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55774-2023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45239</v>
      </c>
      <c r="E1194" s="1" t="n">
        <v>46218</v>
      </c>
      <c r="F1194" t="inlineStr">
        <is>
          <t>VÄSTERNORRLANDS LÄN</t>
        </is>
      </c>
      <c r="G1194" t="inlineStr">
        <is>
          <t>ÖRNSKÖLDSVIK</t>
        </is>
      </c>
      <c r="I1194" t="n">
        <v>4.5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47948-2024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45589</v>
      </c>
      <c r="E1195" s="1" t="n">
        <v>46218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2.3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20153-2025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45772</v>
      </c>
      <c r="E1196" s="1" t="n">
        <v>46218</v>
      </c>
      <c r="F1196" t="inlineStr">
        <is>
          <t>VÄSTERNORRLANDS LÄN</t>
        </is>
      </c>
      <c r="G1196" t="inlineStr">
        <is>
          <t>ÖRNSKÖLDSVIK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24996-2024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45461</v>
      </c>
      <c r="E1197" s="1" t="n">
        <v>46218</v>
      </c>
      <c r="F1197" t="inlineStr">
        <is>
          <t>VÄSTERNORRLANDS LÄN</t>
        </is>
      </c>
      <c r="G1197" t="inlineStr">
        <is>
          <t>ÖRNSKÖLDSVIK</t>
        </is>
      </c>
      <c r="I1197" t="n">
        <v>1.3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50369-2023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45209</v>
      </c>
      <c r="E1198" s="1" t="n">
        <v>46218</v>
      </c>
      <c r="F1198" t="inlineStr">
        <is>
          <t>VÄSTERNORRLANDS LÄN</t>
        </is>
      </c>
      <c r="G1198" t="inlineStr">
        <is>
          <t>ÖRNSKÖLDSVIK</t>
        </is>
      </c>
      <c r="I1198" t="n">
        <v>1.5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27468-2023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45097</v>
      </c>
      <c r="E1199" s="1" t="n">
        <v>46218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2.1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47438-2024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45587</v>
      </c>
      <c r="E1200" s="1" t="n">
        <v>46218</v>
      </c>
      <c r="F1200" t="inlineStr">
        <is>
          <t>VÄSTERNORRLANDS LÄN</t>
        </is>
      </c>
      <c r="G1200" t="inlineStr">
        <is>
          <t>ÖRNSKÖLDSVIK</t>
        </is>
      </c>
      <c r="I1200" t="n">
        <v>11.8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31244-2023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45114</v>
      </c>
      <c r="E1201" s="1" t="n">
        <v>46218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55684-2024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45622</v>
      </c>
      <c r="E1202" s="1" t="n">
        <v>46218</v>
      </c>
      <c r="F1202" t="inlineStr">
        <is>
          <t>VÄSTERNORRLANDS LÄN</t>
        </is>
      </c>
      <c r="G1202" t="inlineStr">
        <is>
          <t>ÖRNSKÖLDSVIK</t>
        </is>
      </c>
      <c r="I1202" t="n">
        <v>2.8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21859-2025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45784</v>
      </c>
      <c r="E1203" s="1" t="n">
        <v>46218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14645-2025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45742</v>
      </c>
      <c r="E1204" s="1" t="n">
        <v>46218</v>
      </c>
      <c r="F1204" t="inlineStr">
        <is>
          <t>VÄSTERNORRLANDS LÄN</t>
        </is>
      </c>
      <c r="G1204" t="inlineStr">
        <is>
          <t>ÖRNSKÖLDSVIK</t>
        </is>
      </c>
      <c r="I1204" t="n">
        <v>1.8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52936-2025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45957</v>
      </c>
      <c r="E1205" s="1" t="n">
        <v>46218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6.3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42275-2021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44426</v>
      </c>
      <c r="E1206" s="1" t="n">
        <v>46218</v>
      </c>
      <c r="F1206" t="inlineStr">
        <is>
          <t>VÄSTERNORRLANDS LÄN</t>
        </is>
      </c>
      <c r="G1206" t="inlineStr">
        <is>
          <t>ÖRNSKÖLDSVIK</t>
        </is>
      </c>
      <c r="I1206" t="n">
        <v>1.7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52522-2025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45954</v>
      </c>
      <c r="E1207" s="1" t="n">
        <v>46218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10.7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11689-2024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45373</v>
      </c>
      <c r="E1208" s="1" t="n">
        <v>46218</v>
      </c>
      <c r="F1208" t="inlineStr">
        <is>
          <t>VÄSTERNORRLANDS LÄN</t>
        </is>
      </c>
      <c r="G1208" t="inlineStr">
        <is>
          <t>ÖRNSKÖLDSVIK</t>
        </is>
      </c>
      <c r="I1208" t="n">
        <v>2.6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52856-2025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45957</v>
      </c>
      <c r="E1209" s="1" t="n">
        <v>46218</v>
      </c>
      <c r="F1209" t="inlineStr">
        <is>
          <t>VÄSTERNORRLANDS LÄN</t>
        </is>
      </c>
      <c r="G1209" t="inlineStr">
        <is>
          <t>ÖRNSKÖLDSVIK</t>
        </is>
      </c>
      <c r="I1209" t="n">
        <v>0.5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45437-2024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45576</v>
      </c>
      <c r="E1210" s="1" t="n">
        <v>46218</v>
      </c>
      <c r="F1210" t="inlineStr">
        <is>
          <t>VÄSTERNORRLANDS LÄN</t>
        </is>
      </c>
      <c r="G1210" t="inlineStr">
        <is>
          <t>ÖRNSKÖLDSVIK</t>
        </is>
      </c>
      <c r="I1210" t="n">
        <v>6.7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52569-2025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45954</v>
      </c>
      <c r="E1211" s="1" t="n">
        <v>46218</v>
      </c>
      <c r="F1211" t="inlineStr">
        <is>
          <t>VÄSTERNORRLANDS LÄN</t>
        </is>
      </c>
      <c r="G1211" t="inlineStr">
        <is>
          <t>ÖRNSKÖLDSVIK</t>
        </is>
      </c>
      <c r="I1211" t="n">
        <v>6.6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60227-2021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44495</v>
      </c>
      <c r="E1212" s="1" t="n">
        <v>46218</v>
      </c>
      <c r="F1212" t="inlineStr">
        <is>
          <t>VÄSTERNORRLANDS LÄN</t>
        </is>
      </c>
      <c r="G1212" t="inlineStr">
        <is>
          <t>ÖRNSKÖLDSVIK</t>
        </is>
      </c>
      <c r="I1212" t="n">
        <v>9.300000000000001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40066-2023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45168</v>
      </c>
      <c r="E1213" s="1" t="n">
        <v>46218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3.6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52821-2025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45957</v>
      </c>
      <c r="E1214" s="1" t="n">
        <v>46218</v>
      </c>
      <c r="F1214" t="inlineStr">
        <is>
          <t>VÄSTERNORRLANDS LÄN</t>
        </is>
      </c>
      <c r="G1214" t="inlineStr">
        <is>
          <t>ÖRNSKÖLDSVIK</t>
        </is>
      </c>
      <c r="I1214" t="n">
        <v>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51565-2024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45604</v>
      </c>
      <c r="E1215" s="1" t="n">
        <v>46218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0.8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73763-2021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44552</v>
      </c>
      <c r="E1216" s="1" t="n">
        <v>46218</v>
      </c>
      <c r="F1216" t="inlineStr">
        <is>
          <t>VÄSTERNORRLANDS LÄN</t>
        </is>
      </c>
      <c r="G1216" t="inlineStr">
        <is>
          <t>ÖRNSKÖLDSVIK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54841-2024</t>
        </is>
      </c>
      <c r="B1217" t="inlineStr">
        <is>
          <t>avverkningsanmälan</t>
        </is>
      </c>
      <c r="C1217" t="inlineStr">
        <is>
          <t>Avverkning för annat ändamål</t>
        </is>
      </c>
      <c r="D1217" s="1" t="n">
        <v>45618</v>
      </c>
      <c r="E1217" s="1" t="n">
        <v>46218</v>
      </c>
      <c r="F1217" t="inlineStr">
        <is>
          <t>VÄSTERNORRLANDS LÄN</t>
        </is>
      </c>
      <c r="G1217" t="inlineStr">
        <is>
          <t>ÖRNSKÖLDSVIK</t>
        </is>
      </c>
      <c r="I1217" t="n">
        <v>2.8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52851-2025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45957</v>
      </c>
      <c r="E1218" s="1" t="n">
        <v>46218</v>
      </c>
      <c r="F1218" t="inlineStr">
        <is>
          <t>VÄSTERNORRLANDS LÄN</t>
        </is>
      </c>
      <c r="G1218" t="inlineStr">
        <is>
          <t>ÖRNSKÖLDSVIK</t>
        </is>
      </c>
      <c r="I1218" t="n">
        <v>6.4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52854-2025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45957</v>
      </c>
      <c r="E1219" s="1" t="n">
        <v>46218</v>
      </c>
      <c r="F1219" t="inlineStr">
        <is>
          <t>VÄSTERNORRLANDS LÄN</t>
        </is>
      </c>
      <c r="G1219" t="inlineStr">
        <is>
          <t>ÖRNSKÖLDSVIK</t>
        </is>
      </c>
      <c r="I1219" t="n">
        <v>1.1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52824-2025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45957</v>
      </c>
      <c r="E1220" s="1" t="n">
        <v>46218</v>
      </c>
      <c r="F1220" t="inlineStr">
        <is>
          <t>VÄSTERNORRLANDS LÄN</t>
        </is>
      </c>
      <c r="G1220" t="inlineStr">
        <is>
          <t>ÖRNSKÖLDSVIK</t>
        </is>
      </c>
      <c r="I1220" t="n">
        <v>1.6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12903-2022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44642</v>
      </c>
      <c r="E1221" s="1" t="n">
        <v>46218</v>
      </c>
      <c r="F1221" t="inlineStr">
        <is>
          <t>VÄSTERNORRLANDS LÄN</t>
        </is>
      </c>
      <c r="G1221" t="inlineStr">
        <is>
          <t>ÖRNSKÖLDSVIK</t>
        </is>
      </c>
      <c r="I1221" t="n">
        <v>2.2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17218-2025</t>
        </is>
      </c>
      <c r="B1222" t="inlineStr">
        <is>
          <t>avverkningsanmälan</t>
        </is>
      </c>
      <c r="C1222" t="inlineStr">
        <is>
          <t>Avverkning för annat ändamål</t>
        </is>
      </c>
      <c r="D1222" s="1" t="n">
        <v>45756</v>
      </c>
      <c r="E1222" s="1" t="n">
        <v>46218</v>
      </c>
      <c r="F1222" t="inlineStr">
        <is>
          <t>VÄSTERNORRLANDS LÄN</t>
        </is>
      </c>
      <c r="G1222" t="inlineStr">
        <is>
          <t>ÖRNSKÖLDSVIK</t>
        </is>
      </c>
      <c r="I1222" t="n">
        <v>0.2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21122-2024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45440</v>
      </c>
      <c r="E1223" s="1" t="n">
        <v>46218</v>
      </c>
      <c r="F1223" t="inlineStr">
        <is>
          <t>VÄSTERNORRLANDS LÄN</t>
        </is>
      </c>
      <c r="G1223" t="inlineStr">
        <is>
          <t>ÖRNSKÖLDSVIK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21125-2024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45440</v>
      </c>
      <c r="E1224" s="1" t="n">
        <v>46218</v>
      </c>
      <c r="F1224" t="inlineStr">
        <is>
          <t>VÄSTERNORRLANDS LÄN</t>
        </is>
      </c>
      <c r="G1224" t="inlineStr">
        <is>
          <t>ÖRNSKÖLDSVIK</t>
        </is>
      </c>
      <c r="I1224" t="n">
        <v>0.7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34847-2023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45141</v>
      </c>
      <c r="E1225" s="1" t="n">
        <v>46218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SCA</t>
        </is>
      </c>
      <c r="I1225" t="n">
        <v>4.4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61144-2023</t>
        </is>
      </c>
      <c r="B1226" t="inlineStr">
        <is>
          <t>avverkningsanmälan</t>
        </is>
      </c>
      <c r="C1226" t="inlineStr">
        <is>
          <t>Avverkning för att bevara och utveckla /försöksver</t>
        </is>
      </c>
      <c r="D1226" s="1" t="n">
        <v>45261</v>
      </c>
      <c r="E1226" s="1" t="n">
        <v>46218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SCA</t>
        </is>
      </c>
      <c r="I1226" t="n">
        <v>10.5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11749-2025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45727</v>
      </c>
      <c r="E1227" s="1" t="n">
        <v>46218</v>
      </c>
      <c r="F1227" t="inlineStr">
        <is>
          <t>VÄSTERNORRLANDS LÄN</t>
        </is>
      </c>
      <c r="G1227" t="inlineStr">
        <is>
          <t>ÖRNSKÖLDSVIK</t>
        </is>
      </c>
      <c r="I1227" t="n">
        <v>2.8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52846-2025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45957</v>
      </c>
      <c r="E1228" s="1" t="n">
        <v>46218</v>
      </c>
      <c r="F1228" t="inlineStr">
        <is>
          <t>VÄSTERNORRLANDS LÄN</t>
        </is>
      </c>
      <c r="G1228" t="inlineStr">
        <is>
          <t>ÖRNSKÖLDSVIK</t>
        </is>
      </c>
      <c r="I1228" t="n">
        <v>3.2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27703-2024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45475</v>
      </c>
      <c r="E1229" s="1" t="n">
        <v>46218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2.6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42614-2023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45176</v>
      </c>
      <c r="E1230" s="1" t="n">
        <v>46218</v>
      </c>
      <c r="F1230" t="inlineStr">
        <is>
          <t>VÄSTERNORRLANDS LÄN</t>
        </is>
      </c>
      <c r="G1230" t="inlineStr">
        <is>
          <t>ÖRNSKÖLDSVIK</t>
        </is>
      </c>
      <c r="I1230" t="n">
        <v>3.5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35578-2023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45147</v>
      </c>
      <c r="E1231" s="1" t="n">
        <v>46218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27498-2023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45097</v>
      </c>
      <c r="E1232" s="1" t="n">
        <v>46218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1.9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46350-2024</t>
        </is>
      </c>
      <c r="B1233" t="inlineStr">
        <is>
          <t>avverkningsanmälan</t>
        </is>
      </c>
      <c r="C1233" t="inlineStr">
        <is>
          <t>Avverkning för annat ändamål</t>
        </is>
      </c>
      <c r="D1233" s="1" t="n">
        <v>45582</v>
      </c>
      <c r="E1233" s="1" t="n">
        <v>46218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4.3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53321-2025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45959</v>
      </c>
      <c r="E1234" s="1" t="n">
        <v>46218</v>
      </c>
      <c r="F1234" t="inlineStr">
        <is>
          <t>VÄSTERNORRLANDS LÄN</t>
        </is>
      </c>
      <c r="G1234" t="inlineStr">
        <is>
          <t>ÖRNSKÖLDSVIK</t>
        </is>
      </c>
      <c r="I1234" t="n">
        <v>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53374-2025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45959</v>
      </c>
      <c r="E1235" s="1" t="n">
        <v>46218</v>
      </c>
      <c r="F1235" t="inlineStr">
        <is>
          <t>VÄSTERNORRLANDS LÄN</t>
        </is>
      </c>
      <c r="G1235" t="inlineStr">
        <is>
          <t>ÖRNSKÖLDSVIK</t>
        </is>
      </c>
      <c r="I1235" t="n">
        <v>2.1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25097-2024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45462</v>
      </c>
      <c r="E1236" s="1" t="n">
        <v>46218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1.7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32896-2022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44784</v>
      </c>
      <c r="E1237" s="1" t="n">
        <v>46218</v>
      </c>
      <c r="F1237" t="inlineStr">
        <is>
          <t>VÄSTERNORRLANDS LÄN</t>
        </is>
      </c>
      <c r="G1237" t="inlineStr">
        <is>
          <t>ÖRNSKÖLDSVIK</t>
        </is>
      </c>
      <c r="I1237" t="n">
        <v>1.1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34875-2024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45527</v>
      </c>
      <c r="E1238" s="1" t="n">
        <v>46218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0.6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47588-2023</t>
        </is>
      </c>
      <c r="B1239" t="inlineStr">
        <is>
          <t>avverkningsanmälan</t>
        </is>
      </c>
      <c r="C1239" t="inlineStr">
        <is>
          <t>Avverkning för annat ändamål</t>
        </is>
      </c>
      <c r="D1239" s="1" t="n">
        <v>45197</v>
      </c>
      <c r="E1239" s="1" t="n">
        <v>46218</v>
      </c>
      <c r="F1239" t="inlineStr">
        <is>
          <t>VÄSTERNORRLANDS LÄN</t>
        </is>
      </c>
      <c r="G1239" t="inlineStr">
        <is>
          <t>ÖRNSKÖLDSVIK</t>
        </is>
      </c>
      <c r="I1239" t="n">
        <v>1.8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62743-2021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44504</v>
      </c>
      <c r="E1240" s="1" t="n">
        <v>46218</v>
      </c>
      <c r="F1240" t="inlineStr">
        <is>
          <t>VÄSTERNORRLANDS LÄN</t>
        </is>
      </c>
      <c r="G1240" t="inlineStr">
        <is>
          <t>ÖRNSKÖLDSVIK</t>
        </is>
      </c>
      <c r="I1240" t="n">
        <v>0.9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35395-2023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45146</v>
      </c>
      <c r="E1241" s="1" t="n">
        <v>46218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16271-2024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45407</v>
      </c>
      <c r="E1242" s="1" t="n">
        <v>46218</v>
      </c>
      <c r="F1242" t="inlineStr">
        <is>
          <t>VÄSTERNORRLANDS LÄN</t>
        </is>
      </c>
      <c r="G1242" t="inlineStr">
        <is>
          <t>ÖRNSKÖLDSVIK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42357-2024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45562</v>
      </c>
      <c r="E1243" s="1" t="n">
        <v>46218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31-2024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45291</v>
      </c>
      <c r="E1244" s="1" t="n">
        <v>46218</v>
      </c>
      <c r="F1244" t="inlineStr">
        <is>
          <t>VÄSTERNORRLANDS LÄN</t>
        </is>
      </c>
      <c r="G1244" t="inlineStr">
        <is>
          <t>ÖRNSKÖLDSVIK</t>
        </is>
      </c>
      <c r="I1244" t="n">
        <v>2.4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24661-2024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45460</v>
      </c>
      <c r="E1245" s="1" t="n">
        <v>46218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2.2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28789-2024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45478</v>
      </c>
      <c r="E1246" s="1" t="n">
        <v>46218</v>
      </c>
      <c r="F1246" t="inlineStr">
        <is>
          <t>VÄSTERNORRLANDS LÄN</t>
        </is>
      </c>
      <c r="G1246" t="inlineStr">
        <is>
          <t>ÖRNSKÖLDSVIK</t>
        </is>
      </c>
      <c r="I1246" t="n">
        <v>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52261-2024</t>
        </is>
      </c>
      <c r="B1247" t="inlineStr">
        <is>
          <t>avverkningsanmälan</t>
        </is>
      </c>
      <c r="C1247" t="inlineStr">
        <is>
          <t>Avverkning för annat ändamål</t>
        </is>
      </c>
      <c r="D1247" s="1" t="n">
        <v>45608</v>
      </c>
      <c r="E1247" s="1" t="n">
        <v>46218</v>
      </c>
      <c r="F1247" t="inlineStr">
        <is>
          <t>VÄSTERNORRLANDS LÄN</t>
        </is>
      </c>
      <c r="G1247" t="inlineStr">
        <is>
          <t>ÖRNSKÖLDSVIK</t>
        </is>
      </c>
      <c r="I1247" t="n">
        <v>0.3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42813-2024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45566</v>
      </c>
      <c r="E1248" s="1" t="n">
        <v>46218</v>
      </c>
      <c r="F1248" t="inlineStr">
        <is>
          <t>VÄSTERNORRLANDS LÄN</t>
        </is>
      </c>
      <c r="G1248" t="inlineStr">
        <is>
          <t>ÖRNSKÖLDSVIK</t>
        </is>
      </c>
      <c r="I1248" t="n">
        <v>4.4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52264-2024</t>
        </is>
      </c>
      <c r="B1249" t="inlineStr">
        <is>
          <t>avverkningsanmälan</t>
        </is>
      </c>
      <c r="C1249" t="inlineStr">
        <is>
          <t>Avverkning för annat ändamål</t>
        </is>
      </c>
      <c r="D1249" s="1" t="n">
        <v>45608</v>
      </c>
      <c r="E1249" s="1" t="n">
        <v>46218</v>
      </c>
      <c r="F1249" t="inlineStr">
        <is>
          <t>VÄSTERNORRLANDS LÄN</t>
        </is>
      </c>
      <c r="G1249" t="inlineStr">
        <is>
          <t>ÖRNSKÖLDSVIK</t>
        </is>
      </c>
      <c r="I1249" t="n">
        <v>0.3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49222-2024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45595</v>
      </c>
      <c r="E1250" s="1" t="n">
        <v>46218</v>
      </c>
      <c r="F1250" t="inlineStr">
        <is>
          <t>VÄSTERNORRLANDS LÄN</t>
        </is>
      </c>
      <c r="G1250" t="inlineStr">
        <is>
          <t>ÖRNSKÖLDSVIK</t>
        </is>
      </c>
      <c r="I1250" t="n">
        <v>2.9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2499-2024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45313</v>
      </c>
      <c r="E1251" s="1" t="n">
        <v>46218</v>
      </c>
      <c r="F1251" t="inlineStr">
        <is>
          <t>VÄSTERNORRLANDS LÄN</t>
        </is>
      </c>
      <c r="G1251" t="inlineStr">
        <is>
          <t>ÖRNSKÖLDSVIK</t>
        </is>
      </c>
      <c r="I1251" t="n">
        <v>2.1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2541-2024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45313</v>
      </c>
      <c r="E1252" s="1" t="n">
        <v>46218</v>
      </c>
      <c r="F1252" t="inlineStr">
        <is>
          <t>VÄSTERNORRLANDS LÄN</t>
        </is>
      </c>
      <c r="G1252" t="inlineStr">
        <is>
          <t>ÖRNSKÖLDSVIK</t>
        </is>
      </c>
      <c r="I1252" t="n">
        <v>1.2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51967-2022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44872</v>
      </c>
      <c r="E1253" s="1" t="n">
        <v>46218</v>
      </c>
      <c r="F1253" t="inlineStr">
        <is>
          <t>VÄSTERNORRLANDS LÄN</t>
        </is>
      </c>
      <c r="G1253" t="inlineStr">
        <is>
          <t>ÖRNSKÖLDSVIK</t>
        </is>
      </c>
      <c r="I1253" t="n">
        <v>3.1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49843-2024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45597</v>
      </c>
      <c r="E1254" s="1" t="n">
        <v>46218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0.8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17386-2022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44678</v>
      </c>
      <c r="E1255" s="1" t="n">
        <v>46218</v>
      </c>
      <c r="F1255" t="inlineStr">
        <is>
          <t>VÄSTERNORRLANDS LÄN</t>
        </is>
      </c>
      <c r="G1255" t="inlineStr">
        <is>
          <t>ÖRNSKÖLDSVIK</t>
        </is>
      </c>
      <c r="I1255" t="n">
        <v>10.5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49868-2024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45597</v>
      </c>
      <c r="E1256" s="1" t="n">
        <v>46218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2.8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49887-2024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45597</v>
      </c>
      <c r="E1257" s="1" t="n">
        <v>46218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SCA</t>
        </is>
      </c>
      <c r="I1257" t="n">
        <v>5.7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20547-2023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45057</v>
      </c>
      <c r="E1258" s="1" t="n">
        <v>46218</v>
      </c>
      <c r="F1258" t="inlineStr">
        <is>
          <t>VÄSTERNORRLANDS LÄN</t>
        </is>
      </c>
      <c r="G1258" t="inlineStr">
        <is>
          <t>ÖRNSKÖLDSVIK</t>
        </is>
      </c>
      <c r="I1258" t="n">
        <v>0.7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20548-2023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45057</v>
      </c>
      <c r="E1259" s="1" t="n">
        <v>46218</v>
      </c>
      <c r="F1259" t="inlineStr">
        <is>
          <t>VÄSTERNORRLANDS LÄN</t>
        </is>
      </c>
      <c r="G1259" t="inlineStr">
        <is>
          <t>ÖRNSKÖLDSVIK</t>
        </is>
      </c>
      <c r="I1259" t="n">
        <v>1.3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43576-2022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44834</v>
      </c>
      <c r="E1260" s="1" t="n">
        <v>46218</v>
      </c>
      <c r="F1260" t="inlineStr">
        <is>
          <t>VÄSTERNORRLANDS LÄN</t>
        </is>
      </c>
      <c r="G1260" t="inlineStr">
        <is>
          <t>ÖRNSKÖLDSVIK</t>
        </is>
      </c>
      <c r="I1260" t="n">
        <v>6.1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53069-2025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45958</v>
      </c>
      <c r="E1261" s="1" t="n">
        <v>46218</v>
      </c>
      <c r="F1261" t="inlineStr">
        <is>
          <t>VÄSTERNORRLANDS LÄN</t>
        </is>
      </c>
      <c r="G1261" t="inlineStr">
        <is>
          <t>ÖRNSKÖLDSVIK</t>
        </is>
      </c>
      <c r="I1261" t="n">
        <v>0.6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19548-2024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45429</v>
      </c>
      <c r="E1262" s="1" t="n">
        <v>46218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2.2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37058-2023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45155</v>
      </c>
      <c r="E1263" s="1" t="n">
        <v>46218</v>
      </c>
      <c r="F1263" t="inlineStr">
        <is>
          <t>VÄSTERNORRLANDS LÄN</t>
        </is>
      </c>
      <c r="G1263" t="inlineStr">
        <is>
          <t>ÖRNSKÖLDSVIK</t>
        </is>
      </c>
      <c r="I1263" t="n">
        <v>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14403-2022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44652</v>
      </c>
      <c r="E1264" s="1" t="n">
        <v>46218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Kyrkan</t>
        </is>
      </c>
      <c r="I1264" t="n">
        <v>1.8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53653-2025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45960</v>
      </c>
      <c r="E1265" s="1" t="n">
        <v>46218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SCA</t>
        </is>
      </c>
      <c r="I1265" t="n">
        <v>1.7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3909-2025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45684</v>
      </c>
      <c r="E1266" s="1" t="n">
        <v>46218</v>
      </c>
      <c r="F1266" t="inlineStr">
        <is>
          <t>VÄSTERNORRLANDS LÄN</t>
        </is>
      </c>
      <c r="G1266" t="inlineStr">
        <is>
          <t>ÖRNSKÖLDSVIK</t>
        </is>
      </c>
      <c r="I1266" t="n">
        <v>3.4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46988-2023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45201</v>
      </c>
      <c r="E1267" s="1" t="n">
        <v>46218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2.4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58643-2023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45251</v>
      </c>
      <c r="E1268" s="1" t="n">
        <v>46218</v>
      </c>
      <c r="F1268" t="inlineStr">
        <is>
          <t>VÄSTERNORRLANDS LÄN</t>
        </is>
      </c>
      <c r="G1268" t="inlineStr">
        <is>
          <t>ÖRNSKÖLDSVIK</t>
        </is>
      </c>
      <c r="I1268" t="n">
        <v>2.4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62659-2023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45268</v>
      </c>
      <c r="E1269" s="1" t="n">
        <v>46218</v>
      </c>
      <c r="F1269" t="inlineStr">
        <is>
          <t>VÄSTERNORRLANDS LÄN</t>
        </is>
      </c>
      <c r="G1269" t="inlineStr">
        <is>
          <t>ÖRNSKÖLDSVIK</t>
        </is>
      </c>
      <c r="I1269" t="n">
        <v>0.9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42944-2024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45567</v>
      </c>
      <c r="E1270" s="1" t="n">
        <v>46218</v>
      </c>
      <c r="F1270" t="inlineStr">
        <is>
          <t>VÄSTERNORRLANDS LÄN</t>
        </is>
      </c>
      <c r="G1270" t="inlineStr">
        <is>
          <t>ÖRNSKÖLDSVIK</t>
        </is>
      </c>
      <c r="I1270" t="n">
        <v>4.3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51518-2023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45222</v>
      </c>
      <c r="E1271" s="1" t="n">
        <v>46218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0.7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19137-2023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45044</v>
      </c>
      <c r="E1272" s="1" t="n">
        <v>46218</v>
      </c>
      <c r="F1272" t="inlineStr">
        <is>
          <t>VÄSTERNORRLANDS LÄN</t>
        </is>
      </c>
      <c r="G1272" t="inlineStr">
        <is>
          <t>ÖRNSKÖLDSVIK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45951-2024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45580</v>
      </c>
      <c r="E1273" s="1" t="n">
        <v>46218</v>
      </c>
      <c r="F1273" t="inlineStr">
        <is>
          <t>VÄSTERNORRLANDS LÄN</t>
        </is>
      </c>
      <c r="G1273" t="inlineStr">
        <is>
          <t>ÖRNSKÖLDSVIK</t>
        </is>
      </c>
      <c r="I1273" t="n">
        <v>1.5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60786-2021</t>
        </is>
      </c>
      <c r="B1274" t="inlineStr">
        <is>
          <t>avverkningsanmälan</t>
        </is>
      </c>
      <c r="C1274" t="inlineStr">
        <is>
          <t>Avverkning för att bevara och utveckla /försöksver</t>
        </is>
      </c>
      <c r="D1274" s="1" t="n">
        <v>44496</v>
      </c>
      <c r="E1274" s="1" t="n">
        <v>46218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SCA</t>
        </is>
      </c>
      <c r="I1274" t="n">
        <v>7.2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53902-2025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45961</v>
      </c>
      <c r="E1275" s="1" t="n">
        <v>46218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2.4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4576-2024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45327</v>
      </c>
      <c r="E1276" s="1" t="n">
        <v>46218</v>
      </c>
      <c r="F1276" t="inlineStr">
        <is>
          <t>VÄSTERNORRLANDS LÄN</t>
        </is>
      </c>
      <c r="G1276" t="inlineStr">
        <is>
          <t>ÖRNSKÖLDSVIK</t>
        </is>
      </c>
      <c r="I1276" t="n">
        <v>1.1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16549-2023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45029</v>
      </c>
      <c r="E1277" s="1" t="n">
        <v>46218</v>
      </c>
      <c r="F1277" t="inlineStr">
        <is>
          <t>VÄSTERNORRLANDS LÄN</t>
        </is>
      </c>
      <c r="G1277" t="inlineStr">
        <is>
          <t>ÖRNSKÖLDSVIK</t>
        </is>
      </c>
      <c r="I1277" t="n">
        <v>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22858-2025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45790</v>
      </c>
      <c r="E1278" s="1" t="n">
        <v>46218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4.6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48001-2023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45204</v>
      </c>
      <c r="E1279" s="1" t="n">
        <v>46218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0.8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53799-2025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45960</v>
      </c>
      <c r="E1280" s="1" t="n">
        <v>46218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9.6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40207-2024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45554</v>
      </c>
      <c r="E1281" s="1" t="n">
        <v>46218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53922-2025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45961</v>
      </c>
      <c r="E1282" s="1" t="n">
        <v>46218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2.1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53528-2025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45960</v>
      </c>
      <c r="E1283" s="1" t="n">
        <v>46218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9.1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53675-2025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45960</v>
      </c>
      <c r="E1284" s="1" t="n">
        <v>46218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2.9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29533-2024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45484</v>
      </c>
      <c r="E1285" s="1" t="n">
        <v>46218</v>
      </c>
      <c r="F1285" t="inlineStr">
        <is>
          <t>VÄSTERNORRLANDS LÄN</t>
        </is>
      </c>
      <c r="G1285" t="inlineStr">
        <is>
          <t>ÖRNSKÖLDSVIK</t>
        </is>
      </c>
      <c r="I1285" t="n">
        <v>5.2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36247-2024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45534</v>
      </c>
      <c r="E1286" s="1" t="n">
        <v>46218</v>
      </c>
      <c r="F1286" t="inlineStr">
        <is>
          <t>VÄSTERNORRLANDS LÄN</t>
        </is>
      </c>
      <c r="G1286" t="inlineStr">
        <is>
          <t>ÖRNSKÖLDSVIK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53733-2025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45960</v>
      </c>
      <c r="E1287" s="1" t="n">
        <v>46218</v>
      </c>
      <c r="F1287" t="inlineStr">
        <is>
          <t>VÄSTERNORRLANDS LÄN</t>
        </is>
      </c>
      <c r="G1287" t="inlineStr">
        <is>
          <t>ÖRNSKÖLDSVIK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53740-2025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45960</v>
      </c>
      <c r="E1288" s="1" t="n">
        <v>46218</v>
      </c>
      <c r="F1288" t="inlineStr">
        <is>
          <t>VÄSTERNORRLANDS LÄN</t>
        </is>
      </c>
      <c r="G1288" t="inlineStr">
        <is>
          <t>ÖRNSKÖLDSVIK</t>
        </is>
      </c>
      <c r="I1288" t="n">
        <v>2.4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580-2023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44930</v>
      </c>
      <c r="E1289" s="1" t="n">
        <v>46218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Kommuner</t>
        </is>
      </c>
      <c r="I1289" t="n">
        <v>5.9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53926-2025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45961</v>
      </c>
      <c r="E1290" s="1" t="n">
        <v>46218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2.2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51297-2025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45950</v>
      </c>
      <c r="E1291" s="1" t="n">
        <v>46218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16.9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19361-2024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45429</v>
      </c>
      <c r="E1292" s="1" t="n">
        <v>46218</v>
      </c>
      <c r="F1292" t="inlineStr">
        <is>
          <t>VÄSTERNORRLANDS LÄN</t>
        </is>
      </c>
      <c r="G1292" t="inlineStr">
        <is>
          <t>ÖRNSKÖLDSVIK</t>
        </is>
      </c>
      <c r="I1292" t="n">
        <v>3.9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53934-2025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45961</v>
      </c>
      <c r="E1293" s="1" t="n">
        <v>46218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1.8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28202-2024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45477</v>
      </c>
      <c r="E1294" s="1" t="n">
        <v>46218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4.8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4654-2023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44957</v>
      </c>
      <c r="E1295" s="1" t="n">
        <v>46218</v>
      </c>
      <c r="F1295" t="inlineStr">
        <is>
          <t>VÄSTERNORRLANDS LÄN</t>
        </is>
      </c>
      <c r="G1295" t="inlineStr">
        <is>
          <t>ÖRNSKÖLDSVIK</t>
        </is>
      </c>
      <c r="I1295" t="n">
        <v>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41043-2024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45559</v>
      </c>
      <c r="E1296" s="1" t="n">
        <v>46218</v>
      </c>
      <c r="F1296" t="inlineStr">
        <is>
          <t>VÄSTERNORRLANDS LÄN</t>
        </is>
      </c>
      <c r="G1296" t="inlineStr">
        <is>
          <t>ÖRNSKÖLDSVIK</t>
        </is>
      </c>
      <c r="I1296" t="n">
        <v>1.3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34796-2023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45141</v>
      </c>
      <c r="E1297" s="1" t="n">
        <v>46218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2.7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24897-2024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45461</v>
      </c>
      <c r="E1298" s="1" t="n">
        <v>46218</v>
      </c>
      <c r="F1298" t="inlineStr">
        <is>
          <t>VÄSTERNORRLANDS LÄN</t>
        </is>
      </c>
      <c r="G1298" t="inlineStr">
        <is>
          <t>ÖRNSKÖLDSVIK</t>
        </is>
      </c>
      <c r="I1298" t="n">
        <v>2.7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59794-2024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45639</v>
      </c>
      <c r="E1299" s="1" t="n">
        <v>46218</v>
      </c>
      <c r="F1299" t="inlineStr">
        <is>
          <t>VÄSTERNORRLANDS LÄN</t>
        </is>
      </c>
      <c r="G1299" t="inlineStr">
        <is>
          <t>ÖRNSKÖLDSVIK</t>
        </is>
      </c>
      <c r="I1299" t="n">
        <v>7.1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54026-2025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45961</v>
      </c>
      <c r="E1300" s="1" t="n">
        <v>46218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3.7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22137-2024</t>
        </is>
      </c>
      <c r="B1301" t="inlineStr">
        <is>
          <t>avverkningsanmälan</t>
        </is>
      </c>
      <c r="C1301" t="inlineStr">
        <is>
          <t>Avverkning för att bevara och utveckla /försöksver</t>
        </is>
      </c>
      <c r="D1301" s="1" t="n">
        <v>45444</v>
      </c>
      <c r="E1301" s="1" t="n">
        <v>46218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SCA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35341-2022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44798</v>
      </c>
      <c r="E1302" s="1" t="n">
        <v>46218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6.5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45426-2021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44440</v>
      </c>
      <c r="E1303" s="1" t="n">
        <v>46218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7.5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2257-2025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45673</v>
      </c>
      <c r="E1304" s="1" t="n">
        <v>46218</v>
      </c>
      <c r="F1304" t="inlineStr">
        <is>
          <t>VÄSTERNORRLANDS LÄN</t>
        </is>
      </c>
      <c r="G1304" t="inlineStr">
        <is>
          <t>ÖRNSKÖLDSVIK</t>
        </is>
      </c>
      <c r="I1304" t="n">
        <v>1.6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48115-2023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45205</v>
      </c>
      <c r="E1305" s="1" t="n">
        <v>46218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2.1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10776-2024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45369</v>
      </c>
      <c r="E1306" s="1" t="n">
        <v>46218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2.8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9950-2023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44985</v>
      </c>
      <c r="E1307" s="1" t="n">
        <v>46218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54042-2025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45963</v>
      </c>
      <c r="E1308" s="1" t="n">
        <v>46218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1.7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24418-2025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45797</v>
      </c>
      <c r="E1309" s="1" t="n">
        <v>46218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SCA</t>
        </is>
      </c>
      <c r="I1309" t="n">
        <v>2.9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51668-2024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45606</v>
      </c>
      <c r="E1310" s="1" t="n">
        <v>46218</v>
      </c>
      <c r="F1310" t="inlineStr">
        <is>
          <t>VÄSTERNORRLANDS LÄN</t>
        </is>
      </c>
      <c r="G1310" t="inlineStr">
        <is>
          <t>ÖRNSKÖLDSVIK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51197-2024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45603</v>
      </c>
      <c r="E1311" s="1" t="n">
        <v>46218</v>
      </c>
      <c r="F1311" t="inlineStr">
        <is>
          <t>VÄSTERNORRLANDS LÄN</t>
        </is>
      </c>
      <c r="G1311" t="inlineStr">
        <is>
          <t>ÖRNSKÖLDSVIK</t>
        </is>
      </c>
      <c r="I1311" t="n">
        <v>0.8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61400-2024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45646</v>
      </c>
      <c r="E1312" s="1" t="n">
        <v>46218</v>
      </c>
      <c r="F1312" t="inlineStr">
        <is>
          <t>VÄSTERNORRLANDS LÄN</t>
        </is>
      </c>
      <c r="G1312" t="inlineStr">
        <is>
          <t>ÖRNSKÖLDSVIK</t>
        </is>
      </c>
      <c r="I1312" t="n">
        <v>2.5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54539-2025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45965</v>
      </c>
      <c r="E1313" s="1" t="n">
        <v>46218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6.1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49476-2023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45211</v>
      </c>
      <c r="E1314" s="1" t="n">
        <v>46218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0.7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54226-2025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45964</v>
      </c>
      <c r="E1315" s="1" t="n">
        <v>46218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4.9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10872-2025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45722</v>
      </c>
      <c r="E1316" s="1" t="n">
        <v>46218</v>
      </c>
      <c r="F1316" t="inlineStr">
        <is>
          <t>VÄSTERNORRLANDS LÄN</t>
        </is>
      </c>
      <c r="G1316" t="inlineStr">
        <is>
          <t>ÖRNSKÖLDSVIK</t>
        </is>
      </c>
      <c r="I1316" t="n">
        <v>2.5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54349-2025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45965</v>
      </c>
      <c r="E1317" s="1" t="n">
        <v>46218</v>
      </c>
      <c r="F1317" t="inlineStr">
        <is>
          <t>VÄSTERNORRLANDS LÄN</t>
        </is>
      </c>
      <c r="G1317" t="inlineStr">
        <is>
          <t>ÖRNSKÖLDSVIK</t>
        </is>
      </c>
      <c r="I1317" t="n">
        <v>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51110-2021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44461</v>
      </c>
      <c r="E1318" s="1" t="n">
        <v>46218</v>
      </c>
      <c r="F1318" t="inlineStr">
        <is>
          <t>VÄSTERNORRLANDS LÄN</t>
        </is>
      </c>
      <c r="G1318" t="inlineStr">
        <is>
          <t>ÖRNSKÖLDSVIK</t>
        </is>
      </c>
      <c r="I1318" t="n">
        <v>2.9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54688-2024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45618</v>
      </c>
      <c r="E1319" s="1" t="n">
        <v>46218</v>
      </c>
      <c r="F1319" t="inlineStr">
        <is>
          <t>VÄSTERNORRLANDS LÄN</t>
        </is>
      </c>
      <c r="G1319" t="inlineStr">
        <is>
          <t>ÖRNSKÖLDSVIK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23942-2025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45796</v>
      </c>
      <c r="E1320" s="1" t="n">
        <v>46218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1.1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53223-2022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44876</v>
      </c>
      <c r="E1321" s="1" t="n">
        <v>46218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60319-2022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44903</v>
      </c>
      <c r="E1322" s="1" t="n">
        <v>46218</v>
      </c>
      <c r="F1322" t="inlineStr">
        <is>
          <t>VÄSTERNORRLANDS LÄN</t>
        </is>
      </c>
      <c r="G1322" t="inlineStr">
        <is>
          <t>ÖRNSKÖLDSVIK</t>
        </is>
      </c>
      <c r="I1322" t="n">
        <v>1.4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56992-2024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45628</v>
      </c>
      <c r="E1323" s="1" t="n">
        <v>46218</v>
      </c>
      <c r="F1323" t="inlineStr">
        <is>
          <t>VÄSTERNORRLANDS LÄN</t>
        </is>
      </c>
      <c r="G1323" t="inlineStr">
        <is>
          <t>ÖRNSKÖLDSVIK</t>
        </is>
      </c>
      <c r="I1323" t="n">
        <v>5.3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34586-2024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45526</v>
      </c>
      <c r="E1324" s="1" t="n">
        <v>46218</v>
      </c>
      <c r="F1324" t="inlineStr">
        <is>
          <t>VÄSTERNORRLANDS LÄN</t>
        </is>
      </c>
      <c r="G1324" t="inlineStr">
        <is>
          <t>ÖRNSKÖLDSVIK</t>
        </is>
      </c>
      <c r="I1324" t="n">
        <v>2.5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30972-2023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45103</v>
      </c>
      <c r="E1325" s="1" t="n">
        <v>46218</v>
      </c>
      <c r="F1325" t="inlineStr">
        <is>
          <t>VÄSTERNORRLANDS LÄN</t>
        </is>
      </c>
      <c r="G1325" t="inlineStr">
        <is>
          <t>ÖRNSKÖLDSVIK</t>
        </is>
      </c>
      <c r="I1325" t="n">
        <v>2.1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54484-2025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45965</v>
      </c>
      <c r="E1326" s="1" t="n">
        <v>46218</v>
      </c>
      <c r="F1326" t="inlineStr">
        <is>
          <t>VÄSTERNORRLANDS LÄN</t>
        </is>
      </c>
      <c r="G1326" t="inlineStr">
        <is>
          <t>ÖRNSKÖLDSVIK</t>
        </is>
      </c>
      <c r="I1326" t="n">
        <v>6.7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54500-2025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45965</v>
      </c>
      <c r="E1327" s="1" t="n">
        <v>46218</v>
      </c>
      <c r="F1327" t="inlineStr">
        <is>
          <t>VÄSTERNORRLANDS LÄN</t>
        </is>
      </c>
      <c r="G1327" t="inlineStr">
        <is>
          <t>ÖRNSKÖLDSVIK</t>
        </is>
      </c>
      <c r="I1327" t="n">
        <v>5.4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26987-2024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45471</v>
      </c>
      <c r="E1328" s="1" t="n">
        <v>46218</v>
      </c>
      <c r="F1328" t="inlineStr">
        <is>
          <t>VÄSTERNORRLANDS LÄN</t>
        </is>
      </c>
      <c r="G1328" t="inlineStr">
        <is>
          <t>ÖRNSKÖLDSVIK</t>
        </is>
      </c>
      <c r="I1328" t="n">
        <v>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54025-2025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45961</v>
      </c>
      <c r="E1329" s="1" t="n">
        <v>46218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17639-2025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45758</v>
      </c>
      <c r="E1330" s="1" t="n">
        <v>46218</v>
      </c>
      <c r="F1330" t="inlineStr">
        <is>
          <t>VÄSTERNORRLANDS LÄN</t>
        </is>
      </c>
      <c r="G1330" t="inlineStr">
        <is>
          <t>ÖRNSKÖLDSVIK</t>
        </is>
      </c>
      <c r="I1330" t="n">
        <v>11.2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42235-2023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45180</v>
      </c>
      <c r="E1331" s="1" t="n">
        <v>46218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4.1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54511-2025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45965</v>
      </c>
      <c r="E1332" s="1" t="n">
        <v>46218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2.2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15404-2024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45401</v>
      </c>
      <c r="E1333" s="1" t="n">
        <v>46218</v>
      </c>
      <c r="F1333" t="inlineStr">
        <is>
          <t>VÄSTERNORRLANDS LÄN</t>
        </is>
      </c>
      <c r="G1333" t="inlineStr">
        <is>
          <t>ÖRNSKÖLDSVIK</t>
        </is>
      </c>
      <c r="I1333" t="n">
        <v>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10385-2023</t>
        </is>
      </c>
      <c r="B1334" t="inlineStr">
        <is>
          <t>avverkningsanmälan</t>
        </is>
      </c>
      <c r="C1334" t="inlineStr">
        <is>
          <t>Avverkning för annat ändamål</t>
        </is>
      </c>
      <c r="D1334" s="1" t="n">
        <v>44987</v>
      </c>
      <c r="E1334" s="1" t="n">
        <v>46218</v>
      </c>
      <c r="F1334" t="inlineStr">
        <is>
          <t>VÄSTERNORRLANDS LÄN</t>
        </is>
      </c>
      <c r="G1334" t="inlineStr">
        <is>
          <t>ÖRNSKÖLDSVIK</t>
        </is>
      </c>
      <c r="I1334" t="n">
        <v>0.4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10387-2023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44987</v>
      </c>
      <c r="E1335" s="1" t="n">
        <v>46218</v>
      </c>
      <c r="F1335" t="inlineStr">
        <is>
          <t>VÄSTERNORRLANDS LÄN</t>
        </is>
      </c>
      <c r="G1335" t="inlineStr">
        <is>
          <t>ÖRNSKÖLDSVIK</t>
        </is>
      </c>
      <c r="I1335" t="n">
        <v>3.2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14671-2024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45397</v>
      </c>
      <c r="E1336" s="1" t="n">
        <v>46218</v>
      </c>
      <c r="F1336" t="inlineStr">
        <is>
          <t>VÄSTERNORRLANDS LÄN</t>
        </is>
      </c>
      <c r="G1336" t="inlineStr">
        <is>
          <t>ÖRNSKÖLDSVIK</t>
        </is>
      </c>
      <c r="I1336" t="n">
        <v>1.5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48529-2023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45208</v>
      </c>
      <c r="E1337" s="1" t="n">
        <v>46218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1.4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54024-2025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45961</v>
      </c>
      <c r="E1338" s="1" t="n">
        <v>46218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1.7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19845-2024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45433</v>
      </c>
      <c r="E1339" s="1" t="n">
        <v>46218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0.4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49318-2024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45595</v>
      </c>
      <c r="E1340" s="1" t="n">
        <v>46218</v>
      </c>
      <c r="F1340" t="inlineStr">
        <is>
          <t>VÄSTERNORRLANDS LÄN</t>
        </is>
      </c>
      <c r="G1340" t="inlineStr">
        <is>
          <t>ÖRNSKÖLDSVIK</t>
        </is>
      </c>
      <c r="I1340" t="n">
        <v>2.6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21124-2024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45440</v>
      </c>
      <c r="E1341" s="1" t="n">
        <v>46218</v>
      </c>
      <c r="F1341" t="inlineStr">
        <is>
          <t>VÄSTERNORRLANDS LÄN</t>
        </is>
      </c>
      <c r="G1341" t="inlineStr">
        <is>
          <t>ÖRNSKÖLDSVIK</t>
        </is>
      </c>
      <c r="I1341" t="n">
        <v>0.7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14292-2025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45740</v>
      </c>
      <c r="E1342" s="1" t="n">
        <v>46218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SCA</t>
        </is>
      </c>
      <c r="I1342" t="n">
        <v>40.7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52065-2022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44873</v>
      </c>
      <c r="E1343" s="1" t="n">
        <v>46218</v>
      </c>
      <c r="F1343" t="inlineStr">
        <is>
          <t>VÄSTERNORRLANDS LÄN</t>
        </is>
      </c>
      <c r="G1343" t="inlineStr">
        <is>
          <t>ÖRNSKÖLDSVIK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18310-2025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45762</v>
      </c>
      <c r="E1344" s="1" t="n">
        <v>46218</v>
      </c>
      <c r="F1344" t="inlineStr">
        <is>
          <t>VÄSTERNORRLANDS LÄN</t>
        </is>
      </c>
      <c r="G1344" t="inlineStr">
        <is>
          <t>ÖRNSKÖLDSVIK</t>
        </is>
      </c>
      <c r="I1344" t="n">
        <v>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53689-2023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45230</v>
      </c>
      <c r="E1345" s="1" t="n">
        <v>46218</v>
      </c>
      <c r="F1345" t="inlineStr">
        <is>
          <t>VÄSTERNORRLANDS LÄN</t>
        </is>
      </c>
      <c r="G1345" t="inlineStr">
        <is>
          <t>ÖRNSKÖLDSVIK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48698-2024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45593</v>
      </c>
      <c r="E1346" s="1" t="n">
        <v>46218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2.3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26395-2024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45469</v>
      </c>
      <c r="E1347" s="1" t="n">
        <v>46218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2.8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60337-2022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44910</v>
      </c>
      <c r="E1348" s="1" t="n">
        <v>46218</v>
      </c>
      <c r="F1348" t="inlineStr">
        <is>
          <t>VÄSTERNORRLANDS LÄN</t>
        </is>
      </c>
      <c r="G1348" t="inlineStr">
        <is>
          <t>ÖRNSKÖLDSVIK</t>
        </is>
      </c>
      <c r="I1348" t="n">
        <v>1.5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25151-2023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45086</v>
      </c>
      <c r="E1349" s="1" t="n">
        <v>46218</v>
      </c>
      <c r="F1349" t="inlineStr">
        <is>
          <t>VÄSTERNORRLANDS LÄN</t>
        </is>
      </c>
      <c r="G1349" t="inlineStr">
        <is>
          <t>ÖRNSKÖLDSVIK</t>
        </is>
      </c>
      <c r="I1349" t="n">
        <v>3.7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34563-2024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45526</v>
      </c>
      <c r="E1350" s="1" t="n">
        <v>46218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34365-2024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45525</v>
      </c>
      <c r="E1351" s="1" t="n">
        <v>46218</v>
      </c>
      <c r="F1351" t="inlineStr">
        <is>
          <t>VÄSTERNORRLANDS LÄN</t>
        </is>
      </c>
      <c r="G1351" t="inlineStr">
        <is>
          <t>ÖRNSKÖLDSVIK</t>
        </is>
      </c>
      <c r="I1351" t="n">
        <v>1.1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24531-2023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45077</v>
      </c>
      <c r="E1352" s="1" t="n">
        <v>46218</v>
      </c>
      <c r="F1352" t="inlineStr">
        <is>
          <t>VÄSTERNORRLANDS LÄN</t>
        </is>
      </c>
      <c r="G1352" t="inlineStr">
        <is>
          <t>ÖRNSKÖLDSVIK</t>
        </is>
      </c>
      <c r="I1352" t="n">
        <v>3.2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21888-2024</t>
        </is>
      </c>
      <c r="B1353" t="inlineStr">
        <is>
          <t>avverkningsanmälan</t>
        </is>
      </c>
      <c r="C1353" t="inlineStr">
        <is>
          <t>Avverkning för annat ändamål</t>
        </is>
      </c>
      <c r="D1353" s="1" t="n">
        <v>45443</v>
      </c>
      <c r="E1353" s="1" t="n">
        <v>46218</v>
      </c>
      <c r="F1353" t="inlineStr">
        <is>
          <t>VÄSTERNORRLANDS LÄN</t>
        </is>
      </c>
      <c r="G1353" t="inlineStr">
        <is>
          <t>ÖRNSKÖLDSVIK</t>
        </is>
      </c>
      <c r="I1353" t="n">
        <v>1.1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24931-2025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45799</v>
      </c>
      <c r="E1354" s="1" t="n">
        <v>46218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0.6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28730-2023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45103</v>
      </c>
      <c r="E1355" s="1" t="n">
        <v>46218</v>
      </c>
      <c r="F1355" t="inlineStr">
        <is>
          <t>VÄSTERNORRLANDS LÄN</t>
        </is>
      </c>
      <c r="G1355" t="inlineStr">
        <is>
          <t>ÖRNSKÖLDSVIK</t>
        </is>
      </c>
      <c r="I1355" t="n">
        <v>1.7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25044-2024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45462</v>
      </c>
      <c r="E1356" s="1" t="n">
        <v>46218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8.9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39779-2021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44417</v>
      </c>
      <c r="E1357" s="1" t="n">
        <v>46218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1.7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54982-2022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44886</v>
      </c>
      <c r="E1358" s="1" t="n">
        <v>46218</v>
      </c>
      <c r="F1358" t="inlineStr">
        <is>
          <t>VÄSTERNORRLANDS LÄN</t>
        </is>
      </c>
      <c r="G1358" t="inlineStr">
        <is>
          <t>ÖRNSKÖLDSVIK</t>
        </is>
      </c>
      <c r="I1358" t="n">
        <v>3.1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34973-2024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45527</v>
      </c>
      <c r="E1359" s="1" t="n">
        <v>46218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0.1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34981-2024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45527</v>
      </c>
      <c r="E1360" s="1" t="n">
        <v>46218</v>
      </c>
      <c r="F1360" t="inlineStr">
        <is>
          <t>VÄSTERNORRLANDS LÄN</t>
        </is>
      </c>
      <c r="G1360" t="inlineStr">
        <is>
          <t>ÖRNSKÖLDSVIK</t>
        </is>
      </c>
      <c r="I1360" t="n">
        <v>1.6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54620-2025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45966</v>
      </c>
      <c r="E1361" s="1" t="n">
        <v>46218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SCA</t>
        </is>
      </c>
      <c r="I1361" t="n">
        <v>2.6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25201-2024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45462</v>
      </c>
      <c r="E1362" s="1" t="n">
        <v>46218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0.5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24854-2025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45799</v>
      </c>
      <c r="E1363" s="1" t="n">
        <v>46218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1.2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24880-2025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45799</v>
      </c>
      <c r="E1364" s="1" t="n">
        <v>46218</v>
      </c>
      <c r="F1364" t="inlineStr">
        <is>
          <t>VÄSTERNORRLANDS LÄN</t>
        </is>
      </c>
      <c r="G1364" t="inlineStr">
        <is>
          <t>ÖRNSKÖLDSVIK</t>
        </is>
      </c>
      <c r="I1364" t="n">
        <v>3.4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36863-2023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45154</v>
      </c>
      <c r="E1365" s="1" t="n">
        <v>46218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0.4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69593-2021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44532</v>
      </c>
      <c r="E1366" s="1" t="n">
        <v>46218</v>
      </c>
      <c r="F1366" t="inlineStr">
        <is>
          <t>VÄSTERNORRLANDS LÄN</t>
        </is>
      </c>
      <c r="G1366" t="inlineStr">
        <is>
          <t>ÖRNSKÖLDSVIK</t>
        </is>
      </c>
      <c r="I1366" t="n">
        <v>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15809-2024</t>
        </is>
      </c>
      <c r="B1367" t="inlineStr">
        <is>
          <t>avverkningsanmälan</t>
        </is>
      </c>
      <c r="C1367" t="inlineStr">
        <is>
          <t>Avverkning för annat ändamål</t>
        </is>
      </c>
      <c r="D1367" s="1" t="n">
        <v>45404</v>
      </c>
      <c r="E1367" s="1" t="n">
        <v>46218</v>
      </c>
      <c r="F1367" t="inlineStr">
        <is>
          <t>VÄSTERNORRLANDS LÄN</t>
        </is>
      </c>
      <c r="G1367" t="inlineStr">
        <is>
          <t>ÖRNSKÖLDSVIK</t>
        </is>
      </c>
      <c r="I1367" t="n">
        <v>0.5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9146-2025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45714</v>
      </c>
      <c r="E1368" s="1" t="n">
        <v>46218</v>
      </c>
      <c r="F1368" t="inlineStr">
        <is>
          <t>VÄSTERNORRLANDS LÄN</t>
        </is>
      </c>
      <c r="G1368" t="inlineStr">
        <is>
          <t>ÖRNSKÖLDSVIK</t>
        </is>
      </c>
      <c r="I1368" t="n">
        <v>0.5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56966-2024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45628</v>
      </c>
      <c r="E1369" s="1" t="n">
        <v>46218</v>
      </c>
      <c r="F1369" t="inlineStr">
        <is>
          <t>VÄSTERNORRLANDS LÄN</t>
        </is>
      </c>
      <c r="G1369" t="inlineStr">
        <is>
          <t>ÖRNSKÖLDSVIK</t>
        </is>
      </c>
      <c r="I1369" t="n">
        <v>1.5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47449-2022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44852</v>
      </c>
      <c r="E1370" s="1" t="n">
        <v>46218</v>
      </c>
      <c r="F1370" t="inlineStr">
        <is>
          <t>VÄSTERNORRLANDS LÄN</t>
        </is>
      </c>
      <c r="G1370" t="inlineStr">
        <is>
          <t>ÖRNSKÖLDSVIK</t>
        </is>
      </c>
      <c r="I1370" t="n">
        <v>5.8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60647-2024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45644</v>
      </c>
      <c r="E1371" s="1" t="n">
        <v>46218</v>
      </c>
      <c r="F1371" t="inlineStr">
        <is>
          <t>VÄSTERNORRLANDS LÄN</t>
        </is>
      </c>
      <c r="G1371" t="inlineStr">
        <is>
          <t>ÖRNSKÖLDSVIK</t>
        </is>
      </c>
      <c r="I1371" t="n">
        <v>6.9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25510-2025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45803</v>
      </c>
      <c r="E1372" s="1" t="n">
        <v>46218</v>
      </c>
      <c r="F1372" t="inlineStr">
        <is>
          <t>VÄSTERNORRLANDS LÄN</t>
        </is>
      </c>
      <c r="G1372" t="inlineStr">
        <is>
          <t>ÖRNSKÖLDSVIK</t>
        </is>
      </c>
      <c r="I1372" t="n">
        <v>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25506-2025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45803</v>
      </c>
      <c r="E1373" s="1" t="n">
        <v>46218</v>
      </c>
      <c r="F1373" t="inlineStr">
        <is>
          <t>VÄSTERNORRLANDS LÄN</t>
        </is>
      </c>
      <c r="G1373" t="inlineStr">
        <is>
          <t>ÖRNSKÖLDSVIK</t>
        </is>
      </c>
      <c r="I1373" t="n">
        <v>1.4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48239-2023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45205</v>
      </c>
      <c r="E1374" s="1" t="n">
        <v>46218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1.3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23644-2023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45072</v>
      </c>
      <c r="E1375" s="1" t="n">
        <v>46218</v>
      </c>
      <c r="F1375" t="inlineStr">
        <is>
          <t>VÄSTERNORRLANDS LÄN</t>
        </is>
      </c>
      <c r="G1375" t="inlineStr">
        <is>
          <t>ÖRNSKÖLDSVIK</t>
        </is>
      </c>
      <c r="I1375" t="n">
        <v>2.5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64412-2023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45280</v>
      </c>
      <c r="E1376" s="1" t="n">
        <v>46218</v>
      </c>
      <c r="F1376" t="inlineStr">
        <is>
          <t>VÄSTERNORRLANDS LÄN</t>
        </is>
      </c>
      <c r="G1376" t="inlineStr">
        <is>
          <t>ÖRNSKÖLDSVIK</t>
        </is>
      </c>
      <c r="I1376" t="n">
        <v>1.4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57309-2023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45240</v>
      </c>
      <c r="E1377" s="1" t="n">
        <v>46218</v>
      </c>
      <c r="F1377" t="inlineStr">
        <is>
          <t>VÄSTERNORRLANDS LÄN</t>
        </is>
      </c>
      <c r="G1377" t="inlineStr">
        <is>
          <t>ÖRNSKÖLDSVIK</t>
        </is>
      </c>
      <c r="I1377" t="n">
        <v>1.8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44343-2024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45573</v>
      </c>
      <c r="E1378" s="1" t="n">
        <v>46218</v>
      </c>
      <c r="F1378" t="inlineStr">
        <is>
          <t>VÄSTERNORRLANDS LÄN</t>
        </is>
      </c>
      <c r="G1378" t="inlineStr">
        <is>
          <t>ÖRNSKÖLDSVIK</t>
        </is>
      </c>
      <c r="I1378" t="n">
        <v>9.1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24483-2025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45798</v>
      </c>
      <c r="E1379" s="1" t="n">
        <v>46218</v>
      </c>
      <c r="F1379" t="inlineStr">
        <is>
          <t>VÄSTERNORRLANDS LÄN</t>
        </is>
      </c>
      <c r="G1379" t="inlineStr">
        <is>
          <t>ÖRNSKÖLDSVIK</t>
        </is>
      </c>
      <c r="I1379" t="n">
        <v>1.4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25347-2025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45800</v>
      </c>
      <c r="E1380" s="1" t="n">
        <v>46218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26429-2023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45089</v>
      </c>
      <c r="E1381" s="1" t="n">
        <v>46218</v>
      </c>
      <c r="F1381" t="inlineStr">
        <is>
          <t>VÄSTERNORRLANDS LÄN</t>
        </is>
      </c>
      <c r="G1381" t="inlineStr">
        <is>
          <t>ÖRNSKÖLDSVIK</t>
        </is>
      </c>
      <c r="I1381" t="n">
        <v>4.4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34905-2024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45527</v>
      </c>
      <c r="E1382" s="1" t="n">
        <v>46218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3.7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41589-2024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45560</v>
      </c>
      <c r="E1383" s="1" t="n">
        <v>46218</v>
      </c>
      <c r="F1383" t="inlineStr">
        <is>
          <t>VÄSTERNORRLANDS LÄN</t>
        </is>
      </c>
      <c r="G1383" t="inlineStr">
        <is>
          <t>ÖRNSKÖLDSVIK</t>
        </is>
      </c>
      <c r="I1383" t="n">
        <v>2.6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25173-2025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45800</v>
      </c>
      <c r="E1384" s="1" t="n">
        <v>46218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4.6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32549-2023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45111</v>
      </c>
      <c r="E1385" s="1" t="n">
        <v>46218</v>
      </c>
      <c r="F1385" t="inlineStr">
        <is>
          <t>VÄSTERNORRLANDS LÄN</t>
        </is>
      </c>
      <c r="G1385" t="inlineStr">
        <is>
          <t>ÖRNSKÖLDSVIK</t>
        </is>
      </c>
      <c r="I1385" t="n">
        <v>2.2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3942-2022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44587</v>
      </c>
      <c r="E1386" s="1" t="n">
        <v>46218</v>
      </c>
      <c r="F1386" t="inlineStr">
        <is>
          <t>VÄSTERNORRLANDS LÄN</t>
        </is>
      </c>
      <c r="G1386" t="inlineStr">
        <is>
          <t>ÖRNSKÖLDSVIK</t>
        </is>
      </c>
      <c r="I1386" t="n">
        <v>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73269-2021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44550</v>
      </c>
      <c r="E1387" s="1" t="n">
        <v>46218</v>
      </c>
      <c r="F1387" t="inlineStr">
        <is>
          <t>VÄSTERNORRLANDS LÄN</t>
        </is>
      </c>
      <c r="G1387" t="inlineStr">
        <is>
          <t>ÖRNSKÖLDSVIK</t>
        </is>
      </c>
      <c r="I1387" t="n">
        <v>6.6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3329-2022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44585</v>
      </c>
      <c r="E1388" s="1" t="n">
        <v>46218</v>
      </c>
      <c r="F1388" t="inlineStr">
        <is>
          <t>VÄSTERNORRLANDS LÄN</t>
        </is>
      </c>
      <c r="G1388" t="inlineStr">
        <is>
          <t>ÖRNSKÖLDSVIK</t>
        </is>
      </c>
      <c r="I1388" t="n">
        <v>7.9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48218-2023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45205</v>
      </c>
      <c r="E1389" s="1" t="n">
        <v>46218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0.8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25495-2025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45803</v>
      </c>
      <c r="E1390" s="1" t="n">
        <v>46218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5.5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25116-2025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45800</v>
      </c>
      <c r="E1391" s="1" t="n">
        <v>46218</v>
      </c>
      <c r="F1391" t="inlineStr">
        <is>
          <t>VÄSTERNORRLANDS LÄN</t>
        </is>
      </c>
      <c r="G1391" t="inlineStr">
        <is>
          <t>ÖRNSKÖLDSVIK</t>
        </is>
      </c>
      <c r="I1391" t="n">
        <v>3.3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40889-2023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45173</v>
      </c>
      <c r="E1392" s="1" t="n">
        <v>46218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55093-2025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45968</v>
      </c>
      <c r="E1393" s="1" t="n">
        <v>46218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SCA</t>
        </is>
      </c>
      <c r="I1393" t="n">
        <v>4.9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36704-2024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45537</v>
      </c>
      <c r="E1394" s="1" t="n">
        <v>46218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0.8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55408-2025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45971</v>
      </c>
      <c r="E1395" s="1" t="n">
        <v>46218</v>
      </c>
      <c r="F1395" t="inlineStr">
        <is>
          <t>VÄSTERNORRLANDS LÄN</t>
        </is>
      </c>
      <c r="G1395" t="inlineStr">
        <is>
          <t>ÖRNSKÖLDSVIK</t>
        </is>
      </c>
      <c r="I1395" t="n">
        <v>6.2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55636-2024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45622</v>
      </c>
      <c r="E1396" s="1" t="n">
        <v>46218</v>
      </c>
      <c r="F1396" t="inlineStr">
        <is>
          <t>VÄSTERNORRLANDS LÄN</t>
        </is>
      </c>
      <c r="G1396" t="inlineStr">
        <is>
          <t>ÖRNSKÖLDSVIK</t>
        </is>
      </c>
      <c r="I1396" t="n">
        <v>1.6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40172-2024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45554</v>
      </c>
      <c r="E1397" s="1" t="n">
        <v>46218</v>
      </c>
      <c r="F1397" t="inlineStr">
        <is>
          <t>VÄSTERNORRLANDS LÄN</t>
        </is>
      </c>
      <c r="G1397" t="inlineStr">
        <is>
          <t>ÖRNSKÖLDSVIK</t>
        </is>
      </c>
      <c r="I1397" t="n">
        <v>6.1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34524-2024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45525</v>
      </c>
      <c r="E1398" s="1" t="n">
        <v>46218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12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20475-2022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44699</v>
      </c>
      <c r="E1399" s="1" t="n">
        <v>46218</v>
      </c>
      <c r="F1399" t="inlineStr">
        <is>
          <t>VÄSTERNORRLANDS LÄN</t>
        </is>
      </c>
      <c r="G1399" t="inlineStr">
        <is>
          <t>ÖRNSKÖLDSVIK</t>
        </is>
      </c>
      <c r="I1399" t="n">
        <v>2.2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11286-2025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45726</v>
      </c>
      <c r="E1400" s="1" t="n">
        <v>46218</v>
      </c>
      <c r="F1400" t="inlineStr">
        <is>
          <t>VÄSTERNORRLANDS LÄN</t>
        </is>
      </c>
      <c r="G1400" t="inlineStr">
        <is>
          <t>ÖRNSKÖLDSVIK</t>
        </is>
      </c>
      <c r="I1400" t="n">
        <v>1.2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43100-2023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45182</v>
      </c>
      <c r="E1401" s="1" t="n">
        <v>46218</v>
      </c>
      <c r="F1401" t="inlineStr">
        <is>
          <t>VÄSTERNORRLANDS LÄN</t>
        </is>
      </c>
      <c r="G1401" t="inlineStr">
        <is>
          <t>ÖRNSKÖLDSVIK</t>
        </is>
      </c>
      <c r="I1401" t="n">
        <v>12.9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1790-2025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45670</v>
      </c>
      <c r="E1402" s="1" t="n">
        <v>46218</v>
      </c>
      <c r="F1402" t="inlineStr">
        <is>
          <t>VÄSTERNORRLANDS LÄN</t>
        </is>
      </c>
      <c r="G1402" t="inlineStr">
        <is>
          <t>ÖRNSKÖLDSVIK</t>
        </is>
      </c>
      <c r="I1402" t="n">
        <v>8.1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32583-2024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45513</v>
      </c>
      <c r="E1403" s="1" t="n">
        <v>46218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1.6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55402-2025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45971</v>
      </c>
      <c r="E1404" s="1" t="n">
        <v>46218</v>
      </c>
      <c r="F1404" t="inlineStr">
        <is>
          <t>VÄSTERNORRLANDS LÄN</t>
        </is>
      </c>
      <c r="G1404" t="inlineStr">
        <is>
          <t>ÖRNSKÖLDSVIK</t>
        </is>
      </c>
      <c r="I1404" t="n">
        <v>4.9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55091-2025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45968</v>
      </c>
      <c r="E1405" s="1" t="n">
        <v>46218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SCA</t>
        </is>
      </c>
      <c r="I1405" t="n">
        <v>2.5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55212-2025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45968</v>
      </c>
      <c r="E1406" s="1" t="n">
        <v>46218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1.5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55213-2025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45968</v>
      </c>
      <c r="E1407" s="1" t="n">
        <v>46218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7.8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49593-2024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45596</v>
      </c>
      <c r="E1408" s="1" t="n">
        <v>46218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55214-2025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45968</v>
      </c>
      <c r="E1409" s="1" t="n">
        <v>46218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55219-2025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45968</v>
      </c>
      <c r="E1410" s="1" t="n">
        <v>46218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55244-2025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45968</v>
      </c>
      <c r="E1411" s="1" t="n">
        <v>46218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2.3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42852-2022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44832</v>
      </c>
      <c r="E1412" s="1" t="n">
        <v>46218</v>
      </c>
      <c r="F1412" t="inlineStr">
        <is>
          <t>VÄSTERNORRLANDS LÄN</t>
        </is>
      </c>
      <c r="G1412" t="inlineStr">
        <is>
          <t>ÖRNSKÖLDSVIK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29425-2023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45106</v>
      </c>
      <c r="E1413" s="1" t="n">
        <v>46218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29428-2023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45106</v>
      </c>
      <c r="E1414" s="1" t="n">
        <v>46218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29462-2023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45106</v>
      </c>
      <c r="E1415" s="1" t="n">
        <v>46218</v>
      </c>
      <c r="F1415" t="inlineStr">
        <is>
          <t>VÄSTERNORRLANDS LÄN</t>
        </is>
      </c>
      <c r="G1415" t="inlineStr">
        <is>
          <t>ÖRNSKÖLDSVIK</t>
        </is>
      </c>
      <c r="I1415" t="n">
        <v>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29501-2023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45106</v>
      </c>
      <c r="E1416" s="1" t="n">
        <v>46218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1.7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61937-2024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45653</v>
      </c>
      <c r="E1417" s="1" t="n">
        <v>46218</v>
      </c>
      <c r="F1417" t="inlineStr">
        <is>
          <t>VÄSTERNORRLANDS LÄN</t>
        </is>
      </c>
      <c r="G1417" t="inlineStr">
        <is>
          <t>ÖRNSKÖLDSVIK</t>
        </is>
      </c>
      <c r="I1417" t="n">
        <v>22.5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44118-2024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45572</v>
      </c>
      <c r="E1418" s="1" t="n">
        <v>46218</v>
      </c>
      <c r="F1418" t="inlineStr">
        <is>
          <t>VÄSTERNORRLANDS LÄN</t>
        </is>
      </c>
      <c r="G1418" t="inlineStr">
        <is>
          <t>ÖRNSKÖLDSVIK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26334-2025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45805</v>
      </c>
      <c r="E1419" s="1" t="n">
        <v>46218</v>
      </c>
      <c r="F1419" t="inlineStr">
        <is>
          <t>VÄSTERNORRLANDS LÄN</t>
        </is>
      </c>
      <c r="G1419" t="inlineStr">
        <is>
          <t>ÖRNSKÖLDSVIK</t>
        </is>
      </c>
      <c r="I1419" t="n">
        <v>22.5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35231-2023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45145</v>
      </c>
      <c r="E1420" s="1" t="n">
        <v>46218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47757-2023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45203</v>
      </c>
      <c r="E1421" s="1" t="n">
        <v>46218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0.9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8707-2024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45356</v>
      </c>
      <c r="E1422" s="1" t="n">
        <v>46218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30542-2024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45492</v>
      </c>
      <c r="E1423" s="1" t="n">
        <v>46218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30546-2024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45492</v>
      </c>
      <c r="E1424" s="1" t="n">
        <v>46218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0.7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62019-2023</t>
        </is>
      </c>
      <c r="B1425" t="inlineStr">
        <is>
          <t>avverkningsanmälan</t>
        </is>
      </c>
      <c r="C1425" t="inlineStr">
        <is>
          <t>Avverkning för att bevara och utveckla /försöksver</t>
        </is>
      </c>
      <c r="D1425" s="1" t="n">
        <v>45266</v>
      </c>
      <c r="E1425" s="1" t="n">
        <v>46218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4.3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27026-2025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45811</v>
      </c>
      <c r="E1426" s="1" t="n">
        <v>46218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4.1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55449-2025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45971</v>
      </c>
      <c r="E1427" s="1" t="n">
        <v>46218</v>
      </c>
      <c r="F1427" t="inlineStr">
        <is>
          <t>VÄSTERNORRLANDS LÄN</t>
        </is>
      </c>
      <c r="G1427" t="inlineStr">
        <is>
          <t>ÖRNSKÖLDSVIK</t>
        </is>
      </c>
      <c r="I1427" t="n">
        <v>0.8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55488-2023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45238</v>
      </c>
      <c r="E1428" s="1" t="n">
        <v>46218</v>
      </c>
      <c r="F1428" t="inlineStr">
        <is>
          <t>VÄSTERNORRLANDS LÄN</t>
        </is>
      </c>
      <c r="G1428" t="inlineStr">
        <is>
          <t>ÖRNSKÖLDSVIK</t>
        </is>
      </c>
      <c r="I1428" t="n">
        <v>1.5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17514-2023</t>
        </is>
      </c>
      <c r="B1429" t="inlineStr">
        <is>
          <t>avverkningsanmälan</t>
        </is>
      </c>
      <c r="C1429" t="inlineStr">
        <is>
          <t>Avverkning för att bevara och utveckla /försöksver</t>
        </is>
      </c>
      <c r="D1429" s="1" t="n">
        <v>45034</v>
      </c>
      <c r="E1429" s="1" t="n">
        <v>46218</v>
      </c>
      <c r="F1429" t="inlineStr">
        <is>
          <t>VÄSTERNORRLANDS LÄN</t>
        </is>
      </c>
      <c r="G1429" t="inlineStr">
        <is>
          <t>ÖRNSKÖLDSVIK</t>
        </is>
      </c>
      <c r="I1429" t="n">
        <v>1.7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45794-2023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45195</v>
      </c>
      <c r="E1430" s="1" t="n">
        <v>46218</v>
      </c>
      <c r="F1430" t="inlineStr">
        <is>
          <t>VÄSTERNORRLANDS LÄN</t>
        </is>
      </c>
      <c r="G1430" t="inlineStr">
        <is>
          <t>ÖRNSKÖLDSVIK</t>
        </is>
      </c>
      <c r="I1430" t="n">
        <v>6.3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45824-2023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45189</v>
      </c>
      <c r="E1431" s="1" t="n">
        <v>46218</v>
      </c>
      <c r="F1431" t="inlineStr">
        <is>
          <t>VÄSTERNORRLANDS LÄN</t>
        </is>
      </c>
      <c r="G1431" t="inlineStr">
        <is>
          <t>ÖRNSKÖLDSVIK</t>
        </is>
      </c>
      <c r="I1431" t="n">
        <v>1.1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15071-2024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45399</v>
      </c>
      <c r="E1432" s="1" t="n">
        <v>46218</v>
      </c>
      <c r="F1432" t="inlineStr">
        <is>
          <t>VÄSTERNORRLANDS LÄN</t>
        </is>
      </c>
      <c r="G1432" t="inlineStr">
        <is>
          <t>ÖRNSKÖLDSVIK</t>
        </is>
      </c>
      <c r="I1432" t="n">
        <v>2.3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55204-2025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45968</v>
      </c>
      <c r="E1433" s="1" t="n">
        <v>46218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8.4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5248-2023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44959</v>
      </c>
      <c r="E1434" s="1" t="n">
        <v>46218</v>
      </c>
      <c r="F1434" t="inlineStr">
        <is>
          <t>VÄSTERNORRLANDS LÄN</t>
        </is>
      </c>
      <c r="G1434" t="inlineStr">
        <is>
          <t>ÖRNSKÖLDSVIK</t>
        </is>
      </c>
      <c r="I1434" t="n">
        <v>2.2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27033-2025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45811</v>
      </c>
      <c r="E1435" s="1" t="n">
        <v>46218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Holmen skog AB</t>
        </is>
      </c>
      <c r="I1435" t="n">
        <v>3.3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59453-2024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45638</v>
      </c>
      <c r="E1436" s="1" t="n">
        <v>46218</v>
      </c>
      <c r="F1436" t="inlineStr">
        <is>
          <t>VÄSTERNORRLANDS LÄN</t>
        </is>
      </c>
      <c r="G1436" t="inlineStr">
        <is>
          <t>ÖRNSKÖLDSVIK</t>
        </is>
      </c>
      <c r="I1436" t="n">
        <v>6.3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26917-2025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45811</v>
      </c>
      <c r="E1437" s="1" t="n">
        <v>46218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4.2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27766-2024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45475</v>
      </c>
      <c r="E1438" s="1" t="n">
        <v>46218</v>
      </c>
      <c r="F1438" t="inlineStr">
        <is>
          <t>VÄSTERNORRLANDS LÄN</t>
        </is>
      </c>
      <c r="G1438" t="inlineStr">
        <is>
          <t>ÖRNSKÖLDSVIK</t>
        </is>
      </c>
      <c r="I1438" t="n">
        <v>3.6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27197-2023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45092</v>
      </c>
      <c r="E1439" s="1" t="n">
        <v>46218</v>
      </c>
      <c r="F1439" t="inlineStr">
        <is>
          <t>VÄSTERNORRLANDS LÄN</t>
        </is>
      </c>
      <c r="G1439" t="inlineStr">
        <is>
          <t>ÖRNSKÖLDSVIK</t>
        </is>
      </c>
      <c r="I1439" t="n">
        <v>1.1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26929-2025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45811</v>
      </c>
      <c r="E1440" s="1" t="n">
        <v>46218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2.1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26950-2025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45811</v>
      </c>
      <c r="E1441" s="1" t="n">
        <v>46218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2.7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55397-2025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45971</v>
      </c>
      <c r="E1442" s="1" t="n">
        <v>46218</v>
      </c>
      <c r="F1442" t="inlineStr">
        <is>
          <t>VÄSTERNORRLANDS LÄN</t>
        </is>
      </c>
      <c r="G1442" t="inlineStr">
        <is>
          <t>ÖRNSKÖLDSVIK</t>
        </is>
      </c>
      <c r="I1442" t="n">
        <v>8.4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55466-2025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45971</v>
      </c>
      <c r="E1443" s="1" t="n">
        <v>46218</v>
      </c>
      <c r="F1443" t="inlineStr">
        <is>
          <t>VÄSTERNORRLANDS LÄN</t>
        </is>
      </c>
      <c r="G1443" t="inlineStr">
        <is>
          <t>ÖRNSKÖLDSVIK</t>
        </is>
      </c>
      <c r="I1443" t="n">
        <v>0.5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32488-2024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45513</v>
      </c>
      <c r="E1444" s="1" t="n">
        <v>46218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7608-2025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45705</v>
      </c>
      <c r="E1445" s="1" t="n">
        <v>46218</v>
      </c>
      <c r="F1445" t="inlineStr">
        <is>
          <t>VÄSTERNORRLANDS LÄN</t>
        </is>
      </c>
      <c r="G1445" t="inlineStr">
        <is>
          <t>ÖRNSKÖLDSVIK</t>
        </is>
      </c>
      <c r="I1445" t="n">
        <v>3.6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48486-2023</t>
        </is>
      </c>
      <c r="B1446" t="inlineStr">
        <is>
          <t>avverkningsanmälan</t>
        </is>
      </c>
      <c r="C1446" t="inlineStr">
        <is>
          <t>Avverkning för annat ändamål</t>
        </is>
      </c>
      <c r="D1446" s="1" t="n">
        <v>45206</v>
      </c>
      <c r="E1446" s="1" t="n">
        <v>46218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SCA</t>
        </is>
      </c>
      <c r="I1446" t="n">
        <v>8.5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55193-2025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45968</v>
      </c>
      <c r="E1447" s="1" t="n">
        <v>46218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4.7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49701-2023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45212</v>
      </c>
      <c r="E1448" s="1" t="n">
        <v>46218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11.8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37939-2024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45544</v>
      </c>
      <c r="E1449" s="1" t="n">
        <v>46218</v>
      </c>
      <c r="F1449" t="inlineStr">
        <is>
          <t>VÄSTERNORRLANDS LÄN</t>
        </is>
      </c>
      <c r="G1449" t="inlineStr">
        <is>
          <t>ÖRNSKÖLDSVIK</t>
        </is>
      </c>
      <c r="I1449" t="n">
        <v>4.7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48523-2023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45208</v>
      </c>
      <c r="E1450" s="1" t="n">
        <v>46218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0.3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42048-2022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44830</v>
      </c>
      <c r="E1451" s="1" t="n">
        <v>46218</v>
      </c>
      <c r="F1451" t="inlineStr">
        <is>
          <t>VÄSTERNORRLANDS LÄN</t>
        </is>
      </c>
      <c r="G1451" t="inlineStr">
        <is>
          <t>ÖRNSKÖLDSVIK</t>
        </is>
      </c>
      <c r="I1451" t="n">
        <v>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56306-2024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45624</v>
      </c>
      <c r="E1452" s="1" t="n">
        <v>46218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SCA</t>
        </is>
      </c>
      <c r="I1452" t="n">
        <v>3.7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24416-2024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45457</v>
      </c>
      <c r="E1453" s="1" t="n">
        <v>46218</v>
      </c>
      <c r="F1453" t="inlineStr">
        <is>
          <t>VÄSTERNORRLANDS LÄN</t>
        </is>
      </c>
      <c r="G1453" t="inlineStr">
        <is>
          <t>ÖRNSKÖLDSVIK</t>
        </is>
      </c>
      <c r="I1453" t="n">
        <v>0.8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63733-2023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45277</v>
      </c>
      <c r="E1454" s="1" t="n">
        <v>46218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Övriga Aktiebolag</t>
        </is>
      </c>
      <c r="I1454" t="n">
        <v>1.2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47752-2023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45203</v>
      </c>
      <c r="E1455" s="1" t="n">
        <v>46218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6.2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50262-2023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45216</v>
      </c>
      <c r="E1456" s="1" t="n">
        <v>46218</v>
      </c>
      <c r="F1456" t="inlineStr">
        <is>
          <t>VÄSTERNORRLANDS LÄN</t>
        </is>
      </c>
      <c r="G1456" t="inlineStr">
        <is>
          <t>ÖRNSKÖLDSVIK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62690-2021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44504</v>
      </c>
      <c r="E1457" s="1" t="n">
        <v>46218</v>
      </c>
      <c r="F1457" t="inlineStr">
        <is>
          <t>VÄSTERNORRLANDS LÄN</t>
        </is>
      </c>
      <c r="G1457" t="inlineStr">
        <is>
          <t>ÖRNSKÖLDSVIK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28472-2023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45103</v>
      </c>
      <c r="E1458" s="1" t="n">
        <v>46218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0.5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43370-2021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44432</v>
      </c>
      <c r="E1459" s="1" t="n">
        <v>46218</v>
      </c>
      <c r="F1459" t="inlineStr">
        <is>
          <t>VÄSTERNORRLANDS LÄN</t>
        </is>
      </c>
      <c r="G1459" t="inlineStr">
        <is>
          <t>ÖRNSKÖLDSVIK</t>
        </is>
      </c>
      <c r="I1459" t="n">
        <v>3.9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61327-2023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45264</v>
      </c>
      <c r="E1460" s="1" t="n">
        <v>46218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Övriga Aktiebolag</t>
        </is>
      </c>
      <c r="I1460" t="n">
        <v>4.7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14963-2023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45015</v>
      </c>
      <c r="E1461" s="1" t="n">
        <v>46218</v>
      </c>
      <c r="F1461" t="inlineStr">
        <is>
          <t>VÄSTERNORRLANDS LÄN</t>
        </is>
      </c>
      <c r="G1461" t="inlineStr">
        <is>
          <t>ÖRNSKÖLDSVIK</t>
        </is>
      </c>
      <c r="I1461" t="n">
        <v>4.9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33843-2024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45520</v>
      </c>
      <c r="E1462" s="1" t="n">
        <v>46218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2.1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51437-2024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45604</v>
      </c>
      <c r="E1463" s="1" t="n">
        <v>46218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1.7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45942-2023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45195</v>
      </c>
      <c r="E1464" s="1" t="n">
        <v>46218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SCA</t>
        </is>
      </c>
      <c r="I1464" t="n">
        <v>2.2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13225-2023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45002</v>
      </c>
      <c r="E1465" s="1" t="n">
        <v>46218</v>
      </c>
      <c r="F1465" t="inlineStr">
        <is>
          <t>VÄSTERNORRLANDS LÄN</t>
        </is>
      </c>
      <c r="G1465" t="inlineStr">
        <is>
          <t>ÖRNSKÖLDSVIK</t>
        </is>
      </c>
      <c r="I1465" t="n">
        <v>2.7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27799-2023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45098</v>
      </c>
      <c r="E1466" s="1" t="n">
        <v>46218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10.3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3437-2025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45680</v>
      </c>
      <c r="E1467" s="1" t="n">
        <v>46218</v>
      </c>
      <c r="F1467" t="inlineStr">
        <is>
          <t>VÄSTERNORRLANDS LÄN</t>
        </is>
      </c>
      <c r="G1467" t="inlineStr">
        <is>
          <t>ÖRNSKÖLDSVIK</t>
        </is>
      </c>
      <c r="I1467" t="n">
        <v>1.3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27295-2025</t>
        </is>
      </c>
      <c r="B1468" t="inlineStr">
        <is>
          <t>avverkningsanmälan</t>
        </is>
      </c>
      <c r="C1468" t="inlineStr">
        <is>
          <t>Avverkning för annat ändamål</t>
        </is>
      </c>
      <c r="D1468" s="1" t="n">
        <v>45812</v>
      </c>
      <c r="E1468" s="1" t="n">
        <v>46218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Kommuner</t>
        </is>
      </c>
      <c r="I1468" t="n">
        <v>0.2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10582-2025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45721</v>
      </c>
      <c r="E1469" s="1" t="n">
        <v>46218</v>
      </c>
      <c r="F1469" t="inlineStr">
        <is>
          <t>VÄSTERNORRLANDS LÄN</t>
        </is>
      </c>
      <c r="G1469" t="inlineStr">
        <is>
          <t>ÖRNSKÖLDSVIK</t>
        </is>
      </c>
      <c r="I1469" t="n">
        <v>0.8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55749-2025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45972</v>
      </c>
      <c r="E1470" s="1" t="n">
        <v>46218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0.8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55747-2025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45972</v>
      </c>
      <c r="E1471" s="1" t="n">
        <v>46218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3.4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56034-2025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45973</v>
      </c>
      <c r="E1472" s="1" t="n">
        <v>46218</v>
      </c>
      <c r="F1472" t="inlineStr">
        <is>
          <t>VÄSTERNORRLANDS LÄN</t>
        </is>
      </c>
      <c r="G1472" t="inlineStr">
        <is>
          <t>ÖRNSKÖLDSVIK</t>
        </is>
      </c>
      <c r="H1472" t="inlineStr">
        <is>
          <t>Holmen skog AB</t>
        </is>
      </c>
      <c r="I1472" t="n">
        <v>4.7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26895-2024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45470</v>
      </c>
      <c r="E1473" s="1" t="n">
        <v>46218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55954-2025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45973</v>
      </c>
      <c r="E1474" s="1" t="n">
        <v>46218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12.4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55960-2025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45973</v>
      </c>
      <c r="E1475" s="1" t="n">
        <v>46218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3.6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60929-2022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44908</v>
      </c>
      <c r="E1476" s="1" t="n">
        <v>46218</v>
      </c>
      <c r="F1476" t="inlineStr">
        <is>
          <t>VÄSTERNORRLANDS LÄN</t>
        </is>
      </c>
      <c r="G1476" t="inlineStr">
        <is>
          <t>ÖRNSKÖLDSVIK</t>
        </is>
      </c>
      <c r="I1476" t="n">
        <v>1.8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55994-2025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45973</v>
      </c>
      <c r="E1477" s="1" t="n">
        <v>46218</v>
      </c>
      <c r="F1477" t="inlineStr">
        <is>
          <t>VÄSTERNORRLANDS LÄN</t>
        </is>
      </c>
      <c r="G1477" t="inlineStr">
        <is>
          <t>ÖRNSKÖLDSVIK</t>
        </is>
      </c>
      <c r="I1477" t="n">
        <v>4.4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36985-2024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45539</v>
      </c>
      <c r="E1478" s="1" t="n">
        <v>46218</v>
      </c>
      <c r="F1478" t="inlineStr">
        <is>
          <t>VÄSTERNORRLANDS LÄN</t>
        </is>
      </c>
      <c r="G1478" t="inlineStr">
        <is>
          <t>ÖRNSKÖLDSVIK</t>
        </is>
      </c>
      <c r="I1478" t="n">
        <v>3.3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55937-2025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45973</v>
      </c>
      <c r="E1479" s="1" t="n">
        <v>46218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2.6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55657-2025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45972</v>
      </c>
      <c r="E1480" s="1" t="n">
        <v>46218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27368-2025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45812</v>
      </c>
      <c r="E1481" s="1" t="n">
        <v>46218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3.1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56053-2025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45973</v>
      </c>
      <c r="E1482" s="1" t="n">
        <v>46218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0.2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55779-2025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45972</v>
      </c>
      <c r="E1483" s="1" t="n">
        <v>46218</v>
      </c>
      <c r="F1483" t="inlineStr">
        <is>
          <t>VÄSTERNORRLANDS LÄN</t>
        </is>
      </c>
      <c r="G1483" t="inlineStr">
        <is>
          <t>ÖRNSKÖLDSVIK</t>
        </is>
      </c>
      <c r="I1483" t="n">
        <v>1.9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55655-2025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45972</v>
      </c>
      <c r="E1484" s="1" t="n">
        <v>46218</v>
      </c>
      <c r="F1484" t="inlineStr">
        <is>
          <t>VÄSTERNORRLANDS LÄN</t>
        </is>
      </c>
      <c r="G1484" t="inlineStr">
        <is>
          <t>ÖRNSKÖLDSVIK</t>
        </is>
      </c>
      <c r="I1484" t="n">
        <v>8.9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55659-2025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45972</v>
      </c>
      <c r="E1485" s="1" t="n">
        <v>46218</v>
      </c>
      <c r="F1485" t="inlineStr">
        <is>
          <t>VÄSTERNORRLANDS LÄN</t>
        </is>
      </c>
      <c r="G1485" t="inlineStr">
        <is>
          <t>ÖRNSKÖLDSVIK</t>
        </is>
      </c>
      <c r="I1485" t="n">
        <v>5.5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55933-2025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45973</v>
      </c>
      <c r="E1486" s="1" t="n">
        <v>46218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4.8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50687-2023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45210</v>
      </c>
      <c r="E1487" s="1" t="n">
        <v>46218</v>
      </c>
      <c r="F1487" t="inlineStr">
        <is>
          <t>VÄSTERNORRLANDS LÄN</t>
        </is>
      </c>
      <c r="G1487" t="inlineStr">
        <is>
          <t>ÖRNSKÖLDSVIK</t>
        </is>
      </c>
      <c r="I1487" t="n">
        <v>3.9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59835-2024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45638</v>
      </c>
      <c r="E1488" s="1" t="n">
        <v>46218</v>
      </c>
      <c r="F1488" t="inlineStr">
        <is>
          <t>VÄSTERNORRLANDS LÄN</t>
        </is>
      </c>
      <c r="G1488" t="inlineStr">
        <is>
          <t>ÖRNSKÖLDSVIK</t>
        </is>
      </c>
      <c r="I1488" t="n">
        <v>3.4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27539-2025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45813</v>
      </c>
      <c r="E1489" s="1" t="n">
        <v>46218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55862-2025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45973</v>
      </c>
      <c r="E1490" s="1" t="n">
        <v>46218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55904-2025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45973</v>
      </c>
      <c r="E1491" s="1" t="n">
        <v>46218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1.8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55663-2025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45972</v>
      </c>
      <c r="E1492" s="1" t="n">
        <v>46218</v>
      </c>
      <c r="F1492" t="inlineStr">
        <is>
          <t>VÄSTERNORRLANDS LÄN</t>
        </is>
      </c>
      <c r="G1492" t="inlineStr">
        <is>
          <t>ÖRNSKÖLDSVIK</t>
        </is>
      </c>
      <c r="I1492" t="n">
        <v>2.6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27401-2025</t>
        </is>
      </c>
      <c r="B1493" t="inlineStr">
        <is>
          <t>avverkningsanmälan</t>
        </is>
      </c>
      <c r="C1493" t="inlineStr">
        <is>
          <t>Avverkning för annat ändamål</t>
        </is>
      </c>
      <c r="D1493" s="1" t="n">
        <v>45812</v>
      </c>
      <c r="E1493" s="1" t="n">
        <v>46218</v>
      </c>
      <c r="F1493" t="inlineStr">
        <is>
          <t>VÄSTERNORRLANDS LÄN</t>
        </is>
      </c>
      <c r="G1493" t="inlineStr">
        <is>
          <t>ÖRNSKÖLDSVIK</t>
        </is>
      </c>
      <c r="I1493" t="n">
        <v>0.3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28547-2024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45478</v>
      </c>
      <c r="E1494" s="1" t="n">
        <v>46218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0.6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13907-2025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45737</v>
      </c>
      <c r="E1495" s="1" t="n">
        <v>46218</v>
      </c>
      <c r="F1495" t="inlineStr">
        <is>
          <t>VÄSTERNORRLANDS LÄN</t>
        </is>
      </c>
      <c r="G1495" t="inlineStr">
        <is>
          <t>ÖRNSKÖLDSVIK</t>
        </is>
      </c>
      <c r="I1495" t="n">
        <v>3.6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58120-2023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45249</v>
      </c>
      <c r="E1496" s="1" t="n">
        <v>46218</v>
      </c>
      <c r="F1496" t="inlineStr">
        <is>
          <t>VÄSTERNORRLANDS LÄN</t>
        </is>
      </c>
      <c r="G1496" t="inlineStr">
        <is>
          <t>ÖRNSKÖLDSVIK</t>
        </is>
      </c>
      <c r="I1496" t="n">
        <v>3.8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10821-2025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45722</v>
      </c>
      <c r="E1497" s="1" t="n">
        <v>46218</v>
      </c>
      <c r="F1497" t="inlineStr">
        <is>
          <t>VÄSTERNORRLANDS LÄN</t>
        </is>
      </c>
      <c r="G1497" t="inlineStr">
        <is>
          <t>ÖRNSKÖLDSVIK</t>
        </is>
      </c>
      <c r="I1497" t="n">
        <v>0.9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56496-2025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45975</v>
      </c>
      <c r="E1498" s="1" t="n">
        <v>46218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SCA</t>
        </is>
      </c>
      <c r="I1498" t="n">
        <v>2.4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56222-2025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45974</v>
      </c>
      <c r="E1499" s="1" t="n">
        <v>46218</v>
      </c>
      <c r="F1499" t="inlineStr">
        <is>
          <t>VÄSTERNORRLANDS LÄN</t>
        </is>
      </c>
      <c r="G1499" t="inlineStr">
        <is>
          <t>ÖRNSKÖLDSVIK</t>
        </is>
      </c>
      <c r="I1499" t="n">
        <v>0.6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23433-2023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45076</v>
      </c>
      <c r="E1500" s="1" t="n">
        <v>46218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3.6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57505-2022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44896</v>
      </c>
      <c r="E1501" s="1" t="n">
        <v>46218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0.5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45944-2023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45195</v>
      </c>
      <c r="E1502" s="1" t="n">
        <v>46218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SCA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9556-2024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45360</v>
      </c>
      <c r="E1503" s="1" t="n">
        <v>46218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SCA</t>
        </is>
      </c>
      <c r="I1503" t="n">
        <v>0.4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56153-2025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45974</v>
      </c>
      <c r="E1504" s="1" t="n">
        <v>46218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SCA</t>
        </is>
      </c>
      <c r="I1504" t="n">
        <v>1.3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21704-2022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44707</v>
      </c>
      <c r="E1505" s="1" t="n">
        <v>46218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SCA</t>
        </is>
      </c>
      <c r="I1505" t="n">
        <v>1.6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21707-2022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44707</v>
      </c>
      <c r="E1506" s="1" t="n">
        <v>46218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SCA</t>
        </is>
      </c>
      <c r="I1506" t="n">
        <v>1.5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56450-2025</t>
        </is>
      </c>
      <c r="B1507" t="inlineStr">
        <is>
          <t>avverkningsanmälan</t>
        </is>
      </c>
      <c r="C1507" t="inlineStr">
        <is>
          <t>Avverkning för annat ändamål</t>
        </is>
      </c>
      <c r="D1507" s="1" t="n">
        <v>45975</v>
      </c>
      <c r="E1507" s="1" t="n">
        <v>46218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2.9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38118-2022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44811</v>
      </c>
      <c r="E1508" s="1" t="n">
        <v>46218</v>
      </c>
      <c r="F1508" t="inlineStr">
        <is>
          <t>VÄSTERNORRLANDS LÄN</t>
        </is>
      </c>
      <c r="G1508" t="inlineStr">
        <is>
          <t>ÖRNSKÖLDSVIK</t>
        </is>
      </c>
      <c r="I1508" t="n">
        <v>1.2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59924-2023</t>
        </is>
      </c>
      <c r="B1509" t="inlineStr">
        <is>
          <t>avverkningsanmälan</t>
        </is>
      </c>
      <c r="C1509" t="inlineStr">
        <is>
          <t>Avverkning för att bevara och utveckla /försöksver</t>
        </is>
      </c>
      <c r="D1509" s="1" t="n">
        <v>45257</v>
      </c>
      <c r="E1509" s="1" t="n">
        <v>46218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1.5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27893-2025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45817</v>
      </c>
      <c r="E1510" s="1" t="n">
        <v>46218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9.300000000000001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60754-2023</t>
        </is>
      </c>
      <c r="B1511" t="inlineStr">
        <is>
          <t>avverkningsanmälan</t>
        </is>
      </c>
      <c r="C1511" t="inlineStr">
        <is>
          <t>Avverkning för annat ändamål</t>
        </is>
      </c>
      <c r="D1511" s="1" t="n">
        <v>45260</v>
      </c>
      <c r="E1511" s="1" t="n">
        <v>46218</v>
      </c>
      <c r="F1511" t="inlineStr">
        <is>
          <t>VÄSTERNORRLANDS LÄN</t>
        </is>
      </c>
      <c r="G1511" t="inlineStr">
        <is>
          <t>ÖRNSKÖLDSVIK</t>
        </is>
      </c>
      <c r="I1511" t="n">
        <v>0.1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27941-2025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45817</v>
      </c>
      <c r="E1512" s="1" t="n">
        <v>46218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4.1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56160-2025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45974</v>
      </c>
      <c r="E1513" s="1" t="n">
        <v>46218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11.8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31540-2024</t>
        </is>
      </c>
      <c r="B1514" t="inlineStr">
        <is>
          <t>avverkningsanmälan</t>
        </is>
      </c>
      <c r="C1514" t="inlineStr">
        <is>
          <t>Avverkning för att bevara och utveckla /försöksver</t>
        </is>
      </c>
      <c r="D1514" s="1" t="n">
        <v>45505</v>
      </c>
      <c r="E1514" s="1" t="n">
        <v>46218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SCA</t>
        </is>
      </c>
      <c r="I1514" t="n">
        <v>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56164-2025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45974</v>
      </c>
      <c r="E1515" s="1" t="n">
        <v>46218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6.1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28045-2025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45817</v>
      </c>
      <c r="E1516" s="1" t="n">
        <v>46218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0.9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47016-2024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45586</v>
      </c>
      <c r="E1517" s="1" t="n">
        <v>46218</v>
      </c>
      <c r="F1517" t="inlineStr">
        <is>
          <t>VÄSTERNORRLANDS LÄN</t>
        </is>
      </c>
      <c r="G1517" t="inlineStr">
        <is>
          <t>ÖRNSKÖLDSVIK</t>
        </is>
      </c>
      <c r="I1517" t="n">
        <v>2.8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56223-2025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45974</v>
      </c>
      <c r="E1518" s="1" t="n">
        <v>46218</v>
      </c>
      <c r="F1518" t="inlineStr">
        <is>
          <t>VÄSTERNORRLANDS LÄN</t>
        </is>
      </c>
      <c r="G1518" t="inlineStr">
        <is>
          <t>ÖRNSKÖLDSVIK</t>
        </is>
      </c>
      <c r="I1518" t="n">
        <v>0.3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42492-2024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45565</v>
      </c>
      <c r="E1519" s="1" t="n">
        <v>46218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17778-2022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44682</v>
      </c>
      <c r="E1520" s="1" t="n">
        <v>46218</v>
      </c>
      <c r="F1520" t="inlineStr">
        <is>
          <t>VÄSTERNORRLANDS LÄN</t>
        </is>
      </c>
      <c r="G1520" t="inlineStr">
        <is>
          <t>ÖRNSKÖLDSVIK</t>
        </is>
      </c>
      <c r="I1520" t="n">
        <v>15.6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56992-2025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45978</v>
      </c>
      <c r="E1521" s="1" t="n">
        <v>46218</v>
      </c>
      <c r="F1521" t="inlineStr">
        <is>
          <t>VÄSTERNORRLANDS LÄN</t>
        </is>
      </c>
      <c r="G1521" t="inlineStr">
        <is>
          <t>ÖRNSKÖLDSVIK</t>
        </is>
      </c>
      <c r="I1521" t="n">
        <v>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56764-2025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45978</v>
      </c>
      <c r="E1522" s="1" t="n">
        <v>46218</v>
      </c>
      <c r="F1522" t="inlineStr">
        <is>
          <t>VÄSTERNORRLANDS LÄN</t>
        </is>
      </c>
      <c r="G1522" t="inlineStr">
        <is>
          <t>ÖRNSKÖLDSVIK</t>
        </is>
      </c>
      <c r="I1522" t="n">
        <v>6.8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27985-2025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45817</v>
      </c>
      <c r="E1523" s="1" t="n">
        <v>46218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4.2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27010-2024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45471</v>
      </c>
      <c r="E1524" s="1" t="n">
        <v>46218</v>
      </c>
      <c r="F1524" t="inlineStr">
        <is>
          <t>VÄSTERNORRLANDS LÄN</t>
        </is>
      </c>
      <c r="G1524" t="inlineStr">
        <is>
          <t>ÖRNSKÖLDSVIK</t>
        </is>
      </c>
      <c r="I1524" t="n">
        <v>1.5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54200-2024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45616</v>
      </c>
      <c r="E1525" s="1" t="n">
        <v>46218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0.8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18470-2025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45762</v>
      </c>
      <c r="E1526" s="1" t="n">
        <v>46218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5.7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2107-2025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45672</v>
      </c>
      <c r="E1527" s="1" t="n">
        <v>46218</v>
      </c>
      <c r="F1527" t="inlineStr">
        <is>
          <t>VÄSTERNORRLANDS LÄN</t>
        </is>
      </c>
      <c r="G1527" t="inlineStr">
        <is>
          <t>ÖRNSKÖLDSVIK</t>
        </is>
      </c>
      <c r="I1527" t="n">
        <v>3.2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2112-2025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45672</v>
      </c>
      <c r="E1528" s="1" t="n">
        <v>46218</v>
      </c>
      <c r="F1528" t="inlineStr">
        <is>
          <t>VÄSTERNORRLANDS LÄN</t>
        </is>
      </c>
      <c r="G1528" t="inlineStr">
        <is>
          <t>ÖRNSKÖLDSVIK</t>
        </is>
      </c>
      <c r="I1528" t="n">
        <v>1.3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37384-2024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45540</v>
      </c>
      <c r="E1529" s="1" t="n">
        <v>46218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63510-2023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45274</v>
      </c>
      <c r="E1530" s="1" t="n">
        <v>46218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Övriga Aktiebolag</t>
        </is>
      </c>
      <c r="I1530" t="n">
        <v>6.9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61424-2024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45646</v>
      </c>
      <c r="E1531" s="1" t="n">
        <v>46218</v>
      </c>
      <c r="F1531" t="inlineStr">
        <is>
          <t>VÄSTERNORRLANDS LÄN</t>
        </is>
      </c>
      <c r="G1531" t="inlineStr">
        <is>
          <t>ÖRNSKÖLDSVIK</t>
        </is>
      </c>
      <c r="I1531" t="n">
        <v>1.3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58043-2024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45631</v>
      </c>
      <c r="E1532" s="1" t="n">
        <v>46218</v>
      </c>
      <c r="F1532" t="inlineStr">
        <is>
          <t>VÄSTERNORRLANDS LÄN</t>
        </is>
      </c>
      <c r="G1532" t="inlineStr">
        <is>
          <t>ÖRNSKÖLDSVIK</t>
        </is>
      </c>
      <c r="I1532" t="n">
        <v>5.2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32133-2023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45107</v>
      </c>
      <c r="E1533" s="1" t="n">
        <v>46218</v>
      </c>
      <c r="F1533" t="inlineStr">
        <is>
          <t>VÄSTERNORRLANDS LÄN</t>
        </is>
      </c>
      <c r="G1533" t="inlineStr">
        <is>
          <t>ÖRNSKÖLDSVIK</t>
        </is>
      </c>
      <c r="I1533" t="n">
        <v>0.7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35269-2022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44798</v>
      </c>
      <c r="E1534" s="1" t="n">
        <v>46218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Kyrkan</t>
        </is>
      </c>
      <c r="I1534" t="n">
        <v>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56995-2025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45978</v>
      </c>
      <c r="E1535" s="1" t="n">
        <v>46218</v>
      </c>
      <c r="F1535" t="inlineStr">
        <is>
          <t>VÄSTERNORRLANDS LÄN</t>
        </is>
      </c>
      <c r="G1535" t="inlineStr">
        <is>
          <t>ÖRNSKÖLDSVIK</t>
        </is>
      </c>
      <c r="I1535" t="n">
        <v>1.3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2338-2024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45310</v>
      </c>
      <c r="E1536" s="1" t="n">
        <v>46218</v>
      </c>
      <c r="F1536" t="inlineStr">
        <is>
          <t>VÄSTERNORRLANDS LÄN</t>
        </is>
      </c>
      <c r="G1536" t="inlineStr">
        <is>
          <t>ÖRNSKÖLDSVIK</t>
        </is>
      </c>
      <c r="I1536" t="n">
        <v>1.7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57056-2025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45979</v>
      </c>
      <c r="E1537" s="1" t="n">
        <v>46218</v>
      </c>
      <c r="F1537" t="inlineStr">
        <is>
          <t>VÄSTERNORRLANDS LÄN</t>
        </is>
      </c>
      <c r="G1537" t="inlineStr">
        <is>
          <t>ÖRNSKÖLDSVIK</t>
        </is>
      </c>
      <c r="I1537" t="n">
        <v>7.8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57091-2025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45979</v>
      </c>
      <c r="E1538" s="1" t="n">
        <v>46218</v>
      </c>
      <c r="F1538" t="inlineStr">
        <is>
          <t>VÄSTERNORRLANDS LÄN</t>
        </is>
      </c>
      <c r="G1538" t="inlineStr">
        <is>
          <t>ÖRNSKÖLDSVIK</t>
        </is>
      </c>
      <c r="I1538" t="n">
        <v>1.2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15449-2025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45747</v>
      </c>
      <c r="E1539" s="1" t="n">
        <v>46218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57199-2025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45979</v>
      </c>
      <c r="E1540" s="1" t="n">
        <v>46218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7.3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28509-2025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45818</v>
      </c>
      <c r="E1541" s="1" t="n">
        <v>46218</v>
      </c>
      <c r="F1541" t="inlineStr">
        <is>
          <t>VÄSTERNORRLANDS LÄN</t>
        </is>
      </c>
      <c r="G1541" t="inlineStr">
        <is>
          <t>ÖRNSKÖLDSVIK</t>
        </is>
      </c>
      <c r="I1541" t="n">
        <v>0.4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57177-2025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45979</v>
      </c>
      <c r="E1542" s="1" t="n">
        <v>46218</v>
      </c>
      <c r="F1542" t="inlineStr">
        <is>
          <t>VÄSTERNORRLANDS LÄN</t>
        </is>
      </c>
      <c r="G1542" t="inlineStr">
        <is>
          <t>ÖRNSKÖLDSVIK</t>
        </is>
      </c>
      <c r="I1542" t="n">
        <v>1.5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39635-2024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45552</v>
      </c>
      <c r="E1543" s="1" t="n">
        <v>46218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SCA</t>
        </is>
      </c>
      <c r="I1543" t="n">
        <v>1.8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46989-2024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45586</v>
      </c>
      <c r="E1544" s="1" t="n">
        <v>46218</v>
      </c>
      <c r="F1544" t="inlineStr">
        <is>
          <t>VÄSTERNORRLANDS LÄN</t>
        </is>
      </c>
      <c r="G1544" t="inlineStr">
        <is>
          <t>ÖRNSKÖLDSVIK</t>
        </is>
      </c>
      <c r="I1544" t="n">
        <v>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55520-2021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44475</v>
      </c>
      <c r="E1545" s="1" t="n">
        <v>46218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9.300000000000001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61102-2024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45645</v>
      </c>
      <c r="E1546" s="1" t="n">
        <v>46218</v>
      </c>
      <c r="F1546" t="inlineStr">
        <is>
          <t>VÄSTERNORRLANDS LÄN</t>
        </is>
      </c>
      <c r="G1546" t="inlineStr">
        <is>
          <t>ÖRNSKÖLDSVIK</t>
        </is>
      </c>
      <c r="I1546" t="n">
        <v>8.5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28146-2025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45818</v>
      </c>
      <c r="E1547" s="1" t="n">
        <v>46218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SCA</t>
        </is>
      </c>
      <c r="I1547" t="n">
        <v>1.2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56933-2025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45978</v>
      </c>
      <c r="E1548" s="1" t="n">
        <v>46218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9.300000000000001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39379-2024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45551</v>
      </c>
      <c r="E1549" s="1" t="n">
        <v>46218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2.3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66664-2021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44519</v>
      </c>
      <c r="E1550" s="1" t="n">
        <v>46218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Kommuner</t>
        </is>
      </c>
      <c r="I1550" t="n">
        <v>1.5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57573-2025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45980</v>
      </c>
      <c r="E1551" s="1" t="n">
        <v>46218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28517-2025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45819</v>
      </c>
      <c r="E1552" s="1" t="n">
        <v>46218</v>
      </c>
      <c r="F1552" t="inlineStr">
        <is>
          <t>VÄSTERNORRLANDS LÄN</t>
        </is>
      </c>
      <c r="G1552" t="inlineStr">
        <is>
          <t>ÖRNSKÖLDSVIK</t>
        </is>
      </c>
      <c r="I1552" t="n">
        <v>0.5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55972-2024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45623</v>
      </c>
      <c r="E1553" s="1" t="n">
        <v>46218</v>
      </c>
      <c r="F1553" t="inlineStr">
        <is>
          <t>VÄSTERNORRLANDS LÄN</t>
        </is>
      </c>
      <c r="G1553" t="inlineStr">
        <is>
          <t>ÖRNSKÖLDSVIK</t>
        </is>
      </c>
      <c r="I1553" t="n">
        <v>2.2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57389-2025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45980</v>
      </c>
      <c r="E1554" s="1" t="n">
        <v>46218</v>
      </c>
      <c r="F1554" t="inlineStr">
        <is>
          <t>VÄSTERNORRLANDS LÄN</t>
        </is>
      </c>
      <c r="G1554" t="inlineStr">
        <is>
          <t>ÖRNSKÖLDSVIK</t>
        </is>
      </c>
      <c r="I1554" t="n">
        <v>2.1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20488-2023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45057</v>
      </c>
      <c r="E1555" s="1" t="n">
        <v>46218</v>
      </c>
      <c r="F1555" t="inlineStr">
        <is>
          <t>VÄSTERNORRLANDS LÄN</t>
        </is>
      </c>
      <c r="G1555" t="inlineStr">
        <is>
          <t>ÖRNSKÖLDSVIK</t>
        </is>
      </c>
      <c r="I1555" t="n">
        <v>8.800000000000001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57438-2025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45980</v>
      </c>
      <c r="E1556" s="1" t="n">
        <v>46218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2.5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10985-2025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45723</v>
      </c>
      <c r="E1557" s="1" t="n">
        <v>46218</v>
      </c>
      <c r="F1557" t="inlineStr">
        <is>
          <t>VÄSTERNORRLANDS LÄN</t>
        </is>
      </c>
      <c r="G1557" t="inlineStr">
        <is>
          <t>ÖRNSKÖLDSVIK</t>
        </is>
      </c>
      <c r="I1557" t="n">
        <v>2.6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36432-2023</t>
        </is>
      </c>
      <c r="B1558" t="inlineStr">
        <is>
          <t>avverkningsanmälan</t>
        </is>
      </c>
      <c r="C1558" t="inlineStr">
        <is>
          <t>Avverkning för annat ändamål</t>
        </is>
      </c>
      <c r="D1558" s="1" t="n">
        <v>45152</v>
      </c>
      <c r="E1558" s="1" t="n">
        <v>46218</v>
      </c>
      <c r="F1558" t="inlineStr">
        <is>
          <t>VÄSTERNORRLANDS LÄN</t>
        </is>
      </c>
      <c r="G1558" t="inlineStr">
        <is>
          <t>ÖRNSKÖLDSVIK</t>
        </is>
      </c>
      <c r="I1558" t="n">
        <v>1.4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57568-2025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45980</v>
      </c>
      <c r="E1559" s="1" t="n">
        <v>46218</v>
      </c>
      <c r="F1559" t="inlineStr">
        <is>
          <t>VÄSTERNORRLANDS LÄN</t>
        </is>
      </c>
      <c r="G1559" t="inlineStr">
        <is>
          <t>ÖRNSKÖLDSVIK</t>
        </is>
      </c>
      <c r="I1559" t="n">
        <v>1.2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53976-2024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45616</v>
      </c>
      <c r="E1560" s="1" t="n">
        <v>46218</v>
      </c>
      <c r="F1560" t="inlineStr">
        <is>
          <t>VÄSTERNORRLANDS LÄN</t>
        </is>
      </c>
      <c r="G1560" t="inlineStr">
        <is>
          <t>ÖRNSKÖLDSVIK</t>
        </is>
      </c>
      <c r="I1560" t="n">
        <v>2.3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53997-2024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45616</v>
      </c>
      <c r="E1561" s="1" t="n">
        <v>46218</v>
      </c>
      <c r="F1561" t="inlineStr">
        <is>
          <t>VÄSTERNORRLANDS LÄN</t>
        </is>
      </c>
      <c r="G1561" t="inlineStr">
        <is>
          <t>ÖRNSKÖLDSVIK</t>
        </is>
      </c>
      <c r="I1561" t="n">
        <v>1.3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28239-2022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44746</v>
      </c>
      <c r="E1562" s="1" t="n">
        <v>46218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Holmen skog AB</t>
        </is>
      </c>
      <c r="I1562" t="n">
        <v>3.1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5392-2022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44594</v>
      </c>
      <c r="E1563" s="1" t="n">
        <v>46218</v>
      </c>
      <c r="F1563" t="inlineStr">
        <is>
          <t>VÄSTERNORRLANDS LÄN</t>
        </is>
      </c>
      <c r="G1563" t="inlineStr">
        <is>
          <t>ÖRNSKÖLDSVIK</t>
        </is>
      </c>
      <c r="I1563" t="n">
        <v>22.3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28799-2025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45820</v>
      </c>
      <c r="E1564" s="1" t="n">
        <v>46218</v>
      </c>
      <c r="F1564" t="inlineStr">
        <is>
          <t>VÄSTERNORRLANDS LÄN</t>
        </is>
      </c>
      <c r="G1564" t="inlineStr">
        <is>
          <t>ÖRNSKÖLDSVIK</t>
        </is>
      </c>
      <c r="H1564" t="inlineStr">
        <is>
          <t>Holmen skog AB</t>
        </is>
      </c>
      <c r="I1564" t="n">
        <v>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57619-2025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45981</v>
      </c>
      <c r="E1565" s="1" t="n">
        <v>46218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SCA</t>
        </is>
      </c>
      <c r="I1565" t="n">
        <v>0.6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57798-2025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45981</v>
      </c>
      <c r="E1566" s="1" t="n">
        <v>46218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29044-2025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45821</v>
      </c>
      <c r="E1567" s="1" t="n">
        <v>46218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24505-2025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45798</v>
      </c>
      <c r="E1568" s="1" t="n">
        <v>46218</v>
      </c>
      <c r="F1568" t="inlineStr">
        <is>
          <t>VÄSTERNORRLANDS LÄN</t>
        </is>
      </c>
      <c r="G1568" t="inlineStr">
        <is>
          <t>ÖRNSKÖLDSVIK</t>
        </is>
      </c>
      <c r="I1568" t="n">
        <v>1.2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57470-2025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45980</v>
      </c>
      <c r="E1569" s="1" t="n">
        <v>46218</v>
      </c>
      <c r="F1569" t="inlineStr">
        <is>
          <t>VÄSTERNORRLANDS LÄN</t>
        </is>
      </c>
      <c r="G1569" t="inlineStr">
        <is>
          <t>ÖRNSKÖLDSVIK</t>
        </is>
      </c>
      <c r="I1569" t="n">
        <v>5.4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57507-2025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45980</v>
      </c>
      <c r="E1570" s="1" t="n">
        <v>46218</v>
      </c>
      <c r="F1570" t="inlineStr">
        <is>
          <t>VÄSTERNORRLANDS LÄN</t>
        </is>
      </c>
      <c r="G1570" t="inlineStr">
        <is>
          <t>ÖRNSKÖLDSVIK</t>
        </is>
      </c>
      <c r="I1570" t="n">
        <v>3.2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29006-2025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45821</v>
      </c>
      <c r="E1571" s="1" t="n">
        <v>46218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2.2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45250-2024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45576</v>
      </c>
      <c r="E1572" s="1" t="n">
        <v>46218</v>
      </c>
      <c r="F1572" t="inlineStr">
        <is>
          <t>VÄSTERNORRLANDS LÄN</t>
        </is>
      </c>
      <c r="G1572" t="inlineStr">
        <is>
          <t>ÖRNSKÖLDSVIK</t>
        </is>
      </c>
      <c r="I1572" t="n">
        <v>18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45269-2024</t>
        </is>
      </c>
      <c r="B1573" t="inlineStr">
        <is>
          <t>avverkningsanmälan</t>
        </is>
      </c>
      <c r="C1573" t="inlineStr">
        <is>
          <t>Avverkning för annat ändamål</t>
        </is>
      </c>
      <c r="D1573" s="1" t="n">
        <v>45576</v>
      </c>
      <c r="E1573" s="1" t="n">
        <v>46218</v>
      </c>
      <c r="F1573" t="inlineStr">
        <is>
          <t>VÄSTERNORRLANDS LÄN</t>
        </is>
      </c>
      <c r="G1573" t="inlineStr">
        <is>
          <t>ÖRNSKÖLDSVIK</t>
        </is>
      </c>
      <c r="I1573" t="n">
        <v>2.3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29058-2025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45821</v>
      </c>
      <c r="E1574" s="1" t="n">
        <v>46218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2.1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57574-2025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45980</v>
      </c>
      <c r="E1575" s="1" t="n">
        <v>46218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4.1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57475-2025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45980</v>
      </c>
      <c r="E1576" s="1" t="n">
        <v>46218</v>
      </c>
      <c r="F1576" t="inlineStr">
        <is>
          <t>VÄSTERNORRLANDS LÄN</t>
        </is>
      </c>
      <c r="G1576" t="inlineStr">
        <is>
          <t>ÖRNSKÖLDSVIK</t>
        </is>
      </c>
      <c r="I1576" t="n">
        <v>6.5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61872-2021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44502</v>
      </c>
      <c r="E1577" s="1" t="n">
        <v>46218</v>
      </c>
      <c r="F1577" t="inlineStr">
        <is>
          <t>VÄSTERNORRLANDS LÄN</t>
        </is>
      </c>
      <c r="G1577" t="inlineStr">
        <is>
          <t>ÖRNSKÖLDSVIK</t>
        </is>
      </c>
      <c r="I1577" t="n">
        <v>1.2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43138-2024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45567</v>
      </c>
      <c r="E1578" s="1" t="n">
        <v>46218</v>
      </c>
      <c r="F1578" t="inlineStr">
        <is>
          <t>VÄSTERNORRLANDS LÄN</t>
        </is>
      </c>
      <c r="G1578" t="inlineStr">
        <is>
          <t>ÖRNSKÖLDSVIK</t>
        </is>
      </c>
      <c r="I1578" t="n">
        <v>4.1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61362-2023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45264</v>
      </c>
      <c r="E1579" s="1" t="n">
        <v>46218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Övriga Aktiebolag</t>
        </is>
      </c>
      <c r="I1579" t="n">
        <v>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29053-2025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45821</v>
      </c>
      <c r="E1580" s="1" t="n">
        <v>46218</v>
      </c>
      <c r="F1580" t="inlineStr">
        <is>
          <t>VÄSTERNORRLANDS LÄN</t>
        </is>
      </c>
      <c r="G1580" t="inlineStr">
        <is>
          <t>ÖRNSKÖLDSVIK</t>
        </is>
      </c>
      <c r="I1580" t="n">
        <v>1.1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29796-2025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45825</v>
      </c>
      <c r="E1581" s="1" t="n">
        <v>46218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6.7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42762-2022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44832</v>
      </c>
      <c r="E1582" s="1" t="n">
        <v>46218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14.6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32756-2022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44783</v>
      </c>
      <c r="E1583" s="1" t="n">
        <v>46218</v>
      </c>
      <c r="F1583" t="inlineStr">
        <is>
          <t>VÄSTERNORRLANDS LÄN</t>
        </is>
      </c>
      <c r="G1583" t="inlineStr">
        <is>
          <t>ÖRNSKÖLDSVIK</t>
        </is>
      </c>
      <c r="I1583" t="n">
        <v>3.9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54000-2024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45616</v>
      </c>
      <c r="E1584" s="1" t="n">
        <v>46218</v>
      </c>
      <c r="F1584" t="inlineStr">
        <is>
          <t>VÄSTERNORRLANDS LÄN</t>
        </is>
      </c>
      <c r="G1584" t="inlineStr">
        <is>
          <t>ÖRNSKÖLDSVIK</t>
        </is>
      </c>
      <c r="I1584" t="n">
        <v>1.3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52326-2024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45609</v>
      </c>
      <c r="E1585" s="1" t="n">
        <v>46218</v>
      </c>
      <c r="F1585" t="inlineStr">
        <is>
          <t>VÄSTERNORRLANDS LÄN</t>
        </is>
      </c>
      <c r="G1585" t="inlineStr">
        <is>
          <t>ÖRNSKÖLDSVIK</t>
        </is>
      </c>
      <c r="I1585" t="n">
        <v>1.7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54561-2024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45617</v>
      </c>
      <c r="E1586" s="1" t="n">
        <v>46218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29223-2025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45824</v>
      </c>
      <c r="E1587" s="1" t="n">
        <v>46218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1.8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37150-2023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45155</v>
      </c>
      <c r="E1588" s="1" t="n">
        <v>46218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Holmen skog AB</t>
        </is>
      </c>
      <c r="I1588" t="n">
        <v>1.9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44631-2024</t>
        </is>
      </c>
      <c r="B1589" t="inlineStr">
        <is>
          <t>avverkningsanmälan</t>
        </is>
      </c>
      <c r="C1589" t="inlineStr">
        <is>
          <t>Avverkning för att bevara och utveckla /försöksver</t>
        </is>
      </c>
      <c r="D1589" s="1" t="n">
        <v>45574</v>
      </c>
      <c r="E1589" s="1" t="n">
        <v>46218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SCA</t>
        </is>
      </c>
      <c r="I1589" t="n">
        <v>1.2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48202-2023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45205</v>
      </c>
      <c r="E1590" s="1" t="n">
        <v>46218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5.4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7739-2025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45706</v>
      </c>
      <c r="E1591" s="1" t="n">
        <v>46218</v>
      </c>
      <c r="F1591" t="inlineStr">
        <is>
          <t>VÄSTERNORRLANDS LÄN</t>
        </is>
      </c>
      <c r="G1591" t="inlineStr">
        <is>
          <t>ÖRNSKÖLDSVIK</t>
        </is>
      </c>
      <c r="I1591" t="n">
        <v>1.2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29590-2025</t>
        </is>
      </c>
      <c r="B1592" t="inlineStr">
        <is>
          <t>avverkningsanmälan</t>
        </is>
      </c>
      <c r="C1592" t="inlineStr">
        <is>
          <t>Avverkning för annat ändamål</t>
        </is>
      </c>
      <c r="D1592" s="1" t="n">
        <v>45825</v>
      </c>
      <c r="E1592" s="1" t="n">
        <v>46218</v>
      </c>
      <c r="F1592" t="inlineStr">
        <is>
          <t>VÄSTERNORRLANDS LÄN</t>
        </is>
      </c>
      <c r="G1592" t="inlineStr">
        <is>
          <t>ÖRNSKÖLDSVIK</t>
        </is>
      </c>
      <c r="I1592" t="n">
        <v>1.1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30226-2024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45489</v>
      </c>
      <c r="E1593" s="1" t="n">
        <v>46218</v>
      </c>
      <c r="F1593" t="inlineStr">
        <is>
          <t>VÄSTERNORRLANDS LÄN</t>
        </is>
      </c>
      <c r="G1593" t="inlineStr">
        <is>
          <t>ÖRNSKÖLDSVIK</t>
        </is>
      </c>
      <c r="I1593" t="n">
        <v>1.8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36255-2024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45534</v>
      </c>
      <c r="E1594" s="1" t="n">
        <v>46218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0.5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48441-2023</t>
        </is>
      </c>
      <c r="B1595" t="inlineStr">
        <is>
          <t>avverkningsanmälan</t>
        </is>
      </c>
      <c r="C1595" t="inlineStr">
        <is>
          <t>Avverkning för annat ändamål</t>
        </is>
      </c>
      <c r="D1595" s="1" t="n">
        <v>45205</v>
      </c>
      <c r="E1595" s="1" t="n">
        <v>46218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SCA</t>
        </is>
      </c>
      <c r="I1595" t="n">
        <v>7.7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53259-2023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45229</v>
      </c>
      <c r="E1596" s="1" t="n">
        <v>46218</v>
      </c>
      <c r="F1596" t="inlineStr">
        <is>
          <t>VÄSTERNORRLANDS LÄN</t>
        </is>
      </c>
      <c r="G1596" t="inlineStr">
        <is>
          <t>ÖRNSKÖLDSVIK</t>
        </is>
      </c>
      <c r="I1596" t="n">
        <v>2.2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10100-2023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44985</v>
      </c>
      <c r="E1597" s="1" t="n">
        <v>46218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SCA</t>
        </is>
      </c>
      <c r="I1597" t="n">
        <v>2.6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20378-2026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46139</v>
      </c>
      <c r="E1598" s="1" t="n">
        <v>46218</v>
      </c>
      <c r="F1598" t="inlineStr">
        <is>
          <t>VÄSTERNORRLANDS LÄN</t>
        </is>
      </c>
      <c r="G1598" t="inlineStr">
        <is>
          <t>ÖRNSKÖLDSVIK</t>
        </is>
      </c>
      <c r="I1598" t="n">
        <v>4.4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58124-2025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45982</v>
      </c>
      <c r="E1599" s="1" t="n">
        <v>46218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1.2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29969-2025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45826</v>
      </c>
      <c r="E1600" s="1" t="n">
        <v>46218</v>
      </c>
      <c r="F1600" t="inlineStr">
        <is>
          <t>VÄSTERNORRLANDS LÄN</t>
        </is>
      </c>
      <c r="G1600" t="inlineStr">
        <is>
          <t>ÖRNSKÖLDSVIK</t>
        </is>
      </c>
      <c r="I1600" t="n">
        <v>1.5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25939-2026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46181</v>
      </c>
      <c r="E1601" s="1" t="n">
        <v>46218</v>
      </c>
      <c r="F1601" t="inlineStr">
        <is>
          <t>VÄSTERNORRLANDS LÄN</t>
        </is>
      </c>
      <c r="G1601" t="inlineStr">
        <is>
          <t>ÖRNSKÖLDSVIK</t>
        </is>
      </c>
      <c r="I1601" t="n">
        <v>2.2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58195-2025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45983</v>
      </c>
      <c r="E1602" s="1" t="n">
        <v>46218</v>
      </c>
      <c r="F1602" t="inlineStr">
        <is>
          <t>VÄSTERNORRLANDS LÄN</t>
        </is>
      </c>
      <c r="G1602" t="inlineStr">
        <is>
          <t>ÖRNSKÖLDSVIK</t>
        </is>
      </c>
      <c r="I1602" t="n">
        <v>1.8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57294-2023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45245</v>
      </c>
      <c r="E1603" s="1" t="n">
        <v>46218</v>
      </c>
      <c r="F1603" t="inlineStr">
        <is>
          <t>VÄSTERNORRLANDS LÄN</t>
        </is>
      </c>
      <c r="G1603" t="inlineStr">
        <is>
          <t>ÖRNSKÖLDSVIK</t>
        </is>
      </c>
      <c r="I1603" t="n">
        <v>0.4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30612-2025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45831</v>
      </c>
      <c r="E1604" s="1" t="n">
        <v>46218</v>
      </c>
      <c r="F1604" t="inlineStr">
        <is>
          <t>VÄSTERNORRLANDS LÄN</t>
        </is>
      </c>
      <c r="G1604" t="inlineStr">
        <is>
          <t>ÖRNSKÖLDSVIK</t>
        </is>
      </c>
      <c r="I1604" t="n">
        <v>0.8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30727-2025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45831</v>
      </c>
      <c r="E1605" s="1" t="n">
        <v>46218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8.1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30742-2025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45831</v>
      </c>
      <c r="E1606" s="1" t="n">
        <v>46218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1.6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44083-2022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44839</v>
      </c>
      <c r="E1607" s="1" t="n">
        <v>46218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1.3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66504-2021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44517</v>
      </c>
      <c r="E1608" s="1" t="n">
        <v>46218</v>
      </c>
      <c r="F1608" t="inlineStr">
        <is>
          <t>VÄSTERNORRLANDS LÄN</t>
        </is>
      </c>
      <c r="G1608" t="inlineStr">
        <is>
          <t>ÖRNSKÖLDSVIK</t>
        </is>
      </c>
      <c r="I1608" t="n">
        <v>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36726-2023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45153</v>
      </c>
      <c r="E1609" s="1" t="n">
        <v>46218</v>
      </c>
      <c r="F1609" t="inlineStr">
        <is>
          <t>VÄSTERNORRLANDS LÄN</t>
        </is>
      </c>
      <c r="G1609" t="inlineStr">
        <is>
          <t>ÖRNSKÖLDSVIK</t>
        </is>
      </c>
      <c r="I1609" t="n">
        <v>5.1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30671-2025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45831</v>
      </c>
      <c r="E1610" s="1" t="n">
        <v>46218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0.5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49056-2022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44860</v>
      </c>
      <c r="E1611" s="1" t="n">
        <v>46218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4.2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34013-2023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45124</v>
      </c>
      <c r="E1612" s="1" t="n">
        <v>46218</v>
      </c>
      <c r="F1612" t="inlineStr">
        <is>
          <t>VÄSTERNORRLANDS LÄN</t>
        </is>
      </c>
      <c r="G1612" t="inlineStr">
        <is>
          <t>ÖRNSKÖLDSVIK</t>
        </is>
      </c>
      <c r="I1612" t="n">
        <v>1.4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30895-2025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45832</v>
      </c>
      <c r="E1613" s="1" t="n">
        <v>46218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2.5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31193-2025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45832</v>
      </c>
      <c r="E1614" s="1" t="n">
        <v>46218</v>
      </c>
      <c r="F1614" t="inlineStr">
        <is>
          <t>VÄSTERNORRLANDS LÄN</t>
        </is>
      </c>
      <c r="G1614" t="inlineStr">
        <is>
          <t>ÖRNSKÖLDSVIK</t>
        </is>
      </c>
      <c r="I1614" t="n">
        <v>0.2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50402-2024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45601</v>
      </c>
      <c r="E1615" s="1" t="n">
        <v>46218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0.7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31272-2025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45833</v>
      </c>
      <c r="E1616" s="1" t="n">
        <v>46218</v>
      </c>
      <c r="F1616" t="inlineStr">
        <is>
          <t>VÄSTERNORRLANDS LÄN</t>
        </is>
      </c>
      <c r="G1616" t="inlineStr">
        <is>
          <t>ÖRNSKÖLDSVIK</t>
        </is>
      </c>
      <c r="I1616" t="n">
        <v>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31118-2025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45832</v>
      </c>
      <c r="E1617" s="1" t="n">
        <v>46218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0.4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1968-2023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44938</v>
      </c>
      <c r="E1618" s="1" t="n">
        <v>46218</v>
      </c>
      <c r="F1618" t="inlineStr">
        <is>
          <t>VÄSTERNORRLANDS LÄN</t>
        </is>
      </c>
      <c r="G1618" t="inlineStr">
        <is>
          <t>ÖRNSKÖLDSVIK</t>
        </is>
      </c>
      <c r="I1618" t="n">
        <v>1.5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32168-2025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45835</v>
      </c>
      <c r="E1619" s="1" t="n">
        <v>46218</v>
      </c>
      <c r="F1619" t="inlineStr">
        <is>
          <t>VÄSTERNORRLANDS LÄN</t>
        </is>
      </c>
      <c r="G1619" t="inlineStr">
        <is>
          <t>ÖRNSKÖLDSVIK</t>
        </is>
      </c>
      <c r="I1619" t="n">
        <v>2.9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20347-2026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46139</v>
      </c>
      <c r="E1620" s="1" t="n">
        <v>46218</v>
      </c>
      <c r="F1620" t="inlineStr">
        <is>
          <t>VÄSTERNORRLANDS LÄN</t>
        </is>
      </c>
      <c r="G1620" t="inlineStr">
        <is>
          <t>ÖRNSKÖLDSVIK</t>
        </is>
      </c>
      <c r="I1620" t="n">
        <v>1.4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24867-2023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45085</v>
      </c>
      <c r="E1621" s="1" t="n">
        <v>46218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1.8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32251-2025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45835</v>
      </c>
      <c r="E1622" s="1" t="n">
        <v>46218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1.5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44961-2025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45918</v>
      </c>
      <c r="E1623" s="1" t="n">
        <v>46218</v>
      </c>
      <c r="F1623" t="inlineStr">
        <is>
          <t>VÄSTERNORRLANDS LÄN</t>
        </is>
      </c>
      <c r="G1623" t="inlineStr">
        <is>
          <t>ÖRNSKÖLDSVIK</t>
        </is>
      </c>
      <c r="I1623" t="n">
        <v>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25210-2023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45079</v>
      </c>
      <c r="E1624" s="1" t="n">
        <v>46218</v>
      </c>
      <c r="F1624" t="inlineStr">
        <is>
          <t>VÄSTERNORRLANDS LÄN</t>
        </is>
      </c>
      <c r="G1624" t="inlineStr">
        <is>
          <t>ÖRNSKÖLDSVIK</t>
        </is>
      </c>
      <c r="I1624" t="n">
        <v>5.1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15702-2022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44663</v>
      </c>
      <c r="E1625" s="1" t="n">
        <v>46218</v>
      </c>
      <c r="F1625" t="inlineStr">
        <is>
          <t>VÄSTERNORRLANDS LÄN</t>
        </is>
      </c>
      <c r="G1625" t="inlineStr">
        <is>
          <t>ÖRNSKÖLDSVIK</t>
        </is>
      </c>
      <c r="I1625" t="n">
        <v>2.6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352-2022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44564</v>
      </c>
      <c r="E1626" s="1" t="n">
        <v>46218</v>
      </c>
      <c r="F1626" t="inlineStr">
        <is>
          <t>VÄSTERNORRLANDS LÄN</t>
        </is>
      </c>
      <c r="G1626" t="inlineStr">
        <is>
          <t>ÖRNSKÖLDSVIK</t>
        </is>
      </c>
      <c r="I1626" t="n">
        <v>7.2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32192-2025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45835</v>
      </c>
      <c r="E1627" s="1" t="n">
        <v>46218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0.7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32135-2025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45835</v>
      </c>
      <c r="E1628" s="1" t="n">
        <v>46218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7.2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31972-2025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45835</v>
      </c>
      <c r="E1629" s="1" t="n">
        <v>46218</v>
      </c>
      <c r="F1629" t="inlineStr">
        <is>
          <t>VÄSTERNORRLANDS LÄN</t>
        </is>
      </c>
      <c r="G1629" t="inlineStr">
        <is>
          <t>ÖRNSKÖLDSVIK</t>
        </is>
      </c>
      <c r="I1629" t="n">
        <v>4.6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25308-2023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45086</v>
      </c>
      <c r="E1630" s="1" t="n">
        <v>46218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SCA</t>
        </is>
      </c>
      <c r="I1630" t="n">
        <v>1.4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32406-2023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45110</v>
      </c>
      <c r="E1631" s="1" t="n">
        <v>46218</v>
      </c>
      <c r="F1631" t="inlineStr">
        <is>
          <t>VÄSTERNORRLANDS LÄN</t>
        </is>
      </c>
      <c r="G1631" t="inlineStr">
        <is>
          <t>ÖRNSKÖLDSVIK</t>
        </is>
      </c>
      <c r="I1631" t="n">
        <v>0.9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2931-2025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45678</v>
      </c>
      <c r="E1632" s="1" t="n">
        <v>46218</v>
      </c>
      <c r="F1632" t="inlineStr">
        <is>
          <t>VÄSTERNORRLANDS LÄN</t>
        </is>
      </c>
      <c r="G1632" t="inlineStr">
        <is>
          <t>ÖRNSKÖLDSVIK</t>
        </is>
      </c>
      <c r="I1632" t="n">
        <v>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20386-2026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46139</v>
      </c>
      <c r="E1633" s="1" t="n">
        <v>46218</v>
      </c>
      <c r="F1633" t="inlineStr">
        <is>
          <t>VÄSTERNORRLANDS LÄN</t>
        </is>
      </c>
      <c r="G1633" t="inlineStr">
        <is>
          <t>ÖRNSKÖLDSVIK</t>
        </is>
      </c>
      <c r="I1633" t="n">
        <v>2.7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58830-2025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45987</v>
      </c>
      <c r="E1634" s="1" t="n">
        <v>46218</v>
      </c>
      <c r="F1634" t="inlineStr">
        <is>
          <t>VÄSTERNORRLANDS LÄN</t>
        </is>
      </c>
      <c r="G1634" t="inlineStr">
        <is>
          <t>ÖRNSKÖLDSVIK</t>
        </is>
      </c>
      <c r="I1634" t="n">
        <v>3.9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19441-2025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45770</v>
      </c>
      <c r="E1635" s="1" t="n">
        <v>46218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Kommuner</t>
        </is>
      </c>
      <c r="I1635" t="n">
        <v>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32876-2025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45839</v>
      </c>
      <c r="E1636" s="1" t="n">
        <v>46218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29.6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32414-2025</t>
        </is>
      </c>
      <c r="B1637" t="inlineStr">
        <is>
          <t>avverkningsanmälan</t>
        </is>
      </c>
      <c r="C1637" t="inlineStr">
        <is>
          <t>Avverkning för annat ändamål</t>
        </is>
      </c>
      <c r="D1637" s="1" t="n">
        <v>45838</v>
      </c>
      <c r="E1637" s="1" t="n">
        <v>46218</v>
      </c>
      <c r="F1637" t="inlineStr">
        <is>
          <t>VÄSTERNORRLANDS LÄN</t>
        </is>
      </c>
      <c r="G1637" t="inlineStr">
        <is>
          <t>ÖRNSKÖLDSVIK</t>
        </is>
      </c>
      <c r="I1637" t="n">
        <v>0.2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27163-2022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44741</v>
      </c>
      <c r="E1638" s="1" t="n">
        <v>46218</v>
      </c>
      <c r="F1638" t="inlineStr">
        <is>
          <t>VÄSTERNORRLANDS LÄN</t>
        </is>
      </c>
      <c r="G1638" t="inlineStr">
        <is>
          <t>ÖRNSKÖLDSVIK</t>
        </is>
      </c>
      <c r="I1638" t="n">
        <v>0.7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27938-2025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45817</v>
      </c>
      <c r="E1639" s="1" t="n">
        <v>46218</v>
      </c>
      <c r="F1639" t="inlineStr">
        <is>
          <t>VÄSTERNORRLANDS LÄN</t>
        </is>
      </c>
      <c r="G1639" t="inlineStr">
        <is>
          <t>ÖRNSKÖLDSVIK</t>
        </is>
      </c>
      <c r="I1639" t="n">
        <v>1.7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15196-2024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45400</v>
      </c>
      <c r="E1640" s="1" t="n">
        <v>46218</v>
      </c>
      <c r="F1640" t="inlineStr">
        <is>
          <t>VÄSTERNORRLANDS LÄN</t>
        </is>
      </c>
      <c r="G1640" t="inlineStr">
        <is>
          <t>ÖRNSKÖLDSVIK</t>
        </is>
      </c>
      <c r="I1640" t="n">
        <v>0.9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59393-2024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45637</v>
      </c>
      <c r="E1641" s="1" t="n">
        <v>46218</v>
      </c>
      <c r="F1641" t="inlineStr">
        <is>
          <t>VÄSTERNORRLANDS LÄN</t>
        </is>
      </c>
      <c r="G1641" t="inlineStr">
        <is>
          <t>ÖRNSKÖLDSVIK</t>
        </is>
      </c>
      <c r="I1641" t="n">
        <v>2.5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58758-2025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45986</v>
      </c>
      <c r="E1642" s="1" t="n">
        <v>46218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3.8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58950-2025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45987</v>
      </c>
      <c r="E1643" s="1" t="n">
        <v>46218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14.1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19951-2026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46136</v>
      </c>
      <c r="E1644" s="1" t="n">
        <v>46218</v>
      </c>
      <c r="F1644" t="inlineStr">
        <is>
          <t>VÄSTERNORRLANDS LÄN</t>
        </is>
      </c>
      <c r="G1644" t="inlineStr">
        <is>
          <t>ÖRNSKÖLDSVIK</t>
        </is>
      </c>
      <c r="I1644" t="n">
        <v>3.8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32549-2025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45838</v>
      </c>
      <c r="E1645" s="1" t="n">
        <v>46218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3.5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45772-2025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45923</v>
      </c>
      <c r="E1646" s="1" t="n">
        <v>46218</v>
      </c>
      <c r="F1646" t="inlineStr">
        <is>
          <t>VÄSTERNORRLANDS LÄN</t>
        </is>
      </c>
      <c r="G1646" t="inlineStr">
        <is>
          <t>ÖRNSKÖLDSVIK</t>
        </is>
      </c>
      <c r="I1646" t="n">
        <v>4.3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56023-2022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44887</v>
      </c>
      <c r="E1647" s="1" t="n">
        <v>46218</v>
      </c>
      <c r="F1647" t="inlineStr">
        <is>
          <t>VÄSTERNORRLANDS LÄN</t>
        </is>
      </c>
      <c r="G1647" t="inlineStr">
        <is>
          <t>ÖRNSKÖLDSVIK</t>
        </is>
      </c>
      <c r="I1647" t="n">
        <v>1.5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33177-2025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45840</v>
      </c>
      <c r="E1648" s="1" t="n">
        <v>46218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0.6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33568-2025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45841</v>
      </c>
      <c r="E1649" s="1" t="n">
        <v>46218</v>
      </c>
      <c r="F1649" t="inlineStr">
        <is>
          <t>VÄSTERNORRLANDS LÄN</t>
        </is>
      </c>
      <c r="G1649" t="inlineStr">
        <is>
          <t>ÖRNSKÖLDSVIK</t>
        </is>
      </c>
      <c r="I1649" t="n">
        <v>0.6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67448-2021</t>
        </is>
      </c>
      <c r="B1650" t="inlineStr">
        <is>
          <t>avverkningsanmälan</t>
        </is>
      </c>
      <c r="C1650" t="inlineStr">
        <is>
          <t>Avverkning för annat ändamål</t>
        </is>
      </c>
      <c r="D1650" s="1" t="n">
        <v>44524</v>
      </c>
      <c r="E1650" s="1" t="n">
        <v>46218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1.7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68315-2021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44526</v>
      </c>
      <c r="E1651" s="1" t="n">
        <v>46218</v>
      </c>
      <c r="F1651" t="inlineStr">
        <is>
          <t>VÄSTERNORRLANDS LÄN</t>
        </is>
      </c>
      <c r="G1651" t="inlineStr">
        <is>
          <t>ÖRNSKÖLDSVIK</t>
        </is>
      </c>
      <c r="I1651" t="n">
        <v>1.8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52996-2024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45611</v>
      </c>
      <c r="E1652" s="1" t="n">
        <v>46218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SCA</t>
        </is>
      </c>
      <c r="I1652" t="n">
        <v>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33558-2025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45841</v>
      </c>
      <c r="E1653" s="1" t="n">
        <v>46218</v>
      </c>
      <c r="F1653" t="inlineStr">
        <is>
          <t>VÄSTERNORRLANDS LÄN</t>
        </is>
      </c>
      <c r="G1653" t="inlineStr">
        <is>
          <t>ÖRNSKÖLDSVIK</t>
        </is>
      </c>
      <c r="I1653" t="n">
        <v>0.7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33588-2025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45841</v>
      </c>
      <c r="E1654" s="1" t="n">
        <v>46218</v>
      </c>
      <c r="F1654" t="inlineStr">
        <is>
          <t>VÄSTERNORRLANDS LÄN</t>
        </is>
      </c>
      <c r="G1654" t="inlineStr">
        <is>
          <t>ÖRNSKÖLDSVIK</t>
        </is>
      </c>
      <c r="I1654" t="n">
        <v>2.6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27938-2024</t>
        </is>
      </c>
      <c r="B1655" t="inlineStr">
        <is>
          <t>avverkningsanmälan</t>
        </is>
      </c>
      <c r="C1655" t="inlineStr">
        <is>
          <t>Avverkning för annat ändamål</t>
        </is>
      </c>
      <c r="D1655" s="1" t="n">
        <v>45476</v>
      </c>
      <c r="E1655" s="1" t="n">
        <v>46218</v>
      </c>
      <c r="F1655" t="inlineStr">
        <is>
          <t>VÄSTERNORRLANDS LÄN</t>
        </is>
      </c>
      <c r="G1655" t="inlineStr">
        <is>
          <t>ÖRNSKÖLDSVIK</t>
        </is>
      </c>
      <c r="I1655" t="n">
        <v>0.7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33047-2025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45840</v>
      </c>
      <c r="E1656" s="1" t="n">
        <v>46218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3.6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54599-2024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45617</v>
      </c>
      <c r="E1657" s="1" t="n">
        <v>46218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5.8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33634-2025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45841</v>
      </c>
      <c r="E1658" s="1" t="n">
        <v>46218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1.4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33596-2025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45841</v>
      </c>
      <c r="E1659" s="1" t="n">
        <v>46218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0.3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33656-2025</t>
        </is>
      </c>
      <c r="B1660" t="inlineStr">
        <is>
          <t>avverkningsanmälan</t>
        </is>
      </c>
      <c r="C1660" t="inlineStr">
        <is>
          <t>Avverkning för annat ändamål</t>
        </is>
      </c>
      <c r="D1660" s="1" t="n">
        <v>45841</v>
      </c>
      <c r="E1660" s="1" t="n">
        <v>46218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8.1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51783-2024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45607</v>
      </c>
      <c r="E1661" s="1" t="n">
        <v>46218</v>
      </c>
      <c r="F1661" t="inlineStr">
        <is>
          <t>VÄSTERNORRLANDS LÄN</t>
        </is>
      </c>
      <c r="G1661" t="inlineStr">
        <is>
          <t>ÖRNSKÖLDSVIK</t>
        </is>
      </c>
      <c r="I1661" t="n">
        <v>3.6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33480-2025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45841</v>
      </c>
      <c r="E1662" s="1" t="n">
        <v>46218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Holmen skog AB</t>
        </is>
      </c>
      <c r="I1662" t="n">
        <v>1.4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62357-2022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44923</v>
      </c>
      <c r="E1663" s="1" t="n">
        <v>46218</v>
      </c>
      <c r="F1663" t="inlineStr">
        <is>
          <t>VÄSTERNORRLANDS LÄN</t>
        </is>
      </c>
      <c r="G1663" t="inlineStr">
        <is>
          <t>ÖRNSKÖLDSVIK</t>
        </is>
      </c>
      <c r="I1663" t="n">
        <v>3.4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34074-2025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45845</v>
      </c>
      <c r="E1664" s="1" t="n">
        <v>46218</v>
      </c>
      <c r="F1664" t="inlineStr">
        <is>
          <t>VÄSTERNORRLANDS LÄN</t>
        </is>
      </c>
      <c r="G1664" t="inlineStr">
        <is>
          <t>ÖRNSKÖLDSVIK</t>
        </is>
      </c>
      <c r="I1664" t="n">
        <v>4.1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33911-2025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45842</v>
      </c>
      <c r="E1665" s="1" t="n">
        <v>46218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Holmen skog AB</t>
        </is>
      </c>
      <c r="I1665" t="n">
        <v>12.6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12475-2022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44638</v>
      </c>
      <c r="E1666" s="1" t="n">
        <v>46218</v>
      </c>
      <c r="F1666" t="inlineStr">
        <is>
          <t>VÄSTERNORRLANDS LÄN</t>
        </is>
      </c>
      <c r="G1666" t="inlineStr">
        <is>
          <t>ÖRNSKÖLDSVIK</t>
        </is>
      </c>
      <c r="I1666" t="n">
        <v>1.7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33727-2025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45842</v>
      </c>
      <c r="E1667" s="1" t="n">
        <v>46218</v>
      </c>
      <c r="F1667" t="inlineStr">
        <is>
          <t>VÄSTERNORRLANDS LÄN</t>
        </is>
      </c>
      <c r="G1667" t="inlineStr">
        <is>
          <t>ÖRNSKÖLDSVIK</t>
        </is>
      </c>
      <c r="I1667" t="n">
        <v>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46215-2024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45581</v>
      </c>
      <c r="E1668" s="1" t="n">
        <v>46218</v>
      </c>
      <c r="F1668" t="inlineStr">
        <is>
          <t>VÄSTERNORRLANDS LÄN</t>
        </is>
      </c>
      <c r="G1668" t="inlineStr">
        <is>
          <t>ÖRNSKÖLDSVIK</t>
        </is>
      </c>
      <c r="I1668" t="n">
        <v>0.5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34259-2025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45845</v>
      </c>
      <c r="E1669" s="1" t="n">
        <v>46218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SCA</t>
        </is>
      </c>
      <c r="I1669" t="n">
        <v>3.1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33739-2025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45842</v>
      </c>
      <c r="E1670" s="1" t="n">
        <v>46218</v>
      </c>
      <c r="F1670" t="inlineStr">
        <is>
          <t>VÄSTERNORRLANDS LÄN</t>
        </is>
      </c>
      <c r="G1670" t="inlineStr">
        <is>
          <t>ÖRNSKÖLDSVIK</t>
        </is>
      </c>
      <c r="I1670" t="n">
        <v>2.9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34431-2025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45845</v>
      </c>
      <c r="E1671" s="1" t="n">
        <v>46218</v>
      </c>
      <c r="F1671" t="inlineStr">
        <is>
          <t>VÄSTERNORRLANDS LÄN</t>
        </is>
      </c>
      <c r="G1671" t="inlineStr">
        <is>
          <t>ÖRNSKÖLDSVIK</t>
        </is>
      </c>
      <c r="I1671" t="n">
        <v>7.4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34432-2025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45845</v>
      </c>
      <c r="E1672" s="1" t="n">
        <v>46218</v>
      </c>
      <c r="F1672" t="inlineStr">
        <is>
          <t>VÄSTERNORRLANDS LÄN</t>
        </is>
      </c>
      <c r="G1672" t="inlineStr">
        <is>
          <t>ÖRNSKÖLDSVIK</t>
        </is>
      </c>
      <c r="I1672" t="n">
        <v>6.4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33886-2025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45842</v>
      </c>
      <c r="E1673" s="1" t="n">
        <v>46218</v>
      </c>
      <c r="F1673" t="inlineStr">
        <is>
          <t>VÄSTERNORRLANDS LÄN</t>
        </is>
      </c>
      <c r="G1673" t="inlineStr">
        <is>
          <t>ÖRNSKÖLDSVIK</t>
        </is>
      </c>
      <c r="I1673" t="n">
        <v>1.3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51070-2023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45218</v>
      </c>
      <c r="E1674" s="1" t="n">
        <v>46218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1.2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34428-2025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45845</v>
      </c>
      <c r="E1675" s="1" t="n">
        <v>46218</v>
      </c>
      <c r="F1675" t="inlineStr">
        <is>
          <t>VÄSTERNORRLANDS LÄN</t>
        </is>
      </c>
      <c r="G1675" t="inlineStr">
        <is>
          <t>ÖRNSKÖLDSVIK</t>
        </is>
      </c>
      <c r="I1675" t="n">
        <v>5.2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34063-2025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45845</v>
      </c>
      <c r="E1676" s="1" t="n">
        <v>46218</v>
      </c>
      <c r="F1676" t="inlineStr">
        <is>
          <t>VÄSTERNORRLANDS LÄN</t>
        </is>
      </c>
      <c r="G1676" t="inlineStr">
        <is>
          <t>ÖRNSKÖLDSVIK</t>
        </is>
      </c>
      <c r="I1676" t="n">
        <v>6.2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34448-2025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45845</v>
      </c>
      <c r="E1677" s="1" t="n">
        <v>46218</v>
      </c>
      <c r="F1677" t="inlineStr">
        <is>
          <t>VÄSTERNORRLANDS LÄN</t>
        </is>
      </c>
      <c r="G1677" t="inlineStr">
        <is>
          <t>ÖRNSKÖLDSVIK</t>
        </is>
      </c>
      <c r="I1677" t="n">
        <v>1.5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4808-2025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45688</v>
      </c>
      <c r="E1678" s="1" t="n">
        <v>46218</v>
      </c>
      <c r="F1678" t="inlineStr">
        <is>
          <t>VÄSTERNORRLANDS LÄN</t>
        </is>
      </c>
      <c r="G1678" t="inlineStr">
        <is>
          <t>ÖRNSKÖLDSVIK</t>
        </is>
      </c>
      <c r="I1678" t="n">
        <v>1.1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58815-2025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45987</v>
      </c>
      <c r="E1679" s="1" t="n">
        <v>46218</v>
      </c>
      <c r="F1679" t="inlineStr">
        <is>
          <t>VÄSTERNORRLANDS LÄN</t>
        </is>
      </c>
      <c r="G1679" t="inlineStr">
        <is>
          <t>ÖRNSKÖLDSVIK</t>
        </is>
      </c>
      <c r="I1679" t="n">
        <v>5.5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58820-2025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45987</v>
      </c>
      <c r="E1680" s="1" t="n">
        <v>46218</v>
      </c>
      <c r="F1680" t="inlineStr">
        <is>
          <t>VÄSTERNORRLANDS LÄN</t>
        </is>
      </c>
      <c r="G1680" t="inlineStr">
        <is>
          <t>ÖRNSKÖLDSVIK</t>
        </is>
      </c>
      <c r="I1680" t="n">
        <v>2.7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34506-2025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45847</v>
      </c>
      <c r="E1681" s="1" t="n">
        <v>46218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6.3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47511-2023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45197</v>
      </c>
      <c r="E1682" s="1" t="n">
        <v>46218</v>
      </c>
      <c r="F1682" t="inlineStr">
        <is>
          <t>VÄSTERNORRLANDS LÄN</t>
        </is>
      </c>
      <c r="G1682" t="inlineStr">
        <is>
          <t>ÖRNSKÖLDSVIK</t>
        </is>
      </c>
      <c r="I1682" t="n">
        <v>1.7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47514-2023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45197</v>
      </c>
      <c r="E1683" s="1" t="n">
        <v>46218</v>
      </c>
      <c r="F1683" t="inlineStr">
        <is>
          <t>VÄSTERNORRLANDS LÄN</t>
        </is>
      </c>
      <c r="G1683" t="inlineStr">
        <is>
          <t>ÖRNSKÖLDSVIK</t>
        </is>
      </c>
      <c r="I1683" t="n">
        <v>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34487-2025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45847</v>
      </c>
      <c r="E1684" s="1" t="n">
        <v>46218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0.9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54325-2022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44879</v>
      </c>
      <c r="E1685" s="1" t="n">
        <v>46218</v>
      </c>
      <c r="F1685" t="inlineStr">
        <is>
          <t>VÄSTERNORRLANDS LÄN</t>
        </is>
      </c>
      <c r="G1685" t="inlineStr">
        <is>
          <t>ÖRNSKÖLDSVIK</t>
        </is>
      </c>
      <c r="I1685" t="n">
        <v>2.2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34427-2025</t>
        </is>
      </c>
      <c r="B1686" t="inlineStr">
        <is>
          <t>avverkningsanmälan</t>
        </is>
      </c>
      <c r="C1686" t="inlineStr">
        <is>
          <t>Avverkning för annat ändamål</t>
        </is>
      </c>
      <c r="D1686" s="1" t="n">
        <v>45846</v>
      </c>
      <c r="E1686" s="1" t="n">
        <v>46218</v>
      </c>
      <c r="F1686" t="inlineStr">
        <is>
          <t>VÄSTERNORRLANDS LÄN</t>
        </is>
      </c>
      <c r="G1686" t="inlineStr">
        <is>
          <t>ÖRNSKÖLDSVIK</t>
        </is>
      </c>
      <c r="I1686" t="n">
        <v>0.5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34483-2025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45847</v>
      </c>
      <c r="E1687" s="1" t="n">
        <v>46218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0.8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34594-2025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45846</v>
      </c>
      <c r="E1688" s="1" t="n">
        <v>46218</v>
      </c>
      <c r="F1688" t="inlineStr">
        <is>
          <t>VÄSTERNORRLANDS LÄN</t>
        </is>
      </c>
      <c r="G1688" t="inlineStr">
        <is>
          <t>ÖRNSKÖLDSVIK</t>
        </is>
      </c>
      <c r="I1688" t="n">
        <v>0.7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25779-2026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46178</v>
      </c>
      <c r="E1689" s="1" t="n">
        <v>46218</v>
      </c>
      <c r="F1689" t="inlineStr">
        <is>
          <t>VÄSTERNORRLANDS LÄN</t>
        </is>
      </c>
      <c r="G1689" t="inlineStr">
        <is>
          <t>ÖRNSKÖLDSVIK</t>
        </is>
      </c>
      <c r="I1689" t="n">
        <v>0.4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34704-2025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45848</v>
      </c>
      <c r="E1690" s="1" t="n">
        <v>46218</v>
      </c>
      <c r="F1690" t="inlineStr">
        <is>
          <t>VÄSTERNORRLANDS LÄN</t>
        </is>
      </c>
      <c r="G1690" t="inlineStr">
        <is>
          <t>ÖRNSKÖLDSVIK</t>
        </is>
      </c>
      <c r="I1690" t="n">
        <v>12.2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20380-2026</t>
        </is>
      </c>
      <c r="B1691" t="inlineStr">
        <is>
          <t>avverkningsanmälan</t>
        </is>
      </c>
      <c r="C1691" t="inlineStr">
        <is>
          <t>Avverkning för annat ändamål</t>
        </is>
      </c>
      <c r="D1691" s="1" t="n">
        <v>46139</v>
      </c>
      <c r="E1691" s="1" t="n">
        <v>46218</v>
      </c>
      <c r="F1691" t="inlineStr">
        <is>
          <t>VÄSTERNORRLANDS LÄN</t>
        </is>
      </c>
      <c r="G1691" t="inlineStr">
        <is>
          <t>ÖRNSKÖLDSVIK</t>
        </is>
      </c>
      <c r="I1691" t="n">
        <v>0.6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34820-2025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45849</v>
      </c>
      <c r="E1692" s="1" t="n">
        <v>46218</v>
      </c>
      <c r="F1692" t="inlineStr">
        <is>
          <t>VÄSTERNORRLANDS LÄN</t>
        </is>
      </c>
      <c r="G1692" t="inlineStr">
        <is>
          <t>ÖRNSKÖLDSVIK</t>
        </is>
      </c>
      <c r="I1692" t="n">
        <v>4.9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64911-2021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44512</v>
      </c>
      <c r="E1693" s="1" t="n">
        <v>46218</v>
      </c>
      <c r="F1693" t="inlineStr">
        <is>
          <t>VÄSTERNORRLANDS LÄN</t>
        </is>
      </c>
      <c r="G1693" t="inlineStr">
        <is>
          <t>ÖRNSKÖLDSVIK</t>
        </is>
      </c>
      <c r="I1693" t="n">
        <v>3.5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26865-2025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45810</v>
      </c>
      <c r="E1694" s="1" t="n">
        <v>46218</v>
      </c>
      <c r="F1694" t="inlineStr">
        <is>
          <t>VÄSTERNORRLANDS LÄN</t>
        </is>
      </c>
      <c r="G1694" t="inlineStr">
        <is>
          <t>ÖRNSKÖLDSVIK</t>
        </is>
      </c>
      <c r="I1694" t="n">
        <v>4.1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34731-2025</t>
        </is>
      </c>
      <c r="B1695" t="inlineStr">
        <is>
          <t>avverkningsanmälan</t>
        </is>
      </c>
      <c r="C1695" t="inlineStr">
        <is>
          <t>Avverkning för att bevara och utveckla /försöksver</t>
        </is>
      </c>
      <c r="D1695" s="1" t="n">
        <v>45848</v>
      </c>
      <c r="E1695" s="1" t="n">
        <v>46218</v>
      </c>
      <c r="F1695" t="inlineStr">
        <is>
          <t>VÄSTERNORRLANDS LÄN</t>
        </is>
      </c>
      <c r="G1695" t="inlineStr">
        <is>
          <t>ÖRNSKÖLDSVIK</t>
        </is>
      </c>
      <c r="I1695" t="n">
        <v>3.4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2809-2026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46038</v>
      </c>
      <c r="E1696" s="1" t="n">
        <v>46218</v>
      </c>
      <c r="F1696" t="inlineStr">
        <is>
          <t>VÄSTERNORRLANDS LÄN</t>
        </is>
      </c>
      <c r="G1696" t="inlineStr">
        <is>
          <t>ÖRNSKÖLDSVIK</t>
        </is>
      </c>
      <c r="I1696" t="n">
        <v>1.4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1191-2026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46031</v>
      </c>
      <c r="E1697" s="1" t="n">
        <v>46218</v>
      </c>
      <c r="F1697" t="inlineStr">
        <is>
          <t>VÄSTERNORRLANDS LÄN</t>
        </is>
      </c>
      <c r="G1697" t="inlineStr">
        <is>
          <t>ÖRNSKÖLDSVIK</t>
        </is>
      </c>
      <c r="I1697" t="n">
        <v>3.9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57924-2023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45247</v>
      </c>
      <c r="E1698" s="1" t="n">
        <v>46218</v>
      </c>
      <c r="F1698" t="inlineStr">
        <is>
          <t>VÄSTERNORRLANDS LÄN</t>
        </is>
      </c>
      <c r="G1698" t="inlineStr">
        <is>
          <t>ÖRNSKÖLDSVIK</t>
        </is>
      </c>
      <c r="I1698" t="n">
        <v>0.7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59050-2025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45988</v>
      </c>
      <c r="E1699" s="1" t="n">
        <v>46218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0.7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72642-2021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44545</v>
      </c>
      <c r="E1700" s="1" t="n">
        <v>46218</v>
      </c>
      <c r="F1700" t="inlineStr">
        <is>
          <t>VÄSTERNORRLANDS LÄN</t>
        </is>
      </c>
      <c r="G1700" t="inlineStr">
        <is>
          <t>ÖRNSKÖLDSVIK</t>
        </is>
      </c>
      <c r="I1700" t="n">
        <v>1.3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48189-2023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45205</v>
      </c>
      <c r="E1701" s="1" t="n">
        <v>46218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3.8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59056-2025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45988</v>
      </c>
      <c r="E1702" s="1" t="n">
        <v>46218</v>
      </c>
      <c r="F1702" t="inlineStr">
        <is>
          <t>VÄSTERNORRLANDS LÄN</t>
        </is>
      </c>
      <c r="G1702" t="inlineStr">
        <is>
          <t>ÖRNSKÖLDSVIK</t>
        </is>
      </c>
      <c r="I1702" t="n">
        <v>8.6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59438-2025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45989</v>
      </c>
      <c r="E1703" s="1" t="n">
        <v>46218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5.4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17462-2025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45757</v>
      </c>
      <c r="E1704" s="1" t="n">
        <v>46218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60600-2024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45644</v>
      </c>
      <c r="E1705" s="1" t="n">
        <v>46218</v>
      </c>
      <c r="F1705" t="inlineStr">
        <is>
          <t>VÄSTERNORRLANDS LÄN</t>
        </is>
      </c>
      <c r="G1705" t="inlineStr">
        <is>
          <t>ÖRNSKÖLDSVIK</t>
        </is>
      </c>
      <c r="I1705" t="n">
        <v>1.4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25889-2026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46178</v>
      </c>
      <c r="E1706" s="1" t="n">
        <v>46218</v>
      </c>
      <c r="F1706" t="inlineStr">
        <is>
          <t>VÄSTERNORRLANDS LÄN</t>
        </is>
      </c>
      <c r="G1706" t="inlineStr">
        <is>
          <t>ÖRNSKÖLDSVIK</t>
        </is>
      </c>
      <c r="I1706" t="n">
        <v>1.8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374-2025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45661</v>
      </c>
      <c r="E1707" s="1" t="n">
        <v>46218</v>
      </c>
      <c r="F1707" t="inlineStr">
        <is>
          <t>VÄSTERNORRLANDS LÄN</t>
        </is>
      </c>
      <c r="G1707" t="inlineStr">
        <is>
          <t>ÖRNSKÖLDSVIK</t>
        </is>
      </c>
      <c r="I1707" t="n">
        <v>1.4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59368-2025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45989</v>
      </c>
      <c r="E1708" s="1" t="n">
        <v>46218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6.1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59442-2025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45989</v>
      </c>
      <c r="E1709" s="1" t="n">
        <v>46218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5.5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58936-2024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45636</v>
      </c>
      <c r="E1710" s="1" t="n">
        <v>46218</v>
      </c>
      <c r="F1710" t="inlineStr">
        <is>
          <t>VÄSTERNORRLANDS LÄN</t>
        </is>
      </c>
      <c r="G1710" t="inlineStr">
        <is>
          <t>ÖRNSKÖLDSVIK</t>
        </is>
      </c>
      <c r="I1710" t="n">
        <v>7.3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51329-2022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44869</v>
      </c>
      <c r="E1711" s="1" t="n">
        <v>46218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7.5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59434-2025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45989</v>
      </c>
      <c r="E1712" s="1" t="n">
        <v>46218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3.3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37619-2022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44810</v>
      </c>
      <c r="E1713" s="1" t="n">
        <v>46218</v>
      </c>
      <c r="F1713" t="inlineStr">
        <is>
          <t>VÄSTERNORRLANDS LÄN</t>
        </is>
      </c>
      <c r="G1713" t="inlineStr">
        <is>
          <t>ÖRNSKÖLDSVIK</t>
        </is>
      </c>
      <c r="I1713" t="n">
        <v>1.4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49260-2023</t>
        </is>
      </c>
      <c r="B1714" t="inlineStr">
        <is>
          <t>avverkningsanmälan</t>
        </is>
      </c>
      <c r="C1714" t="inlineStr">
        <is>
          <t>Avverkning för att bevara och utveckla /försöksver</t>
        </is>
      </c>
      <c r="D1714" s="1" t="n">
        <v>45210</v>
      </c>
      <c r="E1714" s="1" t="n">
        <v>46218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26532-2026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46183</v>
      </c>
      <c r="E1715" s="1" t="n">
        <v>46218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4.1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16799-2023</t>
        </is>
      </c>
      <c r="B1716" t="inlineStr">
        <is>
          <t>avverkningsanmälan</t>
        </is>
      </c>
      <c r="C1716" t="inlineStr">
        <is>
          <t>Avverkning för annat ändamål</t>
        </is>
      </c>
      <c r="D1716" s="1" t="n">
        <v>45028</v>
      </c>
      <c r="E1716" s="1" t="n">
        <v>46218</v>
      </c>
      <c r="F1716" t="inlineStr">
        <is>
          <t>VÄSTERNORRLANDS LÄN</t>
        </is>
      </c>
      <c r="G1716" t="inlineStr">
        <is>
          <t>ÖRNSKÖLDSVIK</t>
        </is>
      </c>
      <c r="I1716" t="n">
        <v>0.3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35738-2025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45860</v>
      </c>
      <c r="E1717" s="1" t="n">
        <v>46218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9.699999999999999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17301-2025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45756</v>
      </c>
      <c r="E1718" s="1" t="n">
        <v>46218</v>
      </c>
      <c r="F1718" t="inlineStr">
        <is>
          <t>VÄSTERNORRLANDS LÄN</t>
        </is>
      </c>
      <c r="G1718" t="inlineStr">
        <is>
          <t>ÖRNSKÖLDSVIK</t>
        </is>
      </c>
      <c r="I1718" t="n">
        <v>2.5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59131-2025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45988</v>
      </c>
      <c r="E1719" s="1" t="n">
        <v>46218</v>
      </c>
      <c r="F1719" t="inlineStr">
        <is>
          <t>VÄSTERNORRLANDS LÄN</t>
        </is>
      </c>
      <c r="G1719" t="inlineStr">
        <is>
          <t>ÖRNSKÖLDSVIK</t>
        </is>
      </c>
      <c r="I1719" t="n">
        <v>1.2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59135-2025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45988</v>
      </c>
      <c r="E1720" s="1" t="n">
        <v>46218</v>
      </c>
      <c r="F1720" t="inlineStr">
        <is>
          <t>VÄSTERNORRLANDS LÄN</t>
        </is>
      </c>
      <c r="G1720" t="inlineStr">
        <is>
          <t>ÖRNSKÖLDSVIK</t>
        </is>
      </c>
      <c r="I1720" t="n">
        <v>1.5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56584-2023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45238</v>
      </c>
      <c r="E1721" s="1" t="n">
        <v>46218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Kyrkan</t>
        </is>
      </c>
      <c r="I1721" t="n">
        <v>7.8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59136-2025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45988</v>
      </c>
      <c r="E1722" s="1" t="n">
        <v>46218</v>
      </c>
      <c r="F1722" t="inlineStr">
        <is>
          <t>VÄSTERNORRLANDS LÄN</t>
        </is>
      </c>
      <c r="G1722" t="inlineStr">
        <is>
          <t>ÖRNSKÖLDSVIK</t>
        </is>
      </c>
      <c r="I1722" t="n">
        <v>0.4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35777-2025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45860</v>
      </c>
      <c r="E1723" s="1" t="n">
        <v>46218</v>
      </c>
      <c r="F1723" t="inlineStr">
        <is>
          <t>VÄSTERNORRLANDS LÄN</t>
        </is>
      </c>
      <c r="G1723" t="inlineStr">
        <is>
          <t>ÖRNSKÖLDSVIK</t>
        </is>
      </c>
      <c r="I1723" t="n">
        <v>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59265-2025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45988</v>
      </c>
      <c r="E1724" s="1" t="n">
        <v>46218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4.1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59057-2025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45988</v>
      </c>
      <c r="E1725" s="1" t="n">
        <v>46218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59138-2025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45988</v>
      </c>
      <c r="E1726" s="1" t="n">
        <v>46218</v>
      </c>
      <c r="F1726" t="inlineStr">
        <is>
          <t>VÄSTERNORRLANDS LÄN</t>
        </is>
      </c>
      <c r="G1726" t="inlineStr">
        <is>
          <t>ÖRNSKÖLDSVIK</t>
        </is>
      </c>
      <c r="I1726" t="n">
        <v>0.7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59191-2025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45988</v>
      </c>
      <c r="E1727" s="1" t="n">
        <v>46218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1.8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59330-2025</t>
        </is>
      </c>
      <c r="B1728" t="inlineStr">
        <is>
          <t>avverkningsanmälan</t>
        </is>
      </c>
      <c r="C1728" t="inlineStr">
        <is>
          <t>Avverkning för annat ändamål</t>
        </is>
      </c>
      <c r="D1728" s="1" t="n">
        <v>45989</v>
      </c>
      <c r="E1728" s="1" t="n">
        <v>46218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2.8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26390-2026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46183</v>
      </c>
      <c r="E1729" s="1" t="n">
        <v>46218</v>
      </c>
      <c r="F1729" t="inlineStr">
        <is>
          <t>VÄSTERNORRLANDS LÄN</t>
        </is>
      </c>
      <c r="G1729" t="inlineStr">
        <is>
          <t>ÖRNSKÖLDSVIK</t>
        </is>
      </c>
      <c r="I1729" t="n">
        <v>4.4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26420-2026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46183</v>
      </c>
      <c r="E1730" s="1" t="n">
        <v>46218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SCA</t>
        </is>
      </c>
      <c r="I1730" t="n">
        <v>0.7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26421-2026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46183</v>
      </c>
      <c r="E1731" s="1" t="n">
        <v>46218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SCA</t>
        </is>
      </c>
      <c r="I1731" t="n">
        <v>2.5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26383-2026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46183</v>
      </c>
      <c r="E1732" s="1" t="n">
        <v>46218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SCA</t>
        </is>
      </c>
      <c r="I1732" t="n">
        <v>4.5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26344-2026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46182</v>
      </c>
      <c r="E1733" s="1" t="n">
        <v>46218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SCA</t>
        </is>
      </c>
      <c r="I1733" t="n">
        <v>2.3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48215-2025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45933</v>
      </c>
      <c r="E1734" s="1" t="n">
        <v>46218</v>
      </c>
      <c r="F1734" t="inlineStr">
        <is>
          <t>VÄSTERNORRLANDS LÄN</t>
        </is>
      </c>
      <c r="G1734" t="inlineStr">
        <is>
          <t>ÖRNSKÖLDSVIK</t>
        </is>
      </c>
      <c r="I1734" t="n">
        <v>2.9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18051-2024</t>
        </is>
      </c>
      <c r="B1735" t="inlineStr">
        <is>
          <t>avverkningsanmälan</t>
        </is>
      </c>
      <c r="C1735" t="inlineStr">
        <is>
          <t>Avverkning för annat ändamål</t>
        </is>
      </c>
      <c r="D1735" s="1" t="n">
        <v>45420</v>
      </c>
      <c r="E1735" s="1" t="n">
        <v>46218</v>
      </c>
      <c r="F1735" t="inlineStr">
        <is>
          <t>VÄSTERNORRLANDS LÄN</t>
        </is>
      </c>
      <c r="G1735" t="inlineStr">
        <is>
          <t>ÖRNSKÖLDSVIK</t>
        </is>
      </c>
      <c r="I1735" t="n">
        <v>1.2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71547-2021</t>
        </is>
      </c>
      <c r="B1736" t="inlineStr">
        <is>
          <t>avverkningsanmälan</t>
        </is>
      </c>
      <c r="C1736" t="inlineStr">
        <is>
          <t>Avverkning för annat ändamål</t>
        </is>
      </c>
      <c r="D1736" s="1" t="n">
        <v>44540</v>
      </c>
      <c r="E1736" s="1" t="n">
        <v>46218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4.3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59475-2025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45989</v>
      </c>
      <c r="E1737" s="1" t="n">
        <v>46218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5.5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12980-2023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45002</v>
      </c>
      <c r="E1738" s="1" t="n">
        <v>46218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SCA</t>
        </is>
      </c>
      <c r="I1738" t="n">
        <v>5.2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40424-2025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45895</v>
      </c>
      <c r="E1739" s="1" t="n">
        <v>46218</v>
      </c>
      <c r="F1739" t="inlineStr">
        <is>
          <t>VÄSTERNORRLANDS LÄN</t>
        </is>
      </c>
      <c r="G1739" t="inlineStr">
        <is>
          <t>ÖRNSKÖLDSVIK</t>
        </is>
      </c>
      <c r="I1739" t="n">
        <v>10.1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26556-2026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46183</v>
      </c>
      <c r="E1740" s="1" t="n">
        <v>46218</v>
      </c>
      <c r="F1740" t="inlineStr">
        <is>
          <t>VÄSTERNORRLANDS LÄN</t>
        </is>
      </c>
      <c r="G1740" t="inlineStr">
        <is>
          <t>ÖRNSKÖLDSVIK</t>
        </is>
      </c>
      <c r="I1740" t="n">
        <v>3.8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26566-2026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46183</v>
      </c>
      <c r="E1741" s="1" t="n">
        <v>46218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2.4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55490-2023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45238</v>
      </c>
      <c r="E1742" s="1" t="n">
        <v>46218</v>
      </c>
      <c r="F1742" t="inlineStr">
        <is>
          <t>VÄSTERNORRLANDS LÄN</t>
        </is>
      </c>
      <c r="G1742" t="inlineStr">
        <is>
          <t>ÖRNSKÖLDSVIK</t>
        </is>
      </c>
      <c r="I1742" t="n">
        <v>1.2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59689-2025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45992</v>
      </c>
      <c r="E1743" s="1" t="n">
        <v>46218</v>
      </c>
      <c r="F1743" t="inlineStr">
        <is>
          <t>VÄSTERNORRLANDS LÄN</t>
        </is>
      </c>
      <c r="G1743" t="inlineStr">
        <is>
          <t>ÖRNSKÖLDSVIK</t>
        </is>
      </c>
      <c r="I1743" t="n">
        <v>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31098-2025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45832</v>
      </c>
      <c r="E1744" s="1" t="n">
        <v>46218</v>
      </c>
      <c r="F1744" t="inlineStr">
        <is>
          <t>VÄSTERNORRLANDS LÄN</t>
        </is>
      </c>
      <c r="G1744" t="inlineStr">
        <is>
          <t>ÖRNSKÖLDSVIK</t>
        </is>
      </c>
      <c r="I1744" t="n">
        <v>5.5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36156-2025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45867</v>
      </c>
      <c r="E1745" s="1" t="n">
        <v>46218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5.1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59594-2025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45992</v>
      </c>
      <c r="E1746" s="1" t="n">
        <v>46218</v>
      </c>
      <c r="F1746" t="inlineStr">
        <is>
          <t>VÄSTERNORRLANDS LÄN</t>
        </is>
      </c>
      <c r="G1746" t="inlineStr">
        <is>
          <t>ÖRNSKÖLDSVIK</t>
        </is>
      </c>
      <c r="I1746" t="n">
        <v>1.1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49025-2022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44860</v>
      </c>
      <c r="E1747" s="1" t="n">
        <v>46218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10.3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33233-2023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45114</v>
      </c>
      <c r="E1748" s="1" t="n">
        <v>46218</v>
      </c>
      <c r="F1748" t="inlineStr">
        <is>
          <t>VÄSTERNORRLANDS LÄN</t>
        </is>
      </c>
      <c r="G1748" t="inlineStr">
        <is>
          <t>ÖRNSKÖLDSVIK</t>
        </is>
      </c>
      <c r="I1748" t="n">
        <v>0.7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31192-2023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45113</v>
      </c>
      <c r="E1749" s="1" t="n">
        <v>46218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SCA</t>
        </is>
      </c>
      <c r="I1749" t="n">
        <v>5.3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59747-2025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45992</v>
      </c>
      <c r="E1750" s="1" t="n">
        <v>46218</v>
      </c>
      <c r="F1750" t="inlineStr">
        <is>
          <t>VÄSTERNORRLANDS LÄN</t>
        </is>
      </c>
      <c r="G1750" t="inlineStr">
        <is>
          <t>ÖRNSKÖLDSVIK</t>
        </is>
      </c>
      <c r="I1750" t="n">
        <v>6.3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61255-2024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45644</v>
      </c>
      <c r="E1751" s="1" t="n">
        <v>46218</v>
      </c>
      <c r="F1751" t="inlineStr">
        <is>
          <t>VÄSTERNORRLANDS LÄN</t>
        </is>
      </c>
      <c r="G1751" t="inlineStr">
        <is>
          <t>ÖRNSKÖLDSVIK</t>
        </is>
      </c>
      <c r="I1751" t="n">
        <v>2.8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47330-2023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45196</v>
      </c>
      <c r="E1752" s="1" t="n">
        <v>46218</v>
      </c>
      <c r="F1752" t="inlineStr">
        <is>
          <t>VÄSTERNORRLANDS LÄN</t>
        </is>
      </c>
      <c r="G1752" t="inlineStr">
        <is>
          <t>ÖRNSKÖLDSVIK</t>
        </is>
      </c>
      <c r="I1752" t="n">
        <v>12.7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33258-2023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45114</v>
      </c>
      <c r="E1753" s="1" t="n">
        <v>46218</v>
      </c>
      <c r="F1753" t="inlineStr">
        <is>
          <t>VÄSTERNORRLANDS LÄN</t>
        </is>
      </c>
      <c r="G1753" t="inlineStr">
        <is>
          <t>ÖRNSKÖLDSVIK</t>
        </is>
      </c>
      <c r="I1753" t="n">
        <v>2.7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33261-2023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45114</v>
      </c>
      <c r="E1754" s="1" t="n">
        <v>46218</v>
      </c>
      <c r="F1754" t="inlineStr">
        <is>
          <t>VÄSTERNORRLANDS LÄN</t>
        </is>
      </c>
      <c r="G1754" t="inlineStr">
        <is>
          <t>ÖRNSKÖLDSVIK</t>
        </is>
      </c>
      <c r="I1754" t="n">
        <v>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33288-2023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45127</v>
      </c>
      <c r="E1755" s="1" t="n">
        <v>46218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1.2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59853-2025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45992</v>
      </c>
      <c r="E1756" s="1" t="n">
        <v>46218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Kommuner</t>
        </is>
      </c>
      <c r="I1756" t="n">
        <v>1.7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59589-2025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45992</v>
      </c>
      <c r="E1757" s="1" t="n">
        <v>46218</v>
      </c>
      <c r="F1757" t="inlineStr">
        <is>
          <t>VÄSTERNORRLANDS LÄN</t>
        </is>
      </c>
      <c r="G1757" t="inlineStr">
        <is>
          <t>ÖRNSKÖLDSVIK</t>
        </is>
      </c>
      <c r="I1757" t="n">
        <v>2.6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59549-2025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45990</v>
      </c>
      <c r="E1758" s="1" t="n">
        <v>46218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59556-2025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45991</v>
      </c>
      <c r="E1759" s="1" t="n">
        <v>46218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44522-2023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45189</v>
      </c>
      <c r="E1760" s="1" t="n">
        <v>46218</v>
      </c>
      <c r="F1760" t="inlineStr">
        <is>
          <t>VÄSTERNORRLANDS LÄN</t>
        </is>
      </c>
      <c r="G1760" t="inlineStr">
        <is>
          <t>ÖRNSKÖLDSVIK</t>
        </is>
      </c>
      <c r="I1760" t="n">
        <v>22.6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48896-2024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45594</v>
      </c>
      <c r="E1761" s="1" t="n">
        <v>46218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SCA</t>
        </is>
      </c>
      <c r="I1761" t="n">
        <v>5.8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16937-2025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45754</v>
      </c>
      <c r="E1762" s="1" t="n">
        <v>46218</v>
      </c>
      <c r="F1762" t="inlineStr">
        <is>
          <t>VÄSTERNORRLANDS LÄN</t>
        </is>
      </c>
      <c r="G1762" t="inlineStr">
        <is>
          <t>ÖRNSKÖLDSVIK</t>
        </is>
      </c>
      <c r="I1762" t="n">
        <v>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59548-2025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45990</v>
      </c>
      <c r="E1763" s="1" t="n">
        <v>46218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2.6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59691-2025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45992</v>
      </c>
      <c r="E1764" s="1" t="n">
        <v>46218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7.2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59699-2025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45992</v>
      </c>
      <c r="E1765" s="1" t="n">
        <v>46218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0.7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108-2025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45649</v>
      </c>
      <c r="E1766" s="1" t="n">
        <v>46218</v>
      </c>
      <c r="F1766" t="inlineStr">
        <is>
          <t>VÄSTERNORRLANDS LÄN</t>
        </is>
      </c>
      <c r="G1766" t="inlineStr">
        <is>
          <t>ÖRNSKÖLDSVIK</t>
        </is>
      </c>
      <c r="I1766" t="n">
        <v>13.6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59658-2025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45992</v>
      </c>
      <c r="E1767" s="1" t="n">
        <v>46218</v>
      </c>
      <c r="F1767" t="inlineStr">
        <is>
          <t>VÄSTERNORRLANDS LÄN</t>
        </is>
      </c>
      <c r="G1767" t="inlineStr">
        <is>
          <t>ÖRNSKÖLDSVIK</t>
        </is>
      </c>
      <c r="I1767" t="n">
        <v>3.1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21479-2023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45063</v>
      </c>
      <c r="E1768" s="1" t="n">
        <v>46218</v>
      </c>
      <c r="F1768" t="inlineStr">
        <is>
          <t>VÄSTERNORRLANDS LÄN</t>
        </is>
      </c>
      <c r="G1768" t="inlineStr">
        <is>
          <t>ÖRNSKÖLDSVIK</t>
        </is>
      </c>
      <c r="I1768" t="n">
        <v>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32185-2023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45119</v>
      </c>
      <c r="E1769" s="1" t="n">
        <v>46218</v>
      </c>
      <c r="F1769" t="inlineStr">
        <is>
          <t>VÄSTERNORRLANDS LÄN</t>
        </is>
      </c>
      <c r="G1769" t="inlineStr">
        <is>
          <t>ÖRNSKÖLDSVIK</t>
        </is>
      </c>
      <c r="I1769" t="n">
        <v>3.8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36811-2025</t>
        </is>
      </c>
      <c r="B1770" t="inlineStr">
        <is>
          <t>avverkningsanmälan</t>
        </is>
      </c>
      <c r="C1770" t="inlineStr">
        <is>
          <t>Avverkning för annat ändamål</t>
        </is>
      </c>
      <c r="D1770" s="1" t="n">
        <v>45873</v>
      </c>
      <c r="E1770" s="1" t="n">
        <v>46218</v>
      </c>
      <c r="F1770" t="inlineStr">
        <is>
          <t>VÄSTERNORRLANDS LÄN</t>
        </is>
      </c>
      <c r="G1770" t="inlineStr">
        <is>
          <t>ÖRNSKÖLDSVIK</t>
        </is>
      </c>
      <c r="I1770" t="n">
        <v>0.3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6273-2024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45337</v>
      </c>
      <c r="E1771" s="1" t="n">
        <v>46218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SCA</t>
        </is>
      </c>
      <c r="I1771" t="n">
        <v>9.1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12477-2024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45379</v>
      </c>
      <c r="E1772" s="1" t="n">
        <v>46218</v>
      </c>
      <c r="F1772" t="inlineStr">
        <is>
          <t>VÄSTERNORRLANDS LÄN</t>
        </is>
      </c>
      <c r="G1772" t="inlineStr">
        <is>
          <t>ÖRNSKÖLDSVIK</t>
        </is>
      </c>
      <c r="I1772" t="n">
        <v>7.5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20687-2026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46141</v>
      </c>
      <c r="E1773" s="1" t="n">
        <v>46218</v>
      </c>
      <c r="F1773" t="inlineStr">
        <is>
          <t>VÄSTERNORRLANDS LÄN</t>
        </is>
      </c>
      <c r="G1773" t="inlineStr">
        <is>
          <t>ÖRNSKÖLDSVIK</t>
        </is>
      </c>
      <c r="I1773" t="n">
        <v>1.3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59609-2025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45992</v>
      </c>
      <c r="E1774" s="1" t="n">
        <v>46218</v>
      </c>
      <c r="F1774" t="inlineStr">
        <is>
          <t>VÄSTERNORRLANDS LÄN</t>
        </is>
      </c>
      <c r="G1774" t="inlineStr">
        <is>
          <t>ÖRNSKÖLDSVIK</t>
        </is>
      </c>
      <c r="I1774" t="n">
        <v>0.7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20526-2026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46140</v>
      </c>
      <c r="E1775" s="1" t="n">
        <v>46218</v>
      </c>
      <c r="F1775" t="inlineStr">
        <is>
          <t>VÄSTERNORRLANDS LÄN</t>
        </is>
      </c>
      <c r="G1775" t="inlineStr">
        <is>
          <t>ÖRNSKÖLDSVIK</t>
        </is>
      </c>
      <c r="I1775" t="n">
        <v>0.9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61392-2022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44915</v>
      </c>
      <c r="E1776" s="1" t="n">
        <v>46218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SCA</t>
        </is>
      </c>
      <c r="I1776" t="n">
        <v>6.8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10160-2025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45719</v>
      </c>
      <c r="E1777" s="1" t="n">
        <v>46218</v>
      </c>
      <c r="F1777" t="inlineStr">
        <is>
          <t>VÄSTERNORRLANDS LÄN</t>
        </is>
      </c>
      <c r="G1777" t="inlineStr">
        <is>
          <t>ÖRNSKÖLDSVIK</t>
        </is>
      </c>
      <c r="I1777" t="n">
        <v>0.7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34545-2022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44793</v>
      </c>
      <c r="E1778" s="1" t="n">
        <v>46218</v>
      </c>
      <c r="F1778" t="inlineStr">
        <is>
          <t>VÄSTERNORRLANDS LÄN</t>
        </is>
      </c>
      <c r="G1778" t="inlineStr">
        <is>
          <t>ÖRNSKÖLDSVIK</t>
        </is>
      </c>
      <c r="I1778" t="n">
        <v>3.1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21324-2024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45440</v>
      </c>
      <c r="E1779" s="1" t="n">
        <v>46218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55537-2025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45971</v>
      </c>
      <c r="E1780" s="1" t="n">
        <v>46218</v>
      </c>
      <c r="F1780" t="inlineStr">
        <is>
          <t>VÄSTERNORRLANDS LÄN</t>
        </is>
      </c>
      <c r="G1780" t="inlineStr">
        <is>
          <t>ÖRNSKÖLDSVIK</t>
        </is>
      </c>
      <c r="I1780" t="n">
        <v>1.8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28371-2025</t>
        </is>
      </c>
      <c r="B1781" t="inlineStr">
        <is>
          <t>avverkningsanmälan</t>
        </is>
      </c>
      <c r="C1781" t="inlineStr">
        <is>
          <t>Avverkning för annat ändamål</t>
        </is>
      </c>
      <c r="D1781" s="1" t="n">
        <v>45818</v>
      </c>
      <c r="E1781" s="1" t="n">
        <v>46218</v>
      </c>
      <c r="F1781" t="inlineStr">
        <is>
          <t>VÄSTERNORRLANDS LÄN</t>
        </is>
      </c>
      <c r="G1781" t="inlineStr">
        <is>
          <t>ÖRNSKÖLDSVIK</t>
        </is>
      </c>
      <c r="I1781" t="n">
        <v>1.2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27854-2024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45475</v>
      </c>
      <c r="E1782" s="1" t="n">
        <v>46218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3.1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26422-2026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46183</v>
      </c>
      <c r="E1783" s="1" t="n">
        <v>46218</v>
      </c>
      <c r="F1783" t="inlineStr">
        <is>
          <t>VÄSTERNORRLANDS LÄN</t>
        </is>
      </c>
      <c r="G1783" t="inlineStr">
        <is>
          <t>ÖRNSKÖLDSVIK</t>
        </is>
      </c>
      <c r="I1783" t="n">
        <v>11.7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26441-2026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46183</v>
      </c>
      <c r="E1784" s="1" t="n">
        <v>46218</v>
      </c>
      <c r="F1784" t="inlineStr">
        <is>
          <t>VÄSTERNORRLANDS LÄN</t>
        </is>
      </c>
      <c r="G1784" t="inlineStr">
        <is>
          <t>ÖRNSKÖLDSVIK</t>
        </is>
      </c>
      <c r="I1784" t="n">
        <v>2.2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59557-2025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45991</v>
      </c>
      <c r="E1785" s="1" t="n">
        <v>46218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59558-2025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45991</v>
      </c>
      <c r="E1786" s="1" t="n">
        <v>46218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1.1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22519-2024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45447</v>
      </c>
      <c r="E1787" s="1" t="n">
        <v>46218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63729-2023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45276</v>
      </c>
      <c r="E1788" s="1" t="n">
        <v>46218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SCA</t>
        </is>
      </c>
      <c r="I1788" t="n">
        <v>2.8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63750-2023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45277</v>
      </c>
      <c r="E1789" s="1" t="n">
        <v>46218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Övriga Aktiebolag</t>
        </is>
      </c>
      <c r="I1789" t="n">
        <v>2.1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9853-2025</t>
        </is>
      </c>
      <c r="B1790" t="inlineStr">
        <is>
          <t>avverkningsanmälan</t>
        </is>
      </c>
      <c r="C1790" t="inlineStr">
        <is>
          <t>Avverkning för annat ändamål</t>
        </is>
      </c>
      <c r="D1790" s="1" t="n">
        <v>45716</v>
      </c>
      <c r="E1790" s="1" t="n">
        <v>46218</v>
      </c>
      <c r="F1790" t="inlineStr">
        <is>
          <t>VÄSTERNORRLANDS LÄN</t>
        </is>
      </c>
      <c r="G1790" t="inlineStr">
        <is>
          <t>ÖRNSKÖLDSVIK</t>
        </is>
      </c>
      <c r="I1790" t="n">
        <v>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62342-2022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44916</v>
      </c>
      <c r="E1791" s="1" t="n">
        <v>46218</v>
      </c>
      <c r="F1791" t="inlineStr">
        <is>
          <t>VÄSTERNORRLANDS LÄN</t>
        </is>
      </c>
      <c r="G1791" t="inlineStr">
        <is>
          <t>ÖRNSKÖLDSVIK</t>
        </is>
      </c>
      <c r="I1791" t="n">
        <v>3.5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26263-2026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46182</v>
      </c>
      <c r="E1792" s="1" t="n">
        <v>46218</v>
      </c>
      <c r="F1792" t="inlineStr">
        <is>
          <t>VÄSTERNORRLANDS LÄN</t>
        </is>
      </c>
      <c r="G1792" t="inlineStr">
        <is>
          <t>ÖRNSKÖLDSVIK</t>
        </is>
      </c>
      <c r="I1792" t="n">
        <v>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54696-2025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45966</v>
      </c>
      <c r="E1793" s="1" t="n">
        <v>46218</v>
      </c>
      <c r="F1793" t="inlineStr">
        <is>
          <t>VÄSTERNORRLANDS LÄN</t>
        </is>
      </c>
      <c r="G1793" t="inlineStr">
        <is>
          <t>ÖRNSKÖLDSVIK</t>
        </is>
      </c>
      <c r="I1793" t="n">
        <v>2.2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37194-2025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45875</v>
      </c>
      <c r="E1794" s="1" t="n">
        <v>46218</v>
      </c>
      <c r="F1794" t="inlineStr">
        <is>
          <t>VÄSTERNORRLANDS LÄN</t>
        </is>
      </c>
      <c r="G1794" t="inlineStr">
        <is>
          <t>ÖRNSKÖLDSVIK</t>
        </is>
      </c>
      <c r="I1794" t="n">
        <v>2.8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35555-2023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45146</v>
      </c>
      <c r="E1795" s="1" t="n">
        <v>46218</v>
      </c>
      <c r="F1795" t="inlineStr">
        <is>
          <t>VÄSTERNORRLANDS LÄN</t>
        </is>
      </c>
      <c r="G1795" t="inlineStr">
        <is>
          <t>ÖRNSKÖLDSVIK</t>
        </is>
      </c>
      <c r="I1795" t="n">
        <v>4.7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60257-2025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45994</v>
      </c>
      <c r="E1796" s="1" t="n">
        <v>46218</v>
      </c>
      <c r="F1796" t="inlineStr">
        <is>
          <t>VÄSTERNORRLANDS LÄN</t>
        </is>
      </c>
      <c r="G1796" t="inlineStr">
        <is>
          <t>ÖRNSKÖLDSVIK</t>
        </is>
      </c>
      <c r="I1796" t="n">
        <v>1.1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26706-2024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45470</v>
      </c>
      <c r="E1797" s="1" t="n">
        <v>46218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1.9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60475-2025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45995</v>
      </c>
      <c r="E1798" s="1" t="n">
        <v>46218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2.7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40342-2024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45555</v>
      </c>
      <c r="E1799" s="1" t="n">
        <v>46218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1.4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60350-2025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45995</v>
      </c>
      <c r="E1800" s="1" t="n">
        <v>46218</v>
      </c>
      <c r="F1800" t="inlineStr">
        <is>
          <t>VÄSTERNORRLANDS LÄN</t>
        </is>
      </c>
      <c r="G1800" t="inlineStr">
        <is>
          <t>ÖRNSKÖLDSVIK</t>
        </is>
      </c>
      <c r="I1800" t="n">
        <v>1.5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26431-2026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46183</v>
      </c>
      <c r="E1801" s="1" t="n">
        <v>46218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SCA</t>
        </is>
      </c>
      <c r="I1801" t="n">
        <v>1.7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26445-2026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46183</v>
      </c>
      <c r="E1802" s="1" t="n">
        <v>46218</v>
      </c>
      <c r="F1802" t="inlineStr">
        <is>
          <t>VÄSTERNORRLANDS LÄN</t>
        </is>
      </c>
      <c r="G1802" t="inlineStr">
        <is>
          <t>ÖRNSKÖLDSVIK</t>
        </is>
      </c>
      <c r="I1802" t="n">
        <v>0.4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55555-2025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45971</v>
      </c>
      <c r="E1803" s="1" t="n">
        <v>46218</v>
      </c>
      <c r="F1803" t="inlineStr">
        <is>
          <t>VÄSTERNORRLANDS LÄN</t>
        </is>
      </c>
      <c r="G1803" t="inlineStr">
        <is>
          <t>ÖRNSKÖLDSVIK</t>
        </is>
      </c>
      <c r="I1803" t="n">
        <v>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26541-2026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46183</v>
      </c>
      <c r="E1804" s="1" t="n">
        <v>46218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2.7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26543-2026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46183</v>
      </c>
      <c r="E1805" s="1" t="n">
        <v>46218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60448-2025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45995</v>
      </c>
      <c r="E1806" s="1" t="n">
        <v>46218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3.7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37467-2025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45877</v>
      </c>
      <c r="E1807" s="1" t="n">
        <v>46218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3.1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60483-2025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45995</v>
      </c>
      <c r="E1808" s="1" t="n">
        <v>46218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1.5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42419-2025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45905</v>
      </c>
      <c r="E1809" s="1" t="n">
        <v>46218</v>
      </c>
      <c r="F1809" t="inlineStr">
        <is>
          <t>VÄSTERNORRLANDS LÄN</t>
        </is>
      </c>
      <c r="G1809" t="inlineStr">
        <is>
          <t>ÖRNSKÖLDSVIK</t>
        </is>
      </c>
      <c r="I1809" t="n">
        <v>2.6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37234-2025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45876</v>
      </c>
      <c r="E1810" s="1" t="n">
        <v>46218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1.2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37227-2025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45876</v>
      </c>
      <c r="E1811" s="1" t="n">
        <v>46218</v>
      </c>
      <c r="F1811" t="inlineStr">
        <is>
          <t>VÄSTERNORRLANDS LÄN</t>
        </is>
      </c>
      <c r="G1811" t="inlineStr">
        <is>
          <t>ÖRNSKÖLDSVIK</t>
        </is>
      </c>
      <c r="I1811" t="n">
        <v>9.699999999999999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38374-2022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44812</v>
      </c>
      <c r="E1812" s="1" t="n">
        <v>46218</v>
      </c>
      <c r="F1812" t="inlineStr">
        <is>
          <t>VÄSTERNORRLANDS LÄN</t>
        </is>
      </c>
      <c r="G1812" t="inlineStr">
        <is>
          <t>ÖRNSKÖLDSVIK</t>
        </is>
      </c>
      <c r="I1812" t="n">
        <v>3.2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46826-2024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45583</v>
      </c>
      <c r="E1813" s="1" t="n">
        <v>46218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0.8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26277-2026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46182</v>
      </c>
      <c r="E1814" s="1" t="n">
        <v>46218</v>
      </c>
      <c r="F1814" t="inlineStr">
        <is>
          <t>VÄSTERNORRLANDS LÄN</t>
        </is>
      </c>
      <c r="G1814" t="inlineStr">
        <is>
          <t>ÖRNSKÖLDSVIK</t>
        </is>
      </c>
      <c r="I1814" t="n">
        <v>0.8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62091-2022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44919</v>
      </c>
      <c r="E1815" s="1" t="n">
        <v>46218</v>
      </c>
      <c r="F1815" t="inlineStr">
        <is>
          <t>VÄSTERNORRLANDS LÄN</t>
        </is>
      </c>
      <c r="G1815" t="inlineStr">
        <is>
          <t>ÖRNSKÖLDSVIK</t>
        </is>
      </c>
      <c r="I1815" t="n">
        <v>44.3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60525-2025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45995</v>
      </c>
      <c r="E1816" s="1" t="n">
        <v>46218</v>
      </c>
      <c r="F1816" t="inlineStr">
        <is>
          <t>VÄSTERNORRLANDS LÄN</t>
        </is>
      </c>
      <c r="G1816" t="inlineStr">
        <is>
          <t>ÖRNSKÖLDSVIK</t>
        </is>
      </c>
      <c r="I1816" t="n">
        <v>2.6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60526-2025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45995</v>
      </c>
      <c r="E1817" s="1" t="n">
        <v>46218</v>
      </c>
      <c r="F1817" t="inlineStr">
        <is>
          <t>VÄSTERNORRLANDS LÄN</t>
        </is>
      </c>
      <c r="G1817" t="inlineStr">
        <is>
          <t>ÖRNSKÖLDSVIK</t>
        </is>
      </c>
      <c r="I1817" t="n">
        <v>0.5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60383-2025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45995</v>
      </c>
      <c r="E1818" s="1" t="n">
        <v>46218</v>
      </c>
      <c r="F1818" t="inlineStr">
        <is>
          <t>VÄSTERNORRLANDS LÄN</t>
        </is>
      </c>
      <c r="G1818" t="inlineStr">
        <is>
          <t>ÖRNSKÖLDSVIK</t>
        </is>
      </c>
      <c r="I1818" t="n">
        <v>0.5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26460-2026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46183</v>
      </c>
      <c r="E1819" s="1" t="n">
        <v>46218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SCA</t>
        </is>
      </c>
      <c r="I1819" t="n">
        <v>1.1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58481-2024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45635</v>
      </c>
      <c r="E1820" s="1" t="n">
        <v>46218</v>
      </c>
      <c r="F1820" t="inlineStr">
        <is>
          <t>VÄSTERNORRLANDS LÄN</t>
        </is>
      </c>
      <c r="G1820" t="inlineStr">
        <is>
          <t>ÖRNSKÖLDSVIK</t>
        </is>
      </c>
      <c r="I1820" t="n">
        <v>0.3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102-2025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45649</v>
      </c>
      <c r="E1821" s="1" t="n">
        <v>46218</v>
      </c>
      <c r="F1821" t="inlineStr">
        <is>
          <t>VÄSTERNORRLANDS LÄN</t>
        </is>
      </c>
      <c r="G1821" t="inlineStr">
        <is>
          <t>ÖRNSKÖLDSVIK</t>
        </is>
      </c>
      <c r="I1821" t="n">
        <v>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37480-2025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45877</v>
      </c>
      <c r="E1822" s="1" t="n">
        <v>46218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SCA</t>
        </is>
      </c>
      <c r="I1822" t="n">
        <v>6.2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60492-2025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45995</v>
      </c>
      <c r="E1823" s="1" t="n">
        <v>46218</v>
      </c>
      <c r="F1823" t="inlineStr">
        <is>
          <t>VÄSTERNORRLANDS LÄN</t>
        </is>
      </c>
      <c r="G1823" t="inlineStr">
        <is>
          <t>ÖRNSKÖLDSVIK</t>
        </is>
      </c>
      <c r="I1823" t="n">
        <v>2.5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26381-2026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46183</v>
      </c>
      <c r="E1824" s="1" t="n">
        <v>46218</v>
      </c>
      <c r="F1824" t="inlineStr">
        <is>
          <t>VÄSTERNORRLANDS LÄN</t>
        </is>
      </c>
      <c r="G1824" t="inlineStr">
        <is>
          <t>ÖRNSKÖLDSVIK</t>
        </is>
      </c>
      <c r="I1824" t="n">
        <v>2.5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37799-2025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45881</v>
      </c>
      <c r="E1825" s="1" t="n">
        <v>46218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1.3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10485-2025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45721</v>
      </c>
      <c r="E1826" s="1" t="n">
        <v>46218</v>
      </c>
      <c r="F1826" t="inlineStr">
        <is>
          <t>VÄSTERNORRLANDS LÄN</t>
        </is>
      </c>
      <c r="G1826" t="inlineStr">
        <is>
          <t>ÖRNSKÖLDSVIK</t>
        </is>
      </c>
      <c r="I1826" t="n">
        <v>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37861-2025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45881</v>
      </c>
      <c r="E1827" s="1" t="n">
        <v>46218</v>
      </c>
      <c r="F1827" t="inlineStr">
        <is>
          <t>VÄSTERNORRLANDS LÄN</t>
        </is>
      </c>
      <c r="G1827" t="inlineStr">
        <is>
          <t>ÖRNSKÖLDSVIK</t>
        </is>
      </c>
      <c r="I1827" t="n">
        <v>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37885-2025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45881</v>
      </c>
      <c r="E1828" s="1" t="n">
        <v>46218</v>
      </c>
      <c r="F1828" t="inlineStr">
        <is>
          <t>VÄSTERNORRLANDS LÄN</t>
        </is>
      </c>
      <c r="G1828" t="inlineStr">
        <is>
          <t>ÖRNSKÖLDSVIK</t>
        </is>
      </c>
      <c r="I1828" t="n">
        <v>2.6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26776-2024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45470</v>
      </c>
      <c r="E1829" s="1" t="n">
        <v>46218</v>
      </c>
      <c r="F1829" t="inlineStr">
        <is>
          <t>VÄSTERNORRLANDS LÄN</t>
        </is>
      </c>
      <c r="G1829" t="inlineStr">
        <is>
          <t>ÖRNSKÖLDSVIK</t>
        </is>
      </c>
      <c r="I1829" t="n">
        <v>1.8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26066-2025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45805</v>
      </c>
      <c r="E1830" s="1" t="n">
        <v>46218</v>
      </c>
      <c r="F1830" t="inlineStr">
        <is>
          <t>VÄSTERNORRLANDS LÄN</t>
        </is>
      </c>
      <c r="G1830" t="inlineStr">
        <is>
          <t>ÖRNSKÖLDSVIK</t>
        </is>
      </c>
      <c r="I1830" t="n">
        <v>4.1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26220-2026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46182</v>
      </c>
      <c r="E1831" s="1" t="n">
        <v>46218</v>
      </c>
      <c r="F1831" t="inlineStr">
        <is>
          <t>VÄSTERNORRLANDS LÄN</t>
        </is>
      </c>
      <c r="G1831" t="inlineStr">
        <is>
          <t>ÖRNSKÖLDSVIK</t>
        </is>
      </c>
      <c r="I1831" t="n">
        <v>0.7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28716-2025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45820</v>
      </c>
      <c r="E1832" s="1" t="n">
        <v>46218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2.6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11804-2024</t>
        </is>
      </c>
      <c r="B1833" t="inlineStr">
        <is>
          <t>avverkningsanmälan</t>
        </is>
      </c>
      <c r="C1833" t="inlineStr">
        <is>
          <t>Avverkning för annat ändamål</t>
        </is>
      </c>
      <c r="D1833" s="1" t="n">
        <v>45375</v>
      </c>
      <c r="E1833" s="1" t="n">
        <v>46218</v>
      </c>
      <c r="F1833" t="inlineStr">
        <is>
          <t>VÄSTERNORRLANDS LÄN</t>
        </is>
      </c>
      <c r="G1833" t="inlineStr">
        <is>
          <t>ÖRNSKÖLDSVIK</t>
        </is>
      </c>
      <c r="I1833" t="n">
        <v>0.2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60523-2025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45995</v>
      </c>
      <c r="E1834" s="1" t="n">
        <v>46218</v>
      </c>
      <c r="F1834" t="inlineStr">
        <is>
          <t>VÄSTERNORRLANDS LÄN</t>
        </is>
      </c>
      <c r="G1834" t="inlineStr">
        <is>
          <t>ÖRNSKÖLDSVIK</t>
        </is>
      </c>
      <c r="I1834" t="n">
        <v>2.7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60510-2025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45995</v>
      </c>
      <c r="E1835" s="1" t="n">
        <v>46218</v>
      </c>
      <c r="F1835" t="inlineStr">
        <is>
          <t>VÄSTERNORRLANDS LÄN</t>
        </is>
      </c>
      <c r="G1835" t="inlineStr">
        <is>
          <t>ÖRNSKÖLDSVIK</t>
        </is>
      </c>
      <c r="I1835" t="n">
        <v>2.6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21908-2025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45784</v>
      </c>
      <c r="E1836" s="1" t="n">
        <v>46218</v>
      </c>
      <c r="F1836" t="inlineStr">
        <is>
          <t>VÄSTERNORRLANDS LÄN</t>
        </is>
      </c>
      <c r="G1836" t="inlineStr">
        <is>
          <t>ÖRNSKÖLDSVIK</t>
        </is>
      </c>
      <c r="I1836" t="n">
        <v>1.7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21022-2025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45777</v>
      </c>
      <c r="E1837" s="1" t="n">
        <v>46218</v>
      </c>
      <c r="F1837" t="inlineStr">
        <is>
          <t>VÄSTERNORRLANDS LÄN</t>
        </is>
      </c>
      <c r="G1837" t="inlineStr">
        <is>
          <t>ÖRNSKÖLDSVIK</t>
        </is>
      </c>
      <c r="I1837" t="n">
        <v>1.3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37600-2025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45880</v>
      </c>
      <c r="E1838" s="1" t="n">
        <v>46218</v>
      </c>
      <c r="F1838" t="inlineStr">
        <is>
          <t>VÄSTERNORRLANDS LÄN</t>
        </is>
      </c>
      <c r="G1838" t="inlineStr">
        <is>
          <t>ÖRNSKÖLDSVIK</t>
        </is>
      </c>
      <c r="I1838" t="n">
        <v>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37761-2025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45880</v>
      </c>
      <c r="E1839" s="1" t="n">
        <v>46218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2.8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60748-2025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45999</v>
      </c>
      <c r="E1840" s="1" t="n">
        <v>46218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2.5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37579-2025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45880</v>
      </c>
      <c r="E1841" s="1" t="n">
        <v>46218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0.8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26236-2026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46181</v>
      </c>
      <c r="E1842" s="1" t="n">
        <v>46218</v>
      </c>
      <c r="F1842" t="inlineStr">
        <is>
          <t>VÄSTERNORRLANDS LÄN</t>
        </is>
      </c>
      <c r="G1842" t="inlineStr">
        <is>
          <t>ÖRNSKÖLDSVIK</t>
        </is>
      </c>
      <c r="I1842" t="n">
        <v>0.8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26266-2026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46182</v>
      </c>
      <c r="E1843" s="1" t="n">
        <v>46218</v>
      </c>
      <c r="F1843" t="inlineStr">
        <is>
          <t>VÄSTERNORRLANDS LÄN</t>
        </is>
      </c>
      <c r="G1843" t="inlineStr">
        <is>
          <t>ÖRNSKÖLDSVIK</t>
        </is>
      </c>
      <c r="I1843" t="n">
        <v>1.9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26270-2026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46181</v>
      </c>
      <c r="E1844" s="1" t="n">
        <v>46218</v>
      </c>
      <c r="F1844" t="inlineStr">
        <is>
          <t>VÄSTERNORRLANDS LÄN</t>
        </is>
      </c>
      <c r="G1844" t="inlineStr">
        <is>
          <t>ÖRNSKÖLDSVIK</t>
        </is>
      </c>
      <c r="I1844" t="n">
        <v>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38933-2025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45887</v>
      </c>
      <c r="E1845" s="1" t="n">
        <v>46218</v>
      </c>
      <c r="F1845" t="inlineStr">
        <is>
          <t>VÄSTERNORRLANDS LÄN</t>
        </is>
      </c>
      <c r="G1845" t="inlineStr">
        <is>
          <t>ÖRNSKÖLDSVIK</t>
        </is>
      </c>
      <c r="I1845" t="n">
        <v>0.8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7292-2026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46058</v>
      </c>
      <c r="E1846" s="1" t="n">
        <v>46218</v>
      </c>
      <c r="F1846" t="inlineStr">
        <is>
          <t>VÄSTERNORRLANDS LÄN</t>
        </is>
      </c>
      <c r="G1846" t="inlineStr">
        <is>
          <t>ÖRNSKÖLDSVIK</t>
        </is>
      </c>
      <c r="I1846" t="n">
        <v>7.8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60750-2025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45999</v>
      </c>
      <c r="E1847" s="1" t="n">
        <v>46218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37986-2025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45881</v>
      </c>
      <c r="E1848" s="1" t="n">
        <v>46218</v>
      </c>
      <c r="F1848" t="inlineStr">
        <is>
          <t>VÄSTERNORRLANDS LÄN</t>
        </is>
      </c>
      <c r="G1848" t="inlineStr">
        <is>
          <t>ÖRNSKÖLDSVIK</t>
        </is>
      </c>
      <c r="I1848" t="n">
        <v>2.8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64987-2021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44514</v>
      </c>
      <c r="E1849" s="1" t="n">
        <v>46218</v>
      </c>
      <c r="F1849" t="inlineStr">
        <is>
          <t>VÄSTERNORRLANDS LÄN</t>
        </is>
      </c>
      <c r="G1849" t="inlineStr">
        <is>
          <t>ÖRNSKÖLDSVIK</t>
        </is>
      </c>
      <c r="I1849" t="n">
        <v>4.2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60765-2025</t>
        </is>
      </c>
      <c r="B1850" t="inlineStr">
        <is>
          <t>avverkningsanmälan</t>
        </is>
      </c>
      <c r="C1850" t="inlineStr">
        <is>
          <t>Avverkning för att bevara och utveckla /försöksver</t>
        </is>
      </c>
      <c r="D1850" s="1" t="n">
        <v>45999</v>
      </c>
      <c r="E1850" s="1" t="n">
        <v>46218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SCA</t>
        </is>
      </c>
      <c r="I1850" t="n">
        <v>5.5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37177-2024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45539</v>
      </c>
      <c r="E1851" s="1" t="n">
        <v>46218</v>
      </c>
      <c r="F1851" t="inlineStr">
        <is>
          <t>VÄSTERNORRLANDS LÄN</t>
        </is>
      </c>
      <c r="G1851" t="inlineStr">
        <is>
          <t>ÖRNSKÖLDSVIK</t>
        </is>
      </c>
      <c r="I1851" t="n">
        <v>5.8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14562-2026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46100</v>
      </c>
      <c r="E1852" s="1" t="n">
        <v>46218</v>
      </c>
      <c r="F1852" t="inlineStr">
        <is>
          <t>VÄSTERNORRLANDS LÄN</t>
        </is>
      </c>
      <c r="G1852" t="inlineStr">
        <is>
          <t>ÖRNSKÖLDSVIK</t>
        </is>
      </c>
      <c r="I1852" t="n">
        <v>3.6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60895-2025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45999</v>
      </c>
      <c r="E1853" s="1" t="n">
        <v>46218</v>
      </c>
      <c r="F1853" t="inlineStr">
        <is>
          <t>VÄSTERNORRLANDS LÄN</t>
        </is>
      </c>
      <c r="G1853" t="inlineStr">
        <is>
          <t>ÖRNSKÖLDSVIK</t>
        </is>
      </c>
      <c r="I1853" t="n">
        <v>0.7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60914-2025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45999</v>
      </c>
      <c r="E1854" s="1" t="n">
        <v>46218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Kommuner</t>
        </is>
      </c>
      <c r="I1854" t="n">
        <v>3.7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60161-2024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45642</v>
      </c>
      <c r="E1855" s="1" t="n">
        <v>46218</v>
      </c>
      <c r="F1855" t="inlineStr">
        <is>
          <t>VÄSTERNORRLANDS LÄN</t>
        </is>
      </c>
      <c r="G1855" t="inlineStr">
        <is>
          <t>ÖRNSKÖLDSVIK</t>
        </is>
      </c>
      <c r="I1855" t="n">
        <v>4.7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18465-2025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45762</v>
      </c>
      <c r="E1856" s="1" t="n">
        <v>46218</v>
      </c>
      <c r="F1856" t="inlineStr">
        <is>
          <t>VÄSTERNORRLANDS LÄN</t>
        </is>
      </c>
      <c r="G1856" t="inlineStr">
        <is>
          <t>ÖRNSKÖLDSVIK</t>
        </is>
      </c>
      <c r="I1856" t="n">
        <v>6.2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37883-2025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45881</v>
      </c>
      <c r="E1857" s="1" t="n">
        <v>46218</v>
      </c>
      <c r="F1857" t="inlineStr">
        <is>
          <t>VÄSTERNORRLANDS LÄN</t>
        </is>
      </c>
      <c r="G1857" t="inlineStr">
        <is>
          <t>ÖRNSKÖLDSVIK</t>
        </is>
      </c>
      <c r="I1857" t="n">
        <v>6.7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60579-2025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45996</v>
      </c>
      <c r="E1858" s="1" t="n">
        <v>46218</v>
      </c>
      <c r="F1858" t="inlineStr">
        <is>
          <t>VÄSTERNORRLANDS LÄN</t>
        </is>
      </c>
      <c r="G1858" t="inlineStr">
        <is>
          <t>ÖRNSKÖLDSVIK</t>
        </is>
      </c>
      <c r="I1858" t="n">
        <v>5.9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60839-2025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45999</v>
      </c>
      <c r="E1859" s="1" t="n">
        <v>46218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1.9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8523-2024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45351</v>
      </c>
      <c r="E1860" s="1" t="n">
        <v>46218</v>
      </c>
      <c r="F1860" t="inlineStr">
        <is>
          <t>VÄSTERNORRLANDS LÄN</t>
        </is>
      </c>
      <c r="G1860" t="inlineStr">
        <is>
          <t>ÖRNSKÖLDSVIK</t>
        </is>
      </c>
      <c r="I1860" t="n">
        <v>0.7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60938-2025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45996</v>
      </c>
      <c r="E1861" s="1" t="n">
        <v>46218</v>
      </c>
      <c r="F1861" t="inlineStr">
        <is>
          <t>VÄSTERNORRLANDS LÄN</t>
        </is>
      </c>
      <c r="G1861" t="inlineStr">
        <is>
          <t>ÖRNSKÖLDSVIK</t>
        </is>
      </c>
      <c r="I1861" t="n">
        <v>2.5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61513-2023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45265</v>
      </c>
      <c r="E1862" s="1" t="n">
        <v>46218</v>
      </c>
      <c r="F1862" t="inlineStr">
        <is>
          <t>VÄSTERNORRLANDS LÄN</t>
        </is>
      </c>
      <c r="G1862" t="inlineStr">
        <is>
          <t>ÖRNSKÖLDSVIK</t>
        </is>
      </c>
      <c r="I1862" t="n">
        <v>1.5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38364-2025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45883</v>
      </c>
      <c r="E1863" s="1" t="n">
        <v>46218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1.5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42512-2024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45565</v>
      </c>
      <c r="E1864" s="1" t="n">
        <v>46218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2.8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61375-2025</t>
        </is>
      </c>
      <c r="B1865" t="inlineStr">
        <is>
          <t>avverkningsanmälan</t>
        </is>
      </c>
      <c r="C1865" t="inlineStr">
        <is>
          <t>Avverkning för att bevara och utveckla /försöksver</t>
        </is>
      </c>
      <c r="D1865" s="1" t="n">
        <v>46001</v>
      </c>
      <c r="E1865" s="1" t="n">
        <v>46218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1.1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25278-2024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45462</v>
      </c>
      <c r="E1866" s="1" t="n">
        <v>46218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38150-2025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45882</v>
      </c>
      <c r="E1867" s="1" t="n">
        <v>46218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SCA</t>
        </is>
      </c>
      <c r="I1867" t="n">
        <v>0.9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38039-2025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45882</v>
      </c>
      <c r="E1868" s="1" t="n">
        <v>46218</v>
      </c>
      <c r="F1868" t="inlineStr">
        <is>
          <t>VÄSTERNORRLANDS LÄN</t>
        </is>
      </c>
      <c r="G1868" t="inlineStr">
        <is>
          <t>ÖRNSKÖLDSVIK</t>
        </is>
      </c>
      <c r="I1868" t="n">
        <v>1.4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20571-2025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45775</v>
      </c>
      <c r="E1869" s="1" t="n">
        <v>46218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18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8250-2025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45708</v>
      </c>
      <c r="E1870" s="1" t="n">
        <v>46218</v>
      </c>
      <c r="F1870" t="inlineStr">
        <is>
          <t>VÄSTERNORRLANDS LÄN</t>
        </is>
      </c>
      <c r="G1870" t="inlineStr">
        <is>
          <t>ÖRNSKÖLDSVIK</t>
        </is>
      </c>
      <c r="I1870" t="n">
        <v>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26180-2026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46182</v>
      </c>
      <c r="E1871" s="1" t="n">
        <v>46218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SCA</t>
        </is>
      </c>
      <c r="I1871" t="n">
        <v>15.9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40990-2025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45898</v>
      </c>
      <c r="E1872" s="1" t="n">
        <v>46218</v>
      </c>
      <c r="F1872" t="inlineStr">
        <is>
          <t>VÄSTERNORRLANDS LÄN</t>
        </is>
      </c>
      <c r="G1872" t="inlineStr">
        <is>
          <t>ÖRNSKÖLDSVIK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26737-2026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46184</v>
      </c>
      <c r="E1873" s="1" t="n">
        <v>46218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3.4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26738-2026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46184</v>
      </c>
      <c r="E1874" s="1" t="n">
        <v>46218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1.4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29151-2023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45105</v>
      </c>
      <c r="E1875" s="1" t="n">
        <v>46218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5.3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61232-2025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46000</v>
      </c>
      <c r="E1876" s="1" t="n">
        <v>46218</v>
      </c>
      <c r="F1876" t="inlineStr">
        <is>
          <t>VÄSTERNORRLANDS LÄN</t>
        </is>
      </c>
      <c r="G1876" t="inlineStr">
        <is>
          <t>ÖRNSKÖLDSVIK</t>
        </is>
      </c>
      <c r="I1876" t="n">
        <v>1.3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26771-2026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46184</v>
      </c>
      <c r="E1877" s="1" t="n">
        <v>46218</v>
      </c>
      <c r="F1877" t="inlineStr">
        <is>
          <t>VÄSTERNORRLANDS LÄN</t>
        </is>
      </c>
      <c r="G1877" t="inlineStr">
        <is>
          <t>ÖRNSKÖLDSVIK</t>
        </is>
      </c>
      <c r="I1877" t="n">
        <v>8.5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26811-2026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46185</v>
      </c>
      <c r="E1878" s="1" t="n">
        <v>46218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SCA</t>
        </is>
      </c>
      <c r="I1878" t="n">
        <v>6.5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26837-2026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46185</v>
      </c>
      <c r="E1879" s="1" t="n">
        <v>46218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SCA</t>
        </is>
      </c>
      <c r="I1879" t="n">
        <v>0.9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26899-2026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46185</v>
      </c>
      <c r="E1880" s="1" t="n">
        <v>46218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1.1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26915-2026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46185</v>
      </c>
      <c r="E1881" s="1" t="n">
        <v>46218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5.4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26809-2026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46185</v>
      </c>
      <c r="E1882" s="1" t="n">
        <v>46218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SCA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38811-2022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44816</v>
      </c>
      <c r="E1883" s="1" t="n">
        <v>46218</v>
      </c>
      <c r="F1883" t="inlineStr">
        <is>
          <t>VÄSTERNORRLANDS LÄN</t>
        </is>
      </c>
      <c r="G1883" t="inlineStr">
        <is>
          <t>ÖRNSKÖLDSVIK</t>
        </is>
      </c>
      <c r="I1883" t="n">
        <v>1.3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46307-2023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45197</v>
      </c>
      <c r="E1884" s="1" t="n">
        <v>46218</v>
      </c>
      <c r="F1884" t="inlineStr">
        <is>
          <t>VÄSTERNORRLANDS LÄN</t>
        </is>
      </c>
      <c r="G1884" t="inlineStr">
        <is>
          <t>ÖRNSKÖLDSVIK</t>
        </is>
      </c>
      <c r="I1884" t="n">
        <v>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26101-2026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46178</v>
      </c>
      <c r="E1885" s="1" t="n">
        <v>46218</v>
      </c>
      <c r="F1885" t="inlineStr">
        <is>
          <t>VÄSTERNORRLANDS LÄN</t>
        </is>
      </c>
      <c r="G1885" t="inlineStr">
        <is>
          <t>ÖRNSKÖLDSVIK</t>
        </is>
      </c>
      <c r="I1885" t="n">
        <v>0.7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61918-2025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46003</v>
      </c>
      <c r="E1886" s="1" t="n">
        <v>46218</v>
      </c>
      <c r="F1886" t="inlineStr">
        <is>
          <t>VÄSTERNORRLANDS LÄN</t>
        </is>
      </c>
      <c r="G1886" t="inlineStr">
        <is>
          <t>ÖRNSKÖLDSVIK</t>
        </is>
      </c>
      <c r="I1886" t="n">
        <v>6.1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61943-2025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46003</v>
      </c>
      <c r="E1887" s="1" t="n">
        <v>46218</v>
      </c>
      <c r="F1887" t="inlineStr">
        <is>
          <t>VÄSTERNORRLANDS LÄN</t>
        </is>
      </c>
      <c r="G1887" t="inlineStr">
        <is>
          <t>ÖRNSKÖLDSVIK</t>
        </is>
      </c>
      <c r="I1887" t="n">
        <v>0.6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1531-2025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45670</v>
      </c>
      <c r="E1888" s="1" t="n">
        <v>46218</v>
      </c>
      <c r="F1888" t="inlineStr">
        <is>
          <t>VÄSTERNORRLANDS LÄN</t>
        </is>
      </c>
      <c r="G1888" t="inlineStr">
        <is>
          <t>ÖRNSKÖLDSVIK</t>
        </is>
      </c>
      <c r="I1888" t="n">
        <v>2.6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35043-2025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45852</v>
      </c>
      <c r="E1889" s="1" t="n">
        <v>46218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SCA</t>
        </is>
      </c>
      <c r="I1889" t="n">
        <v>1.3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33187-2024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45518</v>
      </c>
      <c r="E1890" s="1" t="n">
        <v>46218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0.8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26896-2026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46185</v>
      </c>
      <c r="E1891" s="1" t="n">
        <v>46218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3.1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32515-2024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45513</v>
      </c>
      <c r="E1892" s="1" t="n">
        <v>46218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1.8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40742-2021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44420</v>
      </c>
      <c r="E1893" s="1" t="n">
        <v>46218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3.9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26898-2026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46185</v>
      </c>
      <c r="E1894" s="1" t="n">
        <v>46218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2.5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26895-2026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46185</v>
      </c>
      <c r="E1895" s="1" t="n">
        <v>46218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10.5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26921-2026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46185</v>
      </c>
      <c r="E1896" s="1" t="n">
        <v>46218</v>
      </c>
      <c r="F1896" t="inlineStr">
        <is>
          <t>VÄSTERNORRLANDS LÄN</t>
        </is>
      </c>
      <c r="G1896" t="inlineStr">
        <is>
          <t>ÖRNSKÖLDSVIK</t>
        </is>
      </c>
      <c r="I1896" t="n">
        <v>0.4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26747-2026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46184</v>
      </c>
      <c r="E1897" s="1" t="n">
        <v>46218</v>
      </c>
      <c r="F1897" t="inlineStr">
        <is>
          <t>VÄSTERNORRLANDS LÄN</t>
        </is>
      </c>
      <c r="G1897" t="inlineStr">
        <is>
          <t>ÖRNSKÖLDSVIK</t>
        </is>
      </c>
      <c r="I1897" t="n">
        <v>14.5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26617-2026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46184</v>
      </c>
      <c r="E1898" s="1" t="n">
        <v>46218</v>
      </c>
      <c r="F1898" t="inlineStr">
        <is>
          <t>VÄSTERNORRLANDS LÄN</t>
        </is>
      </c>
      <c r="G1898" t="inlineStr">
        <is>
          <t>ÖRNSKÖLDSVIK</t>
        </is>
      </c>
      <c r="I1898" t="n">
        <v>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26651-2026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46184</v>
      </c>
      <c r="E1899" s="1" t="n">
        <v>46218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46977-2024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45586</v>
      </c>
      <c r="E1900" s="1" t="n">
        <v>46218</v>
      </c>
      <c r="F1900" t="inlineStr">
        <is>
          <t>VÄSTERNORRLANDS LÄN</t>
        </is>
      </c>
      <c r="G1900" t="inlineStr">
        <is>
          <t>ÖRNSKÖLDSVIK</t>
        </is>
      </c>
      <c r="I1900" t="n">
        <v>0.5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26620-2026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46184</v>
      </c>
      <c r="E1901" s="1" t="n">
        <v>46218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SCA</t>
        </is>
      </c>
      <c r="I1901" t="n">
        <v>3.4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28711-2024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45478</v>
      </c>
      <c r="E1902" s="1" t="n">
        <v>46218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0.6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18178-2024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45420</v>
      </c>
      <c r="E1903" s="1" t="n">
        <v>46218</v>
      </c>
      <c r="F1903" t="inlineStr">
        <is>
          <t>VÄSTERNORRLANDS LÄN</t>
        </is>
      </c>
      <c r="G1903" t="inlineStr">
        <is>
          <t>ÖRNSKÖLDSVIK</t>
        </is>
      </c>
      <c r="I1903" t="n">
        <v>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26813-2026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46183</v>
      </c>
      <c r="E1904" s="1" t="n">
        <v>46218</v>
      </c>
      <c r="F1904" t="inlineStr">
        <is>
          <t>VÄSTERNORRLANDS LÄN</t>
        </is>
      </c>
      <c r="G1904" t="inlineStr">
        <is>
          <t>ÖRNSKÖLDSVIK</t>
        </is>
      </c>
      <c r="I1904" t="n">
        <v>4.4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62308-2025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46006</v>
      </c>
      <c r="E1905" s="1" t="n">
        <v>46218</v>
      </c>
      <c r="F1905" t="inlineStr">
        <is>
          <t>VÄSTERNORRLANDS LÄN</t>
        </is>
      </c>
      <c r="G1905" t="inlineStr">
        <is>
          <t>ÖRNSKÖLDSVIK</t>
        </is>
      </c>
      <c r="I1905" t="n">
        <v>1.6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62338-2025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46006</v>
      </c>
      <c r="E1906" s="1" t="n">
        <v>46218</v>
      </c>
      <c r="F1906" t="inlineStr">
        <is>
          <t>VÄSTERNORRLANDS LÄN</t>
        </is>
      </c>
      <c r="G1906" t="inlineStr">
        <is>
          <t>ÖRNSKÖLDSVIK</t>
        </is>
      </c>
      <c r="I1906" t="n">
        <v>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29498-2023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45106</v>
      </c>
      <c r="E1907" s="1" t="n">
        <v>46218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62136-2025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46006</v>
      </c>
      <c r="E1908" s="1" t="n">
        <v>46218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7.7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42583-2024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45565</v>
      </c>
      <c r="E1909" s="1" t="n">
        <v>46218</v>
      </c>
      <c r="F1909" t="inlineStr">
        <is>
          <t>VÄSTERNORRLANDS LÄN</t>
        </is>
      </c>
      <c r="G1909" t="inlineStr">
        <is>
          <t>ÖRNSKÖLDSVIK</t>
        </is>
      </c>
      <c r="I1909" t="n">
        <v>11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63039-2021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44505</v>
      </c>
      <c r="E1910" s="1" t="n">
        <v>46218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27297-2026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46188</v>
      </c>
      <c r="E1911" s="1" t="n">
        <v>46218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5102-2022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44593</v>
      </c>
      <c r="E1912" s="1" t="n">
        <v>46218</v>
      </c>
      <c r="F1912" t="inlineStr">
        <is>
          <t>VÄSTERNORRLANDS LÄN</t>
        </is>
      </c>
      <c r="G1912" t="inlineStr">
        <is>
          <t>ÖRNSKÖLDSVIK</t>
        </is>
      </c>
      <c r="I1912" t="n">
        <v>16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52467-2022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44874</v>
      </c>
      <c r="E1913" s="1" t="n">
        <v>46218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4.5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21023-2026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46145</v>
      </c>
      <c r="E1914" s="1" t="n">
        <v>46218</v>
      </c>
      <c r="F1914" t="inlineStr">
        <is>
          <t>VÄSTERNORRLANDS LÄN</t>
        </is>
      </c>
      <c r="G1914" t="inlineStr">
        <is>
          <t>ÖRNSKÖLDSVIK</t>
        </is>
      </c>
      <c r="I1914" t="n">
        <v>1.3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62204-2025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46006</v>
      </c>
      <c r="E1915" s="1" t="n">
        <v>46218</v>
      </c>
      <c r="F1915" t="inlineStr">
        <is>
          <t>VÄSTERNORRLANDS LÄN</t>
        </is>
      </c>
      <c r="G1915" t="inlineStr">
        <is>
          <t>ÖRNSKÖLDSVIK</t>
        </is>
      </c>
      <c r="I1915" t="n">
        <v>3.1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57157-2024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45629</v>
      </c>
      <c r="E1916" s="1" t="n">
        <v>46218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14.5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62069-2025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46006</v>
      </c>
      <c r="E1917" s="1" t="n">
        <v>46218</v>
      </c>
      <c r="F1917" t="inlineStr">
        <is>
          <t>VÄSTERNORRLANDS LÄN</t>
        </is>
      </c>
      <c r="G1917" t="inlineStr">
        <is>
          <t>ÖRNSKÖLDSVIK</t>
        </is>
      </c>
      <c r="I1917" t="n">
        <v>3.2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27408-2026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46189</v>
      </c>
      <c r="E1918" s="1" t="n">
        <v>46218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0.5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27412-2026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46189</v>
      </c>
      <c r="E1919" s="1" t="n">
        <v>46218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SCA</t>
        </is>
      </c>
      <c r="I1919" t="n">
        <v>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63846-2025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46020</v>
      </c>
      <c r="E1920" s="1" t="n">
        <v>46218</v>
      </c>
      <c r="F1920" t="inlineStr">
        <is>
          <t>VÄSTERNORRLANDS LÄN</t>
        </is>
      </c>
      <c r="G1920" t="inlineStr">
        <is>
          <t>ÖRNSKÖLDSVIK</t>
        </is>
      </c>
      <c r="I1920" t="n">
        <v>3.9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3139-2026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46041</v>
      </c>
      <c r="E1921" s="1" t="n">
        <v>46218</v>
      </c>
      <c r="F1921" t="inlineStr">
        <is>
          <t>VÄSTERNORRLANDS LÄN</t>
        </is>
      </c>
      <c r="G1921" t="inlineStr">
        <is>
          <t>ÖRNSKÖLDSVIK</t>
        </is>
      </c>
      <c r="I1921" t="n">
        <v>2.2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62094-2025</t>
        </is>
      </c>
      <c r="B1922" t="inlineStr">
        <is>
          <t>avverkningsanmälan</t>
        </is>
      </c>
      <c r="C1922" t="inlineStr">
        <is>
          <t>Avverkning för annat ändamål</t>
        </is>
      </c>
      <c r="D1922" s="1" t="n">
        <v>46006</v>
      </c>
      <c r="E1922" s="1" t="n">
        <v>46218</v>
      </c>
      <c r="F1922" t="inlineStr">
        <is>
          <t>VÄSTERNORRLANDS LÄN</t>
        </is>
      </c>
      <c r="G1922" t="inlineStr">
        <is>
          <t>ÖRNSKÖLDSVIK</t>
        </is>
      </c>
      <c r="I1922" t="n">
        <v>0.7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21175-2026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46146</v>
      </c>
      <c r="E1923" s="1" t="n">
        <v>46218</v>
      </c>
      <c r="F1923" t="inlineStr">
        <is>
          <t>VÄSTERNORRLANDS LÄN</t>
        </is>
      </c>
      <c r="G1923" t="inlineStr">
        <is>
          <t>ÖRNSKÖLDSVIK</t>
        </is>
      </c>
      <c r="I1923" t="n">
        <v>1.2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27245-2026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46188</v>
      </c>
      <c r="E1924" s="1" t="n">
        <v>46218</v>
      </c>
      <c r="F1924" t="inlineStr">
        <is>
          <t>VÄSTERNORRLANDS LÄN</t>
        </is>
      </c>
      <c r="G1924" t="inlineStr">
        <is>
          <t>ÖRNSKÖLDSVIK</t>
        </is>
      </c>
      <c r="I1924" t="n">
        <v>5.2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21207-2026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46146</v>
      </c>
      <c r="E1925" s="1" t="n">
        <v>46218</v>
      </c>
      <c r="F1925" t="inlineStr">
        <is>
          <t>VÄSTERNORRLANDS LÄN</t>
        </is>
      </c>
      <c r="G1925" t="inlineStr">
        <is>
          <t>ÖRNSKÖLDSVIK</t>
        </is>
      </c>
      <c r="I1925" t="n">
        <v>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441-2024</t>
        </is>
      </c>
      <c r="B1926" t="inlineStr">
        <is>
          <t>avverkningsanmälan</t>
        </is>
      </c>
      <c r="C1926" t="inlineStr">
        <is>
          <t>Avverkning för att bevara och utveckla /försöksver</t>
        </is>
      </c>
      <c r="D1926" s="1" t="n">
        <v>45296</v>
      </c>
      <c r="E1926" s="1" t="n">
        <v>46218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0.5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62140-2025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46006</v>
      </c>
      <c r="E1927" s="1" t="n">
        <v>46218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1.2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27212-2026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46188</v>
      </c>
      <c r="E1928" s="1" t="n">
        <v>46218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27214-2026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46188</v>
      </c>
      <c r="E1929" s="1" t="n">
        <v>46218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0.9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62610-2025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46008</v>
      </c>
      <c r="E1930" s="1" t="n">
        <v>46218</v>
      </c>
      <c r="F1930" t="inlineStr">
        <is>
          <t>VÄSTERNORRLANDS LÄN</t>
        </is>
      </c>
      <c r="G1930" t="inlineStr">
        <is>
          <t>ÖRNSKÖLDSVIK</t>
        </is>
      </c>
      <c r="I1930" t="n">
        <v>2.3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62866-2025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46008</v>
      </c>
      <c r="E1931" s="1" t="n">
        <v>46218</v>
      </c>
      <c r="F1931" t="inlineStr">
        <is>
          <t>VÄSTERNORRLANDS LÄN</t>
        </is>
      </c>
      <c r="G1931" t="inlineStr">
        <is>
          <t>ÖRNSKÖLDSVIK</t>
        </is>
      </c>
      <c r="I1931" t="n">
        <v>3.2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27407-2026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46189</v>
      </c>
      <c r="E1932" s="1" t="n">
        <v>46218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1.6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21024-2026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46145</v>
      </c>
      <c r="E1933" s="1" t="n">
        <v>46218</v>
      </c>
      <c r="F1933" t="inlineStr">
        <is>
          <t>VÄSTERNORRLANDS LÄN</t>
        </is>
      </c>
      <c r="G1933" t="inlineStr">
        <is>
          <t>ÖRNSKÖLDSVIK</t>
        </is>
      </c>
      <c r="I1933" t="n">
        <v>1.7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27174-2026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46188</v>
      </c>
      <c r="E1934" s="1" t="n">
        <v>46218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1.1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27178-2026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46188</v>
      </c>
      <c r="E1935" s="1" t="n">
        <v>46218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27132-2026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46188</v>
      </c>
      <c r="E1936" s="1" t="n">
        <v>46218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3.5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39079-2023</t>
        </is>
      </c>
      <c r="B1937" t="inlineStr">
        <is>
          <t>avverkningsanmälan</t>
        </is>
      </c>
      <c r="C1937" t="inlineStr">
        <is>
          <t>Avverkning för att bevara och utveckla /försöksver</t>
        </is>
      </c>
      <c r="D1937" s="1" t="n">
        <v>45163</v>
      </c>
      <c r="E1937" s="1" t="n">
        <v>46218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SCA</t>
        </is>
      </c>
      <c r="I1937" t="n">
        <v>9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38284-2025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45883</v>
      </c>
      <c r="E1938" s="1" t="n">
        <v>46218</v>
      </c>
      <c r="F1938" t="inlineStr">
        <is>
          <t>VÄSTERNORRLANDS LÄN</t>
        </is>
      </c>
      <c r="G1938" t="inlineStr">
        <is>
          <t>ÖRNSKÖLDSVIK</t>
        </is>
      </c>
      <c r="I1938" t="n">
        <v>4.8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28827-2023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45104</v>
      </c>
      <c r="E1939" s="1" t="n">
        <v>46218</v>
      </c>
      <c r="F1939" t="inlineStr">
        <is>
          <t>VÄSTERNORRLANDS LÄN</t>
        </is>
      </c>
      <c r="G1939" t="inlineStr">
        <is>
          <t>ÖRNSKÖLDSVIK</t>
        </is>
      </c>
      <c r="I1939" t="n">
        <v>0.9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63109-2025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46009</v>
      </c>
      <c r="E1940" s="1" t="n">
        <v>46218</v>
      </c>
      <c r="F1940" t="inlineStr">
        <is>
          <t>VÄSTERNORRLANDS LÄN</t>
        </is>
      </c>
      <c r="G1940" t="inlineStr">
        <is>
          <t>ÖRNSKÖLDSVIK</t>
        </is>
      </c>
      <c r="I1940" t="n">
        <v>3.9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62771-2025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46008</v>
      </c>
      <c r="E1941" s="1" t="n">
        <v>46218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6.4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62649-2025</t>
        </is>
      </c>
      <c r="B1942" t="inlineStr">
        <is>
          <t>avverkningsanmälan</t>
        </is>
      </c>
      <c r="C1942" t="inlineStr">
        <is>
          <t>Avverkning för annat ändamål</t>
        </is>
      </c>
      <c r="D1942" s="1" t="n">
        <v>46008</v>
      </c>
      <c r="E1942" s="1" t="n">
        <v>46218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5.1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58702-2025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45986</v>
      </c>
      <c r="E1943" s="1" t="n">
        <v>46218</v>
      </c>
      <c r="F1943" t="inlineStr">
        <is>
          <t>VÄSTERNORRLANDS LÄN</t>
        </is>
      </c>
      <c r="G1943" t="inlineStr">
        <is>
          <t>ÖRNSKÖLDSVIK</t>
        </is>
      </c>
      <c r="I1943" t="n">
        <v>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42603-2023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45181</v>
      </c>
      <c r="E1944" s="1" t="n">
        <v>46218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2.2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21025-2026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46145</v>
      </c>
      <c r="E1945" s="1" t="n">
        <v>46218</v>
      </c>
      <c r="F1945" t="inlineStr">
        <is>
          <t>VÄSTERNORRLANDS LÄN</t>
        </is>
      </c>
      <c r="G1945" t="inlineStr">
        <is>
          <t>ÖRNSKÖLDSVIK</t>
        </is>
      </c>
      <c r="I1945" t="n">
        <v>2.1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62820-2025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46008</v>
      </c>
      <c r="E1946" s="1" t="n">
        <v>46218</v>
      </c>
      <c r="F1946" t="inlineStr">
        <is>
          <t>VÄSTERNORRLANDS LÄN</t>
        </is>
      </c>
      <c r="G1946" t="inlineStr">
        <is>
          <t>ÖRNSKÖLDSVIK</t>
        </is>
      </c>
      <c r="I1946" t="n">
        <v>10.4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59222-2022</t>
        </is>
      </c>
      <c r="B1947" t="inlineStr">
        <is>
          <t>avverkningsanmälan</t>
        </is>
      </c>
      <c r="C1947" t="inlineStr">
        <is>
          <t>Avverkning för att bevara och utveckla /försöksver</t>
        </is>
      </c>
      <c r="D1947" s="1" t="n">
        <v>44904</v>
      </c>
      <c r="E1947" s="1" t="n">
        <v>46218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7.4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13815-2023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45007</v>
      </c>
      <c r="E1948" s="1" t="n">
        <v>46218</v>
      </c>
      <c r="F1948" t="inlineStr">
        <is>
          <t>VÄSTERNORRLANDS LÄN</t>
        </is>
      </c>
      <c r="G1948" t="inlineStr">
        <is>
          <t>ÖRNSKÖLDSVIK</t>
        </is>
      </c>
      <c r="I1948" t="n">
        <v>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27222-2026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46188</v>
      </c>
      <c r="E1949" s="1" t="n">
        <v>46218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2.7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21224-2026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46146</v>
      </c>
      <c r="E1950" s="1" t="n">
        <v>46218</v>
      </c>
      <c r="F1950" t="inlineStr">
        <is>
          <t>VÄSTERNORRLANDS LÄN</t>
        </is>
      </c>
      <c r="G1950" t="inlineStr">
        <is>
          <t>ÖRNSKÖLDSVIK</t>
        </is>
      </c>
      <c r="I1950" t="n">
        <v>1.4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62651-2025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46008</v>
      </c>
      <c r="E1951" s="1" t="n">
        <v>46218</v>
      </c>
      <c r="F1951" t="inlineStr">
        <is>
          <t>VÄSTERNORRLANDS LÄN</t>
        </is>
      </c>
      <c r="G1951" t="inlineStr">
        <is>
          <t>ÖRNSKÖLDSVIK</t>
        </is>
      </c>
      <c r="I1951" t="n">
        <v>31.8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27090-2026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46188</v>
      </c>
      <c r="E1952" s="1" t="n">
        <v>46218</v>
      </c>
      <c r="F1952" t="inlineStr">
        <is>
          <t>VÄSTERNORRLANDS LÄN</t>
        </is>
      </c>
      <c r="G1952" t="inlineStr">
        <is>
          <t>ÖRNSKÖLDSVIK</t>
        </is>
      </c>
      <c r="I1952" t="n">
        <v>1.1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27091-2026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46188</v>
      </c>
      <c r="E1953" s="1" t="n">
        <v>46218</v>
      </c>
      <c r="F1953" t="inlineStr">
        <is>
          <t>VÄSTERNORRLANDS LÄN</t>
        </is>
      </c>
      <c r="G1953" t="inlineStr">
        <is>
          <t>ÖRNSKÖLDSVIK</t>
        </is>
      </c>
      <c r="I1953" t="n">
        <v>2.7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27095-2026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46188</v>
      </c>
      <c r="E1954" s="1" t="n">
        <v>46218</v>
      </c>
      <c r="F1954" t="inlineStr">
        <is>
          <t>VÄSTERNORRLANDS LÄN</t>
        </is>
      </c>
      <c r="G1954" t="inlineStr">
        <is>
          <t>ÖRNSKÖLDSVIK</t>
        </is>
      </c>
      <c r="I1954" t="n">
        <v>1.2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30453-2023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45111</v>
      </c>
      <c r="E1955" s="1" t="n">
        <v>46218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63097-2025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46009</v>
      </c>
      <c r="E1956" s="1" t="n">
        <v>46218</v>
      </c>
      <c r="F1956" t="inlineStr">
        <is>
          <t>VÄSTERNORRLANDS LÄN</t>
        </is>
      </c>
      <c r="G1956" t="inlineStr">
        <is>
          <t>ÖRNSKÖLDSVIK</t>
        </is>
      </c>
      <c r="I1956" t="n">
        <v>3.1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27452-2026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46189</v>
      </c>
      <c r="E1957" s="1" t="n">
        <v>46218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SCA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53074-2025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45958</v>
      </c>
      <c r="E1958" s="1" t="n">
        <v>46218</v>
      </c>
      <c r="F1958" t="inlineStr">
        <is>
          <t>VÄSTERNORRLANDS LÄN</t>
        </is>
      </c>
      <c r="G1958" t="inlineStr">
        <is>
          <t>ÖRNSKÖLDSVIK</t>
        </is>
      </c>
      <c r="I1958" t="n">
        <v>0.5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21166-2026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46146</v>
      </c>
      <c r="E1959" s="1" t="n">
        <v>46218</v>
      </c>
      <c r="F1959" t="inlineStr">
        <is>
          <t>VÄSTERNORRLANDS LÄN</t>
        </is>
      </c>
      <c r="G1959" t="inlineStr">
        <is>
          <t>ÖRNSKÖLDSVIK</t>
        </is>
      </c>
      <c r="I1959" t="n">
        <v>3.3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27396-2026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46189</v>
      </c>
      <c r="E1960" s="1" t="n">
        <v>46218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1.9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27413-2026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46189</v>
      </c>
      <c r="E1961" s="1" t="n">
        <v>46218</v>
      </c>
      <c r="F1961" t="inlineStr">
        <is>
          <t>VÄSTERNORRLANDS LÄN</t>
        </is>
      </c>
      <c r="G1961" t="inlineStr">
        <is>
          <t>ÖRNSKÖLDSVIK</t>
        </is>
      </c>
      <c r="I1961" t="n">
        <v>9.199999999999999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29184-2023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45105</v>
      </c>
      <c r="E1962" s="1" t="n">
        <v>46218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0.6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29200-2023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45105</v>
      </c>
      <c r="E1963" s="1" t="n">
        <v>46218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2.5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21239-2026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46147</v>
      </c>
      <c r="E1964" s="1" t="n">
        <v>46218</v>
      </c>
      <c r="F1964" t="inlineStr">
        <is>
          <t>VÄSTERNORRLANDS LÄN</t>
        </is>
      </c>
      <c r="G1964" t="inlineStr">
        <is>
          <t>ÖRNSKÖLDSVIK</t>
        </is>
      </c>
      <c r="I1964" t="n">
        <v>4.9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21327-2026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46147</v>
      </c>
      <c r="E1965" s="1" t="n">
        <v>46218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0.5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63216-2025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46010</v>
      </c>
      <c r="E1966" s="1" t="n">
        <v>46218</v>
      </c>
      <c r="F1966" t="inlineStr">
        <is>
          <t>VÄSTERNORRLANDS LÄN</t>
        </is>
      </c>
      <c r="G1966" t="inlineStr">
        <is>
          <t>ÖRNSKÖLDSVIK</t>
        </is>
      </c>
      <c r="I1966" t="n">
        <v>2.7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63257-2025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46010</v>
      </c>
      <c r="E1967" s="1" t="n">
        <v>46218</v>
      </c>
      <c r="F1967" t="inlineStr">
        <is>
          <t>VÄSTERNORRLANDS LÄN</t>
        </is>
      </c>
      <c r="G1967" t="inlineStr">
        <is>
          <t>ÖRNSKÖLDSVIK</t>
        </is>
      </c>
      <c r="I1967" t="n">
        <v>8.300000000000001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63300-2025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46010</v>
      </c>
      <c r="E1968" s="1" t="n">
        <v>46218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2.9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12739-2025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45733</v>
      </c>
      <c r="E1969" s="1" t="n">
        <v>46218</v>
      </c>
      <c r="F1969" t="inlineStr">
        <is>
          <t>VÄSTERNORRLANDS LÄN</t>
        </is>
      </c>
      <c r="G1969" t="inlineStr">
        <is>
          <t>ÖRNSKÖLDSVIK</t>
        </is>
      </c>
      <c r="I1969" t="n">
        <v>8.300000000000001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27198-2026</t>
        </is>
      </c>
      <c r="B1970" t="inlineStr">
        <is>
          <t>avverkningsanmälan</t>
        </is>
      </c>
      <c r="C1970" t="inlineStr">
        <is>
          <t>Avverkning för annat ändamål</t>
        </is>
      </c>
      <c r="D1970" s="1" t="n">
        <v>46188</v>
      </c>
      <c r="E1970" s="1" t="n">
        <v>46218</v>
      </c>
      <c r="F1970" t="inlineStr">
        <is>
          <t>VÄSTERNORRLANDS LÄN</t>
        </is>
      </c>
      <c r="G1970" t="inlineStr">
        <is>
          <t>ÖRNSKÖLDSVIK</t>
        </is>
      </c>
      <c r="I1970" t="n">
        <v>0.3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21165-2026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46146</v>
      </c>
      <c r="E1971" s="1" t="n">
        <v>46218</v>
      </c>
      <c r="F1971" t="inlineStr">
        <is>
          <t>VÄSTERNORRLANDS LÄN</t>
        </is>
      </c>
      <c r="G1971" t="inlineStr">
        <is>
          <t>ÖRNSKÖLDSVIK</t>
        </is>
      </c>
      <c r="I1971" t="n">
        <v>5.5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22417-2024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45446</v>
      </c>
      <c r="E1972" s="1" t="n">
        <v>46218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1.3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27270-2026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46188</v>
      </c>
      <c r="E1973" s="1" t="n">
        <v>46218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0.8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17219-2022</t>
        </is>
      </c>
      <c r="B1974" t="inlineStr">
        <is>
          <t>avverkningsanmälan</t>
        </is>
      </c>
      <c r="C1974" t="inlineStr">
        <is>
          <t>Avverkning för att bevara och utveckla /försöksver</t>
        </is>
      </c>
      <c r="D1974" s="1" t="n">
        <v>44677</v>
      </c>
      <c r="E1974" s="1" t="n">
        <v>46218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SCA</t>
        </is>
      </c>
      <c r="I1974" t="n">
        <v>8.6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63311-2025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46010</v>
      </c>
      <c r="E1975" s="1" t="n">
        <v>46218</v>
      </c>
      <c r="F1975" t="inlineStr">
        <is>
          <t>VÄSTERNORRLANDS LÄN</t>
        </is>
      </c>
      <c r="G1975" t="inlineStr">
        <is>
          <t>ÖRNSKÖLDSVIK</t>
        </is>
      </c>
      <c r="I1975" t="n">
        <v>1.1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27798-2026</t>
        </is>
      </c>
      <c r="B1976" t="inlineStr">
        <is>
          <t>avverkningsanmälan</t>
        </is>
      </c>
      <c r="C1976" t="inlineStr">
        <is>
          <t>Avverkning för annat ändamål</t>
        </is>
      </c>
      <c r="D1976" s="1" t="n">
        <v>46189</v>
      </c>
      <c r="E1976" s="1" t="n">
        <v>46218</v>
      </c>
      <c r="F1976" t="inlineStr">
        <is>
          <t>VÄSTERNORRLANDS LÄN</t>
        </is>
      </c>
      <c r="G1976" t="inlineStr">
        <is>
          <t>ÖRNSKÖLDSVIK</t>
        </is>
      </c>
      <c r="I1976" t="n">
        <v>2.1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63282-2025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46010</v>
      </c>
      <c r="E1977" s="1" t="n">
        <v>46218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6.7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63304-2025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46010</v>
      </c>
      <c r="E1978" s="1" t="n">
        <v>46218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2.3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63308-2025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46010</v>
      </c>
      <c r="E1979" s="1" t="n">
        <v>46218</v>
      </c>
      <c r="F1979" t="inlineStr">
        <is>
          <t>VÄSTERNORRLANDS LÄN</t>
        </is>
      </c>
      <c r="G1979" t="inlineStr">
        <is>
          <t>ÖRNSKÖLDSVIK</t>
        </is>
      </c>
      <c r="I1979" t="n">
        <v>2.1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21445-2026</t>
        </is>
      </c>
      <c r="B1980" t="inlineStr">
        <is>
          <t>avverkningsanmälan</t>
        </is>
      </c>
      <c r="C1980" t="inlineStr">
        <is>
          <t>Avverkning för att bevara och utveckla /försöksver</t>
        </is>
      </c>
      <c r="D1980" s="1" t="n">
        <v>46148</v>
      </c>
      <c r="E1980" s="1" t="n">
        <v>46218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SCA</t>
        </is>
      </c>
      <c r="I1980" t="n">
        <v>2.2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63274-2025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46010</v>
      </c>
      <c r="E1981" s="1" t="n">
        <v>46218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2.7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62544-2021</t>
        </is>
      </c>
      <c r="B1982" t="inlineStr">
        <is>
          <t>avverkningsanmälan</t>
        </is>
      </c>
      <c r="C1982" t="inlineStr">
        <is>
          <t>Avverkning för att bevara och utveckla /försöksver</t>
        </is>
      </c>
      <c r="D1982" s="1" t="n">
        <v>44503</v>
      </c>
      <c r="E1982" s="1" t="n">
        <v>46218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1.7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63281-2025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46010</v>
      </c>
      <c r="E1983" s="1" t="n">
        <v>46218</v>
      </c>
      <c r="F1983" t="inlineStr">
        <is>
          <t>VÄSTERNORRLANDS LÄN</t>
        </is>
      </c>
      <c r="G1983" t="inlineStr">
        <is>
          <t>ÖRNSKÖLDSVIK</t>
        </is>
      </c>
      <c r="I1983" t="n">
        <v>6.2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45826-2024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45579</v>
      </c>
      <c r="E1984" s="1" t="n">
        <v>46218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1.2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21708-2026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46149</v>
      </c>
      <c r="E1985" s="1" t="n">
        <v>46218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3.6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39268-2023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45162</v>
      </c>
      <c r="E1986" s="1" t="n">
        <v>46218</v>
      </c>
      <c r="F1986" t="inlineStr">
        <is>
          <t>VÄSTERNORRLANDS LÄN</t>
        </is>
      </c>
      <c r="G1986" t="inlineStr">
        <is>
          <t>ÖRNSKÖLDSVIK</t>
        </is>
      </c>
      <c r="I1986" t="n">
        <v>0.6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63513-2025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46013</v>
      </c>
      <c r="E1987" s="1" t="n">
        <v>46218</v>
      </c>
      <c r="F1987" t="inlineStr">
        <is>
          <t>VÄSTERNORRLANDS LÄN</t>
        </is>
      </c>
      <c r="G1987" t="inlineStr">
        <is>
          <t>ÖRNSKÖLDSVIK</t>
        </is>
      </c>
      <c r="I1987" t="n">
        <v>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63497-2025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46013</v>
      </c>
      <c r="E1988" s="1" t="n">
        <v>46218</v>
      </c>
      <c r="F1988" t="inlineStr">
        <is>
          <t>VÄSTERNORRLANDS LÄN</t>
        </is>
      </c>
      <c r="G1988" t="inlineStr">
        <is>
          <t>ÖRNSKÖLDSVIK</t>
        </is>
      </c>
      <c r="I1988" t="n">
        <v>4.4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63317-2025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46010</v>
      </c>
      <c r="E1989" s="1" t="n">
        <v>46218</v>
      </c>
      <c r="F1989" t="inlineStr">
        <is>
          <t>VÄSTERNORRLANDS LÄN</t>
        </is>
      </c>
      <c r="G1989" t="inlineStr">
        <is>
          <t>ÖRNSKÖLDSVIK</t>
        </is>
      </c>
      <c r="I1989" t="n">
        <v>3.3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21593-2026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46149</v>
      </c>
      <c r="E1990" s="1" t="n">
        <v>46218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SCA</t>
        </is>
      </c>
      <c r="I1990" t="n">
        <v>1.2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27931-2026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46191</v>
      </c>
      <c r="E1991" s="1" t="n">
        <v>46218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27845-2026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46191</v>
      </c>
      <c r="E1992" s="1" t="n">
        <v>46218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2.1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27721-2026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46191</v>
      </c>
      <c r="E1993" s="1" t="n">
        <v>46218</v>
      </c>
      <c r="F1993" t="inlineStr">
        <is>
          <t>VÄSTERNORRLANDS LÄN</t>
        </is>
      </c>
      <c r="G1993" t="inlineStr">
        <is>
          <t>ÖRNSKÖLDSVIK</t>
        </is>
      </c>
      <c r="I1993" t="n">
        <v>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45945-2023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45195</v>
      </c>
      <c r="E1994" s="1" t="n">
        <v>46218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SCA</t>
        </is>
      </c>
      <c r="I1994" t="n">
        <v>4.9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25107-2024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45462</v>
      </c>
      <c r="E1995" s="1" t="n">
        <v>46218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21408-2026</t>
        </is>
      </c>
      <c r="B1996" t="inlineStr">
        <is>
          <t>avverkningsanmälan</t>
        </is>
      </c>
      <c r="C1996" t="inlineStr">
        <is>
          <t>Avverkning för att bevara och utveckla /försöksver</t>
        </is>
      </c>
      <c r="D1996" s="1" t="n">
        <v>46148</v>
      </c>
      <c r="E1996" s="1" t="n">
        <v>46218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SCA</t>
        </is>
      </c>
      <c r="I1996" t="n">
        <v>2.3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27565-2026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46190</v>
      </c>
      <c r="E1997" s="1" t="n">
        <v>46218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17.7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27599-2026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46190</v>
      </c>
      <c r="E1998" s="1" t="n">
        <v>46218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13.5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27538-2026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46190</v>
      </c>
      <c r="E1999" s="1" t="n">
        <v>46218</v>
      </c>
      <c r="F1999" t="inlineStr">
        <is>
          <t>VÄSTERNORRLANDS LÄN</t>
        </is>
      </c>
      <c r="G1999" t="inlineStr">
        <is>
          <t>ÖRNSKÖLDSVIK</t>
        </is>
      </c>
      <c r="I1999" t="n">
        <v>3.6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35-2026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46014</v>
      </c>
      <c r="E2000" s="1" t="n">
        <v>46218</v>
      </c>
      <c r="F2000" t="inlineStr">
        <is>
          <t>VÄSTERNORRLANDS LÄN</t>
        </is>
      </c>
      <c r="G2000" t="inlineStr">
        <is>
          <t>ÖRNSKÖLDSVIK</t>
        </is>
      </c>
      <c r="I2000" t="n">
        <v>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21654-2026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46149</v>
      </c>
      <c r="E2001" s="1" t="n">
        <v>46218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3.3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45874-2021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44441</v>
      </c>
      <c r="E2002" s="1" t="n">
        <v>46218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8.6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21513-2026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46148</v>
      </c>
      <c r="E2003" s="1" t="n">
        <v>46218</v>
      </c>
      <c r="F2003" t="inlineStr">
        <is>
          <t>VÄSTERNORRLANDS LÄN</t>
        </is>
      </c>
      <c r="G2003" t="inlineStr">
        <is>
          <t>ÖRNSKÖLDSVIK</t>
        </is>
      </c>
      <c r="I2003" t="n">
        <v>4.3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10153-2025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45719</v>
      </c>
      <c r="E2004" s="1" t="n">
        <v>46218</v>
      </c>
      <c r="F2004" t="inlineStr">
        <is>
          <t>VÄSTERNORRLANDS LÄN</t>
        </is>
      </c>
      <c r="G2004" t="inlineStr">
        <is>
          <t>ÖRNSKÖLDSVIK</t>
        </is>
      </c>
      <c r="I2004" t="n">
        <v>0.7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38745-2024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45547</v>
      </c>
      <c r="E2005" s="1" t="n">
        <v>46218</v>
      </c>
      <c r="F2005" t="inlineStr">
        <is>
          <t>VÄSTERNORRLANDS LÄN</t>
        </is>
      </c>
      <c r="G2005" t="inlineStr">
        <is>
          <t>ÖRNSKÖLDSVIK</t>
        </is>
      </c>
      <c r="I2005" t="n">
        <v>4.8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27719-2026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46191</v>
      </c>
      <c r="E2006" s="1" t="n">
        <v>46218</v>
      </c>
      <c r="F2006" t="inlineStr">
        <is>
          <t>VÄSTERNORRLANDS LÄN</t>
        </is>
      </c>
      <c r="G2006" t="inlineStr">
        <is>
          <t>ÖRNSKÖLDSVIK</t>
        </is>
      </c>
      <c r="I2006" t="n">
        <v>1.4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26658-2023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45092</v>
      </c>
      <c r="E2007" s="1" t="n">
        <v>46218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SCA</t>
        </is>
      </c>
      <c r="I2007" t="n">
        <v>4.5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34132-2024</t>
        </is>
      </c>
      <c r="B2008" t="inlineStr">
        <is>
          <t>avverkningsanmälan</t>
        </is>
      </c>
      <c r="C2008" t="inlineStr">
        <is>
          <t>Avverkning för annat ändamål</t>
        </is>
      </c>
      <c r="D2008" s="1" t="n">
        <v>45524</v>
      </c>
      <c r="E2008" s="1" t="n">
        <v>46218</v>
      </c>
      <c r="F2008" t="inlineStr">
        <is>
          <t>VÄSTERNORRLANDS LÄN</t>
        </is>
      </c>
      <c r="G2008" t="inlineStr">
        <is>
          <t>ÖRNSKÖLDSVIK</t>
        </is>
      </c>
      <c r="I2008" t="n">
        <v>0.6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27548-2026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46190</v>
      </c>
      <c r="E2009" s="1" t="n">
        <v>46218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1.5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22014-2026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46153</v>
      </c>
      <c r="E2010" s="1" t="n">
        <v>46218</v>
      </c>
      <c r="F2010" t="inlineStr">
        <is>
          <t>VÄSTERNORRLANDS LÄN</t>
        </is>
      </c>
      <c r="G2010" t="inlineStr">
        <is>
          <t>ÖRNSKÖLDSVIK</t>
        </is>
      </c>
      <c r="I2010" t="n">
        <v>4.2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354-2026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46027</v>
      </c>
      <c r="E2011" s="1" t="n">
        <v>46218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12.5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27960-2026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46195</v>
      </c>
      <c r="E2012" s="1" t="n">
        <v>46218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1.2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31-2026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46024</v>
      </c>
      <c r="E2013" s="1" t="n">
        <v>46218</v>
      </c>
      <c r="F2013" t="inlineStr">
        <is>
          <t>VÄSTERNORRLANDS LÄN</t>
        </is>
      </c>
      <c r="G2013" t="inlineStr">
        <is>
          <t>ÖRNSKÖLDSVIK</t>
        </is>
      </c>
      <c r="I2013" t="n">
        <v>2.4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22213-2026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46150</v>
      </c>
      <c r="E2014" s="1" t="n">
        <v>46218</v>
      </c>
      <c r="F2014" t="inlineStr">
        <is>
          <t>VÄSTERNORRLANDS LÄN</t>
        </is>
      </c>
      <c r="G2014" t="inlineStr">
        <is>
          <t>ÖRNSKÖLDSVIK</t>
        </is>
      </c>
      <c r="I2014" t="n">
        <v>5.5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49831-2024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45597</v>
      </c>
      <c r="E2015" s="1" t="n">
        <v>46218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0.9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A 8664-2025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45712</v>
      </c>
      <c r="E2016" s="1" t="n">
        <v>46218</v>
      </c>
      <c r="F2016" t="inlineStr">
        <is>
          <t>VÄSTERNORRLANDS LÄN</t>
        </is>
      </c>
      <c r="G2016" t="inlineStr">
        <is>
          <t>ÖRNSKÖLDSVIK</t>
        </is>
      </c>
      <c r="I2016" t="n">
        <v>13.3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A 24487-2023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45082</v>
      </c>
      <c r="E2017" s="1" t="n">
        <v>46218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2.6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A 13787-2022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44649</v>
      </c>
      <c r="E2018" s="1" t="n">
        <v>46218</v>
      </c>
      <c r="F2018" t="inlineStr">
        <is>
          <t>VÄSTERNORRLANDS LÄN</t>
        </is>
      </c>
      <c r="G2018" t="inlineStr">
        <is>
          <t>ÖRNSKÖLDSVIK</t>
        </is>
      </c>
      <c r="I2018" t="n">
        <v>1.7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A 716-2026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46029</v>
      </c>
      <c r="E2019" s="1" t="n">
        <v>46218</v>
      </c>
      <c r="F2019" t="inlineStr">
        <is>
          <t>VÄSTERNORRLANDS LÄN</t>
        </is>
      </c>
      <c r="G2019" t="inlineStr">
        <is>
          <t>ÖRNSKÖLDSVIK</t>
        </is>
      </c>
      <c r="I2019" t="n">
        <v>0.9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A 28133-2026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46195</v>
      </c>
      <c r="E2020" s="1" t="n">
        <v>46218</v>
      </c>
      <c r="F2020" t="inlineStr">
        <is>
          <t>VÄSTERNORRLANDS LÄN</t>
        </is>
      </c>
      <c r="G2020" t="inlineStr">
        <is>
          <t>ÖRNSKÖLDSVIK</t>
        </is>
      </c>
      <c r="I2020" t="n">
        <v>7.8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A 28144-2026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46195</v>
      </c>
      <c r="E2021" s="1" t="n">
        <v>46218</v>
      </c>
      <c r="F2021" t="inlineStr">
        <is>
          <t>VÄSTERNORRLANDS LÄN</t>
        </is>
      </c>
      <c r="G2021" t="inlineStr">
        <is>
          <t>ÖRNSKÖLDSVIK</t>
        </is>
      </c>
      <c r="I2021" t="n">
        <v>0.8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A 28145-2026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46195</v>
      </c>
      <c r="E2022" s="1" t="n">
        <v>46218</v>
      </c>
      <c r="F2022" t="inlineStr">
        <is>
          <t>VÄSTERNORRLANDS LÄN</t>
        </is>
      </c>
      <c r="G2022" t="inlineStr">
        <is>
          <t>ÖRNSKÖLDSVIK</t>
        </is>
      </c>
      <c r="I2022" t="n">
        <v>1.1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A 28151-2026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46195</v>
      </c>
      <c r="E2023" s="1" t="n">
        <v>46218</v>
      </c>
      <c r="F2023" t="inlineStr">
        <is>
          <t>VÄSTERNORRLANDS LÄN</t>
        </is>
      </c>
      <c r="G2023" t="inlineStr">
        <is>
          <t>ÖRNSKÖLDSVIK</t>
        </is>
      </c>
      <c r="I2023" t="n">
        <v>26.1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A 28157-2026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46195</v>
      </c>
      <c r="E2024" s="1" t="n">
        <v>46218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0.7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A 27971-2026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46195</v>
      </c>
      <c r="E2025" s="1" t="n">
        <v>46218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0.9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A 24324-2024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45457</v>
      </c>
      <c r="E2026" s="1" t="n">
        <v>46218</v>
      </c>
      <c r="F2026" t="inlineStr">
        <is>
          <t>VÄSTERNORRLANDS LÄN</t>
        </is>
      </c>
      <c r="G2026" t="inlineStr">
        <is>
          <t>ÖRNSKÖLDSVIK</t>
        </is>
      </c>
      <c r="I2026" t="n">
        <v>6.9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A 27509-2022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44742</v>
      </c>
      <c r="E2027" s="1" t="n">
        <v>46218</v>
      </c>
      <c r="F2027" t="inlineStr">
        <is>
          <t>VÄSTERNORRLANDS LÄN</t>
        </is>
      </c>
      <c r="G2027" t="inlineStr">
        <is>
          <t>ÖRNSKÖLDSVIK</t>
        </is>
      </c>
      <c r="I2027" t="n">
        <v>2.8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A 42628-2021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44428</v>
      </c>
      <c r="E2028" s="1" t="n">
        <v>46218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3.4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A 863-2024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45301</v>
      </c>
      <c r="E2029" s="1" t="n">
        <v>46218</v>
      </c>
      <c r="F2029" t="inlineStr">
        <is>
          <t>VÄSTERNORRLANDS LÄN</t>
        </is>
      </c>
      <c r="G2029" t="inlineStr">
        <is>
          <t>ÖRNSKÖLDSVIK</t>
        </is>
      </c>
      <c r="I2029" t="n">
        <v>1.3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A 27983-2026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46195</v>
      </c>
      <c r="E2030" s="1" t="n">
        <v>46218</v>
      </c>
      <c r="F2030" t="inlineStr">
        <is>
          <t>VÄSTERNORRLANDS LÄN</t>
        </is>
      </c>
      <c r="G2030" t="inlineStr">
        <is>
          <t>ÖRNSKÖLDSVIK</t>
        </is>
      </c>
      <c r="I2030" t="n">
        <v>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A 27949-2026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46192</v>
      </c>
      <c r="E2031" s="1" t="n">
        <v>46218</v>
      </c>
      <c r="F2031" t="inlineStr">
        <is>
          <t>VÄSTERNORRLANDS LÄN</t>
        </is>
      </c>
      <c r="G2031" t="inlineStr">
        <is>
          <t>ÖRNSKÖLDSVIK</t>
        </is>
      </c>
      <c r="I2031" t="n">
        <v>2.5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A 31693-2024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45507</v>
      </c>
      <c r="E2032" s="1" t="n">
        <v>46218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SCA</t>
        </is>
      </c>
      <c r="I2032" t="n">
        <v>8.9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A 723-2026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46029</v>
      </c>
      <c r="E2033" s="1" t="n">
        <v>46218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2.9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A 28109-2026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46195</v>
      </c>
      <c r="E2034" s="1" t="n">
        <v>46218</v>
      </c>
      <c r="F2034" t="inlineStr">
        <is>
          <t>VÄSTERNORRLANDS LÄN</t>
        </is>
      </c>
      <c r="G2034" t="inlineStr">
        <is>
          <t>ÖRNSKÖLDSVIK</t>
        </is>
      </c>
      <c r="I2034" t="n">
        <v>8.5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A 61324-2023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45261</v>
      </c>
      <c r="E2035" s="1" t="n">
        <v>46218</v>
      </c>
      <c r="F2035" t="inlineStr">
        <is>
          <t>VÄSTERNORRLANDS LÄN</t>
        </is>
      </c>
      <c r="G2035" t="inlineStr">
        <is>
          <t>ÖRNSKÖLDSVIK</t>
        </is>
      </c>
      <c r="I2035" t="n">
        <v>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 ht="15" customHeight="1">
      <c r="A2036" t="inlineStr">
        <is>
          <t>A 10480-2025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45721</v>
      </c>
      <c r="E2036" s="1" t="n">
        <v>46218</v>
      </c>
      <c r="F2036" t="inlineStr">
        <is>
          <t>VÄSTERNORRLANDS LÄN</t>
        </is>
      </c>
      <c r="G2036" t="inlineStr">
        <is>
          <t>ÖRNSKÖLDSVIK</t>
        </is>
      </c>
      <c r="I2036" t="n">
        <v>0.5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  <row r="2037" ht="15" customHeight="1">
      <c r="A2037" t="inlineStr">
        <is>
          <t>A 21906-2026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46150</v>
      </c>
      <c r="E2037" s="1" t="n">
        <v>46218</v>
      </c>
      <c r="F2037" t="inlineStr">
        <is>
          <t>VÄSTERNORRLANDS LÄN</t>
        </is>
      </c>
      <c r="G2037" t="inlineStr">
        <is>
          <t>ÖRNSKÖLDSVIK</t>
        </is>
      </c>
      <c r="I2037" t="n">
        <v>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s="2" t="inlineStr"/>
    </row>
    <row r="2038" ht="15" customHeight="1">
      <c r="A2038" t="inlineStr">
        <is>
          <t>A 31256-2023</t>
        </is>
      </c>
      <c r="B2038" t="inlineStr">
        <is>
          <t>avverkningsanmälan</t>
        </is>
      </c>
      <c r="C2038" t="inlineStr">
        <is>
          <t>Avverkning för att bevara och utveckla /försöksver</t>
        </is>
      </c>
      <c r="D2038" s="1" t="n">
        <v>45114</v>
      </c>
      <c r="E2038" s="1" t="n">
        <v>46218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Holmen skog AB</t>
        </is>
      </c>
      <c r="I2038" t="n">
        <v>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s="2" t="inlineStr"/>
    </row>
    <row r="2039" ht="15" customHeight="1">
      <c r="A2039" t="inlineStr">
        <is>
          <t>A 24994-2023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45085</v>
      </c>
      <c r="E2039" s="1" t="n">
        <v>46218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1.6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s="2" t="inlineStr"/>
    </row>
    <row r="2040" ht="15" customHeight="1">
      <c r="A2040" t="inlineStr">
        <is>
          <t>A 22145-2026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46153</v>
      </c>
      <c r="E2040" s="1" t="n">
        <v>46218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s="2" t="inlineStr"/>
    </row>
    <row r="2041" ht="15" customHeight="1">
      <c r="A2041" t="inlineStr">
        <is>
          <t>A 57469-2023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45240</v>
      </c>
      <c r="E2041" s="1" t="n">
        <v>46218</v>
      </c>
      <c r="F2041" t="inlineStr">
        <is>
          <t>VÄSTERNORRLANDS LÄN</t>
        </is>
      </c>
      <c r="G2041" t="inlineStr">
        <is>
          <t>ÖRNSKÖLDSVIK</t>
        </is>
      </c>
      <c r="I2041" t="n">
        <v>0.4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s="2" t="inlineStr"/>
    </row>
    <row r="2042" ht="15" customHeight="1">
      <c r="A2042" t="inlineStr">
        <is>
          <t>A 57480-2023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45240</v>
      </c>
      <c r="E2042" s="1" t="n">
        <v>46218</v>
      </c>
      <c r="F2042" t="inlineStr">
        <is>
          <t>VÄSTERNORRLANDS LÄN</t>
        </is>
      </c>
      <c r="G2042" t="inlineStr">
        <is>
          <t>ÖRNSKÖLDSVIK</t>
        </is>
      </c>
      <c r="I2042" t="n">
        <v>2.2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s="2" t="inlineStr"/>
    </row>
    <row r="2043" ht="15" customHeight="1">
      <c r="A2043" t="inlineStr">
        <is>
          <t>A 35379-2023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45145</v>
      </c>
      <c r="E2043" s="1" t="n">
        <v>46218</v>
      </c>
      <c r="F2043" t="inlineStr">
        <is>
          <t>VÄSTERNORRLANDS LÄN</t>
        </is>
      </c>
      <c r="G2043" t="inlineStr">
        <is>
          <t>ÖRNSKÖLDSVIK</t>
        </is>
      </c>
      <c r="I2043" t="n">
        <v>0.8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s="2" t="inlineStr"/>
    </row>
    <row r="2044" ht="15" customHeight="1">
      <c r="A2044" t="inlineStr">
        <is>
          <t>A 27986-2026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46195</v>
      </c>
      <c r="E2044" s="1" t="n">
        <v>46218</v>
      </c>
      <c r="F2044" t="inlineStr">
        <is>
          <t>VÄSTERNORRLANDS LÄN</t>
        </is>
      </c>
      <c r="G2044" t="inlineStr">
        <is>
          <t>ÖRNSKÖLDSVIK</t>
        </is>
      </c>
      <c r="I2044" t="n">
        <v>1.6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s="2" t="inlineStr"/>
    </row>
    <row r="2045" ht="15" customHeight="1">
      <c r="A2045" t="inlineStr">
        <is>
          <t>A 27988-2026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46195</v>
      </c>
      <c r="E2045" s="1" t="n">
        <v>46218</v>
      </c>
      <c r="F2045" t="inlineStr">
        <is>
          <t>VÄSTERNORRLANDS LÄN</t>
        </is>
      </c>
      <c r="G2045" t="inlineStr">
        <is>
          <t>ÖRNSKÖLDSVIK</t>
        </is>
      </c>
      <c r="I2045" t="n">
        <v>8.5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s="2" t="inlineStr"/>
    </row>
    <row r="2046" ht="15" customHeight="1">
      <c r="A2046" t="inlineStr">
        <is>
          <t>A 22066-2026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46153</v>
      </c>
      <c r="E2046" s="1" t="n">
        <v>46218</v>
      </c>
      <c r="F2046" t="inlineStr">
        <is>
          <t>VÄSTERNORRLANDS LÄN</t>
        </is>
      </c>
      <c r="G2046" t="inlineStr">
        <is>
          <t>ÖRNSKÖLDSVIK</t>
        </is>
      </c>
      <c r="I2046" t="n">
        <v>13.7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s="2" t="inlineStr"/>
    </row>
    <row r="2047" ht="15" customHeight="1">
      <c r="A2047" t="inlineStr">
        <is>
          <t>A 22079-2026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46153</v>
      </c>
      <c r="E2047" s="1" t="n">
        <v>46218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7.4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s="2" t="inlineStr"/>
    </row>
    <row r="2048" ht="15" customHeight="1">
      <c r="A2048" t="inlineStr">
        <is>
          <t>A 1162-2026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46031</v>
      </c>
      <c r="E2048" s="1" t="n">
        <v>46218</v>
      </c>
      <c r="F2048" t="inlineStr">
        <is>
          <t>VÄSTERNORRLANDS LÄN</t>
        </is>
      </c>
      <c r="G2048" t="inlineStr">
        <is>
          <t>ÖRNSKÖLDSVIK</t>
        </is>
      </c>
      <c r="I2048" t="n">
        <v>2.6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s="2" t="inlineStr"/>
    </row>
    <row r="2049" ht="15" customHeight="1">
      <c r="A2049" t="inlineStr">
        <is>
          <t>A 21832-2026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46150</v>
      </c>
      <c r="E2049" s="1" t="n">
        <v>46218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9.800000000000001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s="2" t="inlineStr"/>
    </row>
    <row r="2050" ht="15" customHeight="1">
      <c r="A2050" t="inlineStr">
        <is>
          <t>A 1029-2026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46030</v>
      </c>
      <c r="E2050" s="1" t="n">
        <v>46218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SCA</t>
        </is>
      </c>
      <c r="I2050" t="n">
        <v>10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s="2" t="inlineStr"/>
    </row>
    <row r="2051" ht="15" customHeight="1">
      <c r="A2051" t="inlineStr">
        <is>
          <t>A 1256-2026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46031</v>
      </c>
      <c r="E2051" s="1" t="n">
        <v>46218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1.7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s="2" t="inlineStr"/>
    </row>
    <row r="2052" ht="15" customHeight="1">
      <c r="A2052" t="inlineStr">
        <is>
          <t>A 47582-2023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45197</v>
      </c>
      <c r="E2052" s="1" t="n">
        <v>46218</v>
      </c>
      <c r="F2052" t="inlineStr">
        <is>
          <t>VÄSTERNORRLANDS LÄN</t>
        </is>
      </c>
      <c r="G2052" t="inlineStr">
        <is>
          <t>ÖRNSKÖLDSVIK</t>
        </is>
      </c>
      <c r="I2052" t="n">
        <v>1.9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s="2" t="inlineStr"/>
    </row>
    <row r="2053" ht="15" customHeight="1">
      <c r="A2053" t="inlineStr">
        <is>
          <t>A 34800-2024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45526</v>
      </c>
      <c r="E2053" s="1" t="n">
        <v>46218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2.1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s="2" t="inlineStr"/>
    </row>
    <row r="2054" ht="15" customHeight="1">
      <c r="A2054" t="inlineStr">
        <is>
          <t>A 31464-2023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45104</v>
      </c>
      <c r="E2054" s="1" t="n">
        <v>46218</v>
      </c>
      <c r="F2054" t="inlineStr">
        <is>
          <t>VÄSTERNORRLANDS LÄN</t>
        </is>
      </c>
      <c r="G2054" t="inlineStr">
        <is>
          <t>ÖRNSKÖLDSVIK</t>
        </is>
      </c>
      <c r="I2054" t="n">
        <v>0.6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s="2" t="inlineStr"/>
    </row>
    <row r="2055" ht="15" customHeight="1">
      <c r="A2055" t="inlineStr">
        <is>
          <t>A 22211-2026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46150</v>
      </c>
      <c r="E2055" s="1" t="n">
        <v>46218</v>
      </c>
      <c r="F2055" t="inlineStr">
        <is>
          <t>VÄSTERNORRLANDS LÄN</t>
        </is>
      </c>
      <c r="G2055" t="inlineStr">
        <is>
          <t>ÖRNSKÖLDSVIK</t>
        </is>
      </c>
      <c r="I2055" t="n">
        <v>1.6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s="2" t="inlineStr"/>
    </row>
    <row r="2056" ht="15" customHeight="1">
      <c r="A2056" t="inlineStr">
        <is>
          <t>A 22459-2026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46153</v>
      </c>
      <c r="E2056" s="1" t="n">
        <v>46218</v>
      </c>
      <c r="F2056" t="inlineStr">
        <is>
          <t>VÄSTERNORRLANDS LÄN</t>
        </is>
      </c>
      <c r="G2056" t="inlineStr">
        <is>
          <t>ÖRNSKÖLDSVIK</t>
        </is>
      </c>
      <c r="I2056" t="n">
        <v>1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s="2" t="inlineStr"/>
    </row>
    <row r="2057" ht="15" customHeight="1">
      <c r="A2057" t="inlineStr">
        <is>
          <t>A 28089-2026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46195</v>
      </c>
      <c r="E2057" s="1" t="n">
        <v>46218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1.1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s="2" t="inlineStr"/>
    </row>
    <row r="2058" ht="15" customHeight="1">
      <c r="A2058" t="inlineStr">
        <is>
          <t>A 28091-2026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46195</v>
      </c>
      <c r="E2058" s="1" t="n">
        <v>46218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SCA</t>
        </is>
      </c>
      <c r="I2058" t="n">
        <v>0.9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s="2" t="inlineStr"/>
    </row>
    <row r="2059" ht="15" customHeight="1">
      <c r="A2059" t="inlineStr">
        <is>
          <t>A 22078-2026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46153</v>
      </c>
      <c r="E2059" s="1" t="n">
        <v>46218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1.8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s="2" t="inlineStr"/>
    </row>
    <row r="2060" ht="15" customHeight="1">
      <c r="A2060" t="inlineStr">
        <is>
          <t>A 44345-2024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45573</v>
      </c>
      <c r="E2060" s="1" t="n">
        <v>46218</v>
      </c>
      <c r="F2060" t="inlineStr">
        <is>
          <t>VÄSTERNORRLANDS LÄN</t>
        </is>
      </c>
      <c r="G2060" t="inlineStr">
        <is>
          <t>ÖRNSKÖLDSVIK</t>
        </is>
      </c>
      <c r="I2060" t="n">
        <v>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s="2" t="inlineStr"/>
    </row>
    <row r="2061" ht="15" customHeight="1">
      <c r="A2061" t="inlineStr">
        <is>
          <t>A 46204-2024</t>
        </is>
      </c>
      <c r="B2061" t="inlineStr">
        <is>
          <t>avverkningsanmälan</t>
        </is>
      </c>
      <c r="C2061" t="inlineStr">
        <is>
          <t>Avverkning för annat ändamål</t>
        </is>
      </c>
      <c r="D2061" s="1" t="n">
        <v>45581</v>
      </c>
      <c r="E2061" s="1" t="n">
        <v>46218</v>
      </c>
      <c r="F2061" t="inlineStr">
        <is>
          <t>VÄSTERNORRLANDS LÄN</t>
        </is>
      </c>
      <c r="G2061" t="inlineStr">
        <is>
          <t>ÖRNSKÖLDSVIK</t>
        </is>
      </c>
      <c r="I2061" t="n">
        <v>0.2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s="2" t="inlineStr"/>
    </row>
    <row r="2062" ht="15" customHeight="1">
      <c r="A2062" t="inlineStr">
        <is>
          <t>A 22075-2024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45443</v>
      </c>
      <c r="E2062" s="1" t="n">
        <v>46218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1.6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s="2" t="inlineStr"/>
    </row>
    <row r="2063" ht="15" customHeight="1">
      <c r="A2063" t="inlineStr">
        <is>
          <t>A 14808-2025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45743</v>
      </c>
      <c r="E2063" s="1" t="n">
        <v>46218</v>
      </c>
      <c r="F2063" t="inlineStr">
        <is>
          <t>VÄSTERNORRLANDS LÄN</t>
        </is>
      </c>
      <c r="G2063" t="inlineStr">
        <is>
          <t>ÖRNSKÖLDSVIK</t>
        </is>
      </c>
      <c r="I2063" t="n">
        <v>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s="2" t="inlineStr"/>
    </row>
    <row r="2064" ht="15" customHeight="1">
      <c r="A2064" t="inlineStr">
        <is>
          <t>A 50217-2022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44865</v>
      </c>
      <c r="E2064" s="1" t="n">
        <v>46218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24.6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s="2" t="inlineStr"/>
    </row>
    <row r="2065" ht="15" customHeight="1">
      <c r="A2065" t="inlineStr">
        <is>
          <t>A 28558-2026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46197</v>
      </c>
      <c r="E2065" s="1" t="n">
        <v>46218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14.1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s="2" t="inlineStr"/>
    </row>
    <row r="2066" ht="15" customHeight="1">
      <c r="A2066" t="inlineStr">
        <is>
          <t>A 39550-2024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45552</v>
      </c>
      <c r="E2066" s="1" t="n">
        <v>46218</v>
      </c>
      <c r="F2066" t="inlineStr">
        <is>
          <t>VÄSTERNORRLANDS LÄN</t>
        </is>
      </c>
      <c r="G2066" t="inlineStr">
        <is>
          <t>ÖRNSKÖLDSVIK</t>
        </is>
      </c>
      <c r="I2066" t="n">
        <v>2.6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s="2" t="inlineStr"/>
    </row>
    <row r="2067" ht="15" customHeight="1">
      <c r="A2067" t="inlineStr">
        <is>
          <t>A 22376-2026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46154</v>
      </c>
      <c r="E2067" s="1" t="n">
        <v>46218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6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s="2" t="inlineStr"/>
    </row>
    <row r="2068" ht="15" customHeight="1">
      <c r="A2068" t="inlineStr">
        <is>
          <t>A 28208-2026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46196</v>
      </c>
      <c r="E2068" s="1" t="n">
        <v>46218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3.1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s="2" t="inlineStr"/>
    </row>
    <row r="2069" ht="15" customHeight="1">
      <c r="A2069" t="inlineStr">
        <is>
          <t>A 42366-2022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44831</v>
      </c>
      <c r="E2069" s="1" t="n">
        <v>46218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0.7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s="2" t="inlineStr"/>
    </row>
    <row r="2070" ht="15" customHeight="1">
      <c r="A2070" t="inlineStr">
        <is>
          <t>A 44187-2025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45915</v>
      </c>
      <c r="E2070" s="1" t="n">
        <v>46218</v>
      </c>
      <c r="F2070" t="inlineStr">
        <is>
          <t>VÄSTERNORRLANDS LÄN</t>
        </is>
      </c>
      <c r="G2070" t="inlineStr">
        <is>
          <t>ÖRNSKÖLDSVIK</t>
        </is>
      </c>
      <c r="I2070" t="n">
        <v>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s="2" t="inlineStr"/>
    </row>
    <row r="2071" ht="15" customHeight="1">
      <c r="A2071" t="inlineStr">
        <is>
          <t>A 28395-2026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46196</v>
      </c>
      <c r="E2071" s="1" t="n">
        <v>46218</v>
      </c>
      <c r="F2071" t="inlineStr">
        <is>
          <t>VÄSTERNORRLANDS LÄN</t>
        </is>
      </c>
      <c r="G2071" t="inlineStr">
        <is>
          <t>ÖRNSKÖLDSVIK</t>
        </is>
      </c>
      <c r="I2071" t="n">
        <v>12.3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s="2" t="inlineStr"/>
    </row>
    <row r="2072" ht="15" customHeight="1">
      <c r="A2072" t="inlineStr">
        <is>
          <t>A 7574-2023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44972</v>
      </c>
      <c r="E2072" s="1" t="n">
        <v>46218</v>
      </c>
      <c r="F2072" t="inlineStr">
        <is>
          <t>VÄSTERNORRLANDS LÄN</t>
        </is>
      </c>
      <c r="G2072" t="inlineStr">
        <is>
          <t>ÖRNSKÖLDSVIK</t>
        </is>
      </c>
      <c r="I2072" t="n">
        <v>2.1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s="2" t="inlineStr"/>
    </row>
    <row r="2073" ht="15" customHeight="1">
      <c r="A2073" t="inlineStr">
        <is>
          <t>A 28555-2026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46197</v>
      </c>
      <c r="E2073" s="1" t="n">
        <v>46218</v>
      </c>
      <c r="F2073" t="inlineStr">
        <is>
          <t>VÄSTERNORRLANDS LÄN</t>
        </is>
      </c>
      <c r="G2073" t="inlineStr">
        <is>
          <t>ÖRNSKÖLDSVIK</t>
        </is>
      </c>
      <c r="I2073" t="n">
        <v>1.8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s="2" t="inlineStr"/>
    </row>
    <row r="2074" ht="15" customHeight="1">
      <c r="A2074" t="inlineStr">
        <is>
          <t>A 22326-2026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46154</v>
      </c>
      <c r="E2074" s="1" t="n">
        <v>46218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2.7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s="2" t="inlineStr"/>
    </row>
    <row r="2075" ht="15" customHeight="1">
      <c r="A2075" t="inlineStr">
        <is>
          <t>A 37920-2023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45160</v>
      </c>
      <c r="E2075" s="1" t="n">
        <v>46218</v>
      </c>
      <c r="F2075" t="inlineStr">
        <is>
          <t>VÄSTERNORRLANDS LÄN</t>
        </is>
      </c>
      <c r="G2075" t="inlineStr">
        <is>
          <t>ÖRNSKÖLDSVIK</t>
        </is>
      </c>
      <c r="I2075" t="n">
        <v>6.8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s="2" t="inlineStr"/>
    </row>
    <row r="2076" ht="15" customHeight="1">
      <c r="A2076" t="inlineStr">
        <is>
          <t>A 32753-2022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44783</v>
      </c>
      <c r="E2076" s="1" t="n">
        <v>46218</v>
      </c>
      <c r="F2076" t="inlineStr">
        <is>
          <t>VÄSTERNORRLANDS LÄN</t>
        </is>
      </c>
      <c r="G2076" t="inlineStr">
        <is>
          <t>ÖRNSKÖLDSVIK</t>
        </is>
      </c>
      <c r="I2076" t="n">
        <v>14.2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s="2" t="inlineStr"/>
    </row>
    <row r="2077" ht="15" customHeight="1">
      <c r="A2077" t="inlineStr">
        <is>
          <t>A 1833-2026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46035</v>
      </c>
      <c r="E2077" s="1" t="n">
        <v>46218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SCA</t>
        </is>
      </c>
      <c r="I2077" t="n">
        <v>1.9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s="2" t="inlineStr"/>
    </row>
    <row r="2078" ht="15" customHeight="1">
      <c r="A2078" t="inlineStr">
        <is>
          <t>A 48605-2024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45593</v>
      </c>
      <c r="E2078" s="1" t="n">
        <v>46218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3.5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s="2" t="inlineStr"/>
    </row>
    <row r="2079" ht="15" customHeight="1">
      <c r="A2079" t="inlineStr">
        <is>
          <t>A 1563-2026</t>
        </is>
      </c>
      <c r="B2079" t="inlineStr">
        <is>
          <t>avverkningsanmälan</t>
        </is>
      </c>
      <c r="C2079" t="inlineStr">
        <is>
          <t>Avverkning för annat ändamål</t>
        </is>
      </c>
      <c r="D2079" s="1" t="n">
        <v>46034</v>
      </c>
      <c r="E2079" s="1" t="n">
        <v>46218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3.1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s="2" t="inlineStr"/>
    </row>
    <row r="2080" ht="15" customHeight="1">
      <c r="A2080" t="inlineStr">
        <is>
          <t>A 1807-2026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46035</v>
      </c>
      <c r="E2080" s="1" t="n">
        <v>46218</v>
      </c>
      <c r="F2080" t="inlineStr">
        <is>
          <t>VÄSTERNORRLANDS LÄN</t>
        </is>
      </c>
      <c r="G2080" t="inlineStr">
        <is>
          <t>ÖRNSKÖLDSVIK</t>
        </is>
      </c>
      <c r="I2080" t="n">
        <v>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s="2" t="inlineStr"/>
    </row>
    <row r="2081" ht="15" customHeight="1">
      <c r="A2081" t="inlineStr">
        <is>
          <t>A 1526-2026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46034</v>
      </c>
      <c r="E2081" s="1" t="n">
        <v>46218</v>
      </c>
      <c r="F2081" t="inlineStr">
        <is>
          <t>VÄSTERNORRLANDS LÄN</t>
        </is>
      </c>
      <c r="G2081" t="inlineStr">
        <is>
          <t>ÖRNSKÖLDSVIK</t>
        </is>
      </c>
      <c r="I2081" t="n">
        <v>2.6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s="2" t="inlineStr"/>
    </row>
    <row r="2082" ht="15" customHeight="1">
      <c r="A2082" t="inlineStr">
        <is>
          <t>A 60324-2023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45258</v>
      </c>
      <c r="E2082" s="1" t="n">
        <v>46218</v>
      </c>
      <c r="F2082" t="inlineStr">
        <is>
          <t>VÄSTERNORRLANDS LÄN</t>
        </is>
      </c>
      <c r="G2082" t="inlineStr">
        <is>
          <t>ÖRNSKÖLDSVIK</t>
        </is>
      </c>
      <c r="I2082" t="n">
        <v>1.9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s="2" t="inlineStr"/>
    </row>
    <row r="2083" ht="15" customHeight="1">
      <c r="A2083" t="inlineStr">
        <is>
          <t>A 1536-2026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46034</v>
      </c>
      <c r="E2083" s="1" t="n">
        <v>46218</v>
      </c>
      <c r="F2083" t="inlineStr">
        <is>
          <t>VÄSTERNORRLANDS LÄN</t>
        </is>
      </c>
      <c r="G2083" t="inlineStr">
        <is>
          <t>ÖRNSKÖLDSVIK</t>
        </is>
      </c>
      <c r="I2083" t="n">
        <v>2.4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s="2" t="inlineStr"/>
    </row>
    <row r="2084" ht="15" customHeight="1">
      <c r="A2084" t="inlineStr">
        <is>
          <t>A 22487-2026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46155</v>
      </c>
      <c r="E2084" s="1" t="n">
        <v>46218</v>
      </c>
      <c r="F2084" t="inlineStr">
        <is>
          <t>VÄSTERNORRLANDS LÄN</t>
        </is>
      </c>
      <c r="G2084" t="inlineStr">
        <is>
          <t>ÖRNSKÖLDSVIK</t>
        </is>
      </c>
      <c r="I2084" t="n">
        <v>1.9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s="2" t="inlineStr"/>
    </row>
    <row r="2085" ht="15" customHeight="1">
      <c r="A2085" t="inlineStr">
        <is>
          <t>A 1527-2026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46034</v>
      </c>
      <c r="E2085" s="1" t="n">
        <v>46218</v>
      </c>
      <c r="F2085" t="inlineStr">
        <is>
          <t>VÄSTERNORRLANDS LÄN</t>
        </is>
      </c>
      <c r="G2085" t="inlineStr">
        <is>
          <t>ÖRNSKÖLDSVIK</t>
        </is>
      </c>
      <c r="I2085" t="n">
        <v>2.1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s="2" t="inlineStr"/>
    </row>
    <row r="2086" ht="15" customHeight="1">
      <c r="A2086" t="inlineStr">
        <is>
          <t>A 28552-2026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46197</v>
      </c>
      <c r="E2086" s="1" t="n">
        <v>46218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11.1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s="2" t="inlineStr"/>
    </row>
    <row r="2087" ht="15" customHeight="1">
      <c r="A2087" t="inlineStr">
        <is>
          <t>A 31346-2024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45504</v>
      </c>
      <c r="E2087" s="1" t="n">
        <v>46218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1.6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s="2" t="inlineStr"/>
    </row>
    <row r="2088" ht="15" customHeight="1">
      <c r="A2088" t="inlineStr">
        <is>
          <t>A 28396-2026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46197</v>
      </c>
      <c r="E2088" s="1" t="n">
        <v>46218</v>
      </c>
      <c r="F2088" t="inlineStr">
        <is>
          <t>VÄSTERNORRLANDS LÄN</t>
        </is>
      </c>
      <c r="G2088" t="inlineStr">
        <is>
          <t>ÖRNSKÖLDSVIK</t>
        </is>
      </c>
      <c r="I2088" t="n">
        <v>1.1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s="2" t="inlineStr"/>
    </row>
    <row r="2089" ht="15" customHeight="1">
      <c r="A2089" t="inlineStr">
        <is>
          <t>A 28405-2026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46197</v>
      </c>
      <c r="E2089" s="1" t="n">
        <v>46218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1.7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s="2" t="inlineStr"/>
    </row>
    <row r="2090" ht="15" customHeight="1">
      <c r="A2090" t="inlineStr">
        <is>
          <t>A 26378-2024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45469</v>
      </c>
      <c r="E2090" s="1" t="n">
        <v>46218</v>
      </c>
      <c r="F2090" t="inlineStr">
        <is>
          <t>VÄSTERNORRLANDS LÄN</t>
        </is>
      </c>
      <c r="G2090" t="inlineStr">
        <is>
          <t>ÖRNSKÖLDSVIK</t>
        </is>
      </c>
      <c r="I2090" t="n">
        <v>1.9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s="2" t="inlineStr"/>
    </row>
    <row r="2091" ht="15" customHeight="1">
      <c r="A2091" t="inlineStr">
        <is>
          <t>A 35416-2022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44798</v>
      </c>
      <c r="E2091" s="1" t="n">
        <v>46218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1.4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s="2" t="inlineStr"/>
    </row>
    <row r="2092" ht="15" customHeight="1">
      <c r="A2092" t="inlineStr">
        <is>
          <t>A 2079-2026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46036</v>
      </c>
      <c r="E2092" s="1" t="n">
        <v>46218</v>
      </c>
      <c r="F2092" t="inlineStr">
        <is>
          <t>VÄSTERNORRLANDS LÄN</t>
        </is>
      </c>
      <c r="G2092" t="inlineStr">
        <is>
          <t>ÖRNSKÖLDSVIK</t>
        </is>
      </c>
      <c r="I2092" t="n">
        <v>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s="2" t="inlineStr"/>
    </row>
    <row r="2093" ht="15" customHeight="1">
      <c r="A2093" t="inlineStr">
        <is>
          <t>A 69296-2021</t>
        </is>
      </c>
      <c r="B2093" t="inlineStr">
        <is>
          <t>avverkningsanmälan</t>
        </is>
      </c>
      <c r="C2093" t="inlineStr">
        <is>
          <t>Avverkning för att bevara och utveckla /försöksver</t>
        </is>
      </c>
      <c r="D2093" s="1" t="n">
        <v>44531</v>
      </c>
      <c r="E2093" s="1" t="n">
        <v>46218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3.1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s="2" t="inlineStr"/>
    </row>
    <row r="2094" ht="15" customHeight="1">
      <c r="A2094" t="inlineStr">
        <is>
          <t>A 41520-2024</t>
        </is>
      </c>
      <c r="B2094" t="inlineStr">
        <is>
          <t>avverkningsanmälan</t>
        </is>
      </c>
      <c r="C2094" t="inlineStr">
        <is>
          <t>Avverkning för annat ändamål</t>
        </is>
      </c>
      <c r="D2094" s="1" t="n">
        <v>45560</v>
      </c>
      <c r="E2094" s="1" t="n">
        <v>46218</v>
      </c>
      <c r="F2094" t="inlineStr">
        <is>
          <t>VÄSTERNORRLANDS LÄN</t>
        </is>
      </c>
      <c r="G2094" t="inlineStr">
        <is>
          <t>ÖRNSKÖLDSVIK</t>
        </is>
      </c>
      <c r="I2094" t="n">
        <v>0.3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s="2" t="inlineStr"/>
    </row>
    <row r="2095" ht="15" customHeight="1">
      <c r="A2095" t="inlineStr">
        <is>
          <t>A 61869-2025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46003</v>
      </c>
      <c r="E2095" s="1" t="n">
        <v>46218</v>
      </c>
      <c r="F2095" t="inlineStr">
        <is>
          <t>VÄSTERNORRLANDS LÄN</t>
        </is>
      </c>
      <c r="G2095" t="inlineStr">
        <is>
          <t>ÖRNSKÖLDSVIK</t>
        </is>
      </c>
      <c r="I2095" t="n">
        <v>10.9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s="2" t="inlineStr"/>
    </row>
    <row r="2096" ht="15" customHeight="1">
      <c r="A2096" t="inlineStr">
        <is>
          <t>A 2085-2026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46036</v>
      </c>
      <c r="E2096" s="1" t="n">
        <v>46218</v>
      </c>
      <c r="F2096" t="inlineStr">
        <is>
          <t>VÄSTERNORRLANDS LÄN</t>
        </is>
      </c>
      <c r="G2096" t="inlineStr">
        <is>
          <t>ÖRNSKÖLDSVIK</t>
        </is>
      </c>
      <c r="I2096" t="n">
        <v>8.199999999999999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s="2" t="inlineStr"/>
    </row>
    <row r="2097" ht="15" customHeight="1">
      <c r="A2097" t="inlineStr">
        <is>
          <t>A 28499-2026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46197</v>
      </c>
      <c r="E2097" s="1" t="n">
        <v>46218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0.9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s="2" t="inlineStr"/>
    </row>
    <row r="2098" ht="15" customHeight="1">
      <c r="A2098" t="inlineStr">
        <is>
          <t>A 28519-2026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46197</v>
      </c>
      <c r="E2098" s="1" t="n">
        <v>46218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6.3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s="2" t="inlineStr"/>
    </row>
    <row r="2099" ht="15" customHeight="1">
      <c r="A2099" t="inlineStr">
        <is>
          <t>A 22362-2026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46154</v>
      </c>
      <c r="E2099" s="1" t="n">
        <v>46218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3.9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s="2" t="inlineStr"/>
    </row>
    <row r="2100" ht="15" customHeight="1">
      <c r="A2100" t="inlineStr">
        <is>
          <t>A 28502-2026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46197</v>
      </c>
      <c r="E2100" s="1" t="n">
        <v>46218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s="2" t="inlineStr"/>
    </row>
    <row r="2101" ht="15" customHeight="1">
      <c r="A2101" t="inlineStr">
        <is>
          <t>A 28514-2026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46197</v>
      </c>
      <c r="E2101" s="1" t="n">
        <v>46218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2.1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s="2" t="inlineStr"/>
    </row>
    <row r="2102" ht="15" customHeight="1">
      <c r="A2102" t="inlineStr">
        <is>
          <t>A 28570-2026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46197</v>
      </c>
      <c r="E2102" s="1" t="n">
        <v>46218</v>
      </c>
      <c r="F2102" t="inlineStr">
        <is>
          <t>VÄSTERNORRLANDS LÄN</t>
        </is>
      </c>
      <c r="G2102" t="inlineStr">
        <is>
          <t>ÖRNSKÖLDSVIK</t>
        </is>
      </c>
      <c r="I2102" t="n">
        <v>3.6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s="2" t="inlineStr"/>
    </row>
    <row r="2103" ht="15" customHeight="1">
      <c r="A2103" t="inlineStr">
        <is>
          <t>A 21533-2024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45441</v>
      </c>
      <c r="E2103" s="1" t="n">
        <v>46218</v>
      </c>
      <c r="F2103" t="inlineStr">
        <is>
          <t>VÄSTERNORRLANDS LÄN</t>
        </is>
      </c>
      <c r="G2103" t="inlineStr">
        <is>
          <t>ÖRNSKÖLDSVIK</t>
        </is>
      </c>
      <c r="I2103" t="n">
        <v>1.8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s="2" t="inlineStr"/>
    </row>
    <row r="2104" ht="15" customHeight="1">
      <c r="A2104" t="inlineStr">
        <is>
          <t>A 58055-2023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45247</v>
      </c>
      <c r="E2104" s="1" t="n">
        <v>46218</v>
      </c>
      <c r="F2104" t="inlineStr">
        <is>
          <t>VÄSTERNORRLANDS LÄN</t>
        </is>
      </c>
      <c r="G2104" t="inlineStr">
        <is>
          <t>ÖRNSKÖLDSVIK</t>
        </is>
      </c>
      <c r="I2104" t="n">
        <v>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s="2" t="inlineStr"/>
    </row>
    <row r="2105" ht="15" customHeight="1">
      <c r="A2105" t="inlineStr">
        <is>
          <t>A 15606-2024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45401</v>
      </c>
      <c r="E2105" s="1" t="n">
        <v>46218</v>
      </c>
      <c r="F2105" t="inlineStr">
        <is>
          <t>VÄSTERNORRLANDS LÄN</t>
        </is>
      </c>
      <c r="G2105" t="inlineStr">
        <is>
          <t>ÖRNSKÖLDSVIK</t>
        </is>
      </c>
      <c r="I2105" t="n">
        <v>4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s="2" t="inlineStr"/>
    </row>
    <row r="2106" ht="15" customHeight="1">
      <c r="A2106" t="inlineStr">
        <is>
          <t>A 14117-2024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45392</v>
      </c>
      <c r="E2106" s="1" t="n">
        <v>46218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4.4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s="2" t="inlineStr"/>
    </row>
    <row r="2107" ht="15" customHeight="1">
      <c r="A2107" t="inlineStr">
        <is>
          <t>A 14124-2024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45392</v>
      </c>
      <c r="E2107" s="1" t="n">
        <v>46218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5.5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s="2" t="inlineStr"/>
    </row>
    <row r="2108" ht="15" customHeight="1">
      <c r="A2108" t="inlineStr">
        <is>
          <t>A 56979-2024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45628</v>
      </c>
      <c r="E2108" s="1" t="n">
        <v>46218</v>
      </c>
      <c r="F2108" t="inlineStr">
        <is>
          <t>VÄSTERNORRLANDS LÄN</t>
        </is>
      </c>
      <c r="G2108" t="inlineStr">
        <is>
          <t>ÖRNSKÖLDSVIK</t>
        </is>
      </c>
      <c r="I2108" t="n">
        <v>11.6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s="2" t="inlineStr"/>
    </row>
    <row r="2109" ht="15" customHeight="1">
      <c r="A2109" t="inlineStr">
        <is>
          <t>A 53371-2023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45229</v>
      </c>
      <c r="E2109" s="1" t="n">
        <v>46218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2.1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s="2" t="inlineStr"/>
    </row>
    <row r="2110" ht="15" customHeight="1">
      <c r="A2110" t="inlineStr">
        <is>
          <t>A 28356-2026</t>
        </is>
      </c>
      <c r="B2110" t="inlineStr">
        <is>
          <t>avverkningsanmälan</t>
        </is>
      </c>
      <c r="C2110" t="inlineStr">
        <is>
          <t>Avverkning för annat ändamål</t>
        </is>
      </c>
      <c r="D2110" s="1" t="n">
        <v>46196</v>
      </c>
      <c r="E2110" s="1" t="n">
        <v>46218</v>
      </c>
      <c r="F2110" t="inlineStr">
        <is>
          <t>VÄSTERNORRLANDS LÄN</t>
        </is>
      </c>
      <c r="G2110" t="inlineStr">
        <is>
          <t>ÖRNSKÖLDSVIK</t>
        </is>
      </c>
      <c r="I2110" t="n">
        <v>1.4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s="2" t="inlineStr"/>
    </row>
    <row r="2111" ht="15" customHeight="1">
      <c r="A2111" t="inlineStr">
        <is>
          <t>A 60462-2022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44904</v>
      </c>
      <c r="E2111" s="1" t="n">
        <v>46218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Kyrkan</t>
        </is>
      </c>
      <c r="I2111" t="n">
        <v>6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s="2" t="inlineStr"/>
    </row>
    <row r="2112" ht="15" customHeight="1">
      <c r="A2112" t="inlineStr">
        <is>
          <t>A 61085-2022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44915</v>
      </c>
      <c r="E2112" s="1" t="n">
        <v>46218</v>
      </c>
      <c r="F2112" t="inlineStr">
        <is>
          <t>VÄSTERNORRLANDS LÄN</t>
        </is>
      </c>
      <c r="G2112" t="inlineStr">
        <is>
          <t>ÖRNSKÖLDSVIK</t>
        </is>
      </c>
      <c r="I2112" t="n">
        <v>3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s="2" t="inlineStr"/>
    </row>
    <row r="2113" ht="15" customHeight="1">
      <c r="A2113" t="inlineStr">
        <is>
          <t>A 61090-2022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44915</v>
      </c>
      <c r="E2113" s="1" t="n">
        <v>46218</v>
      </c>
      <c r="F2113" t="inlineStr">
        <is>
          <t>VÄSTERNORRLANDS LÄN</t>
        </is>
      </c>
      <c r="G2113" t="inlineStr">
        <is>
          <t>ÖRNSKÖLDSVIK</t>
        </is>
      </c>
      <c r="I2113" t="n">
        <v>0.3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s="2" t="inlineStr"/>
    </row>
    <row r="2114" ht="15" customHeight="1">
      <c r="A2114" t="inlineStr">
        <is>
          <t>A 60457-2025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45995</v>
      </c>
      <c r="E2114" s="1" t="n">
        <v>46218</v>
      </c>
      <c r="F2114" t="inlineStr">
        <is>
          <t>VÄSTERNORRLANDS LÄN</t>
        </is>
      </c>
      <c r="G2114" t="inlineStr">
        <is>
          <t>ÖRNSKÖLDSVIK</t>
        </is>
      </c>
      <c r="I2114" t="n">
        <v>1.6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s="2" t="inlineStr"/>
    </row>
    <row r="2115" ht="15" customHeight="1">
      <c r="A2115" t="inlineStr">
        <is>
          <t>A 28197-2026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46196</v>
      </c>
      <c r="E2115" s="1" t="n">
        <v>46218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2.9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s="2" t="inlineStr"/>
    </row>
    <row r="2116" ht="15" customHeight="1">
      <c r="A2116" t="inlineStr">
        <is>
          <t>A 28205-2026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46196</v>
      </c>
      <c r="E2116" s="1" t="n">
        <v>46218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0.9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s="2" t="inlineStr"/>
    </row>
    <row r="2117" ht="15" customHeight="1">
      <c r="A2117" t="inlineStr">
        <is>
          <t>A 3212-2026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46041</v>
      </c>
      <c r="E2117" s="1" t="n">
        <v>46218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1.4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s="2" t="inlineStr"/>
    </row>
    <row r="2118" ht="15" customHeight="1">
      <c r="A2118" t="inlineStr">
        <is>
          <t>A 25926-2024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45467</v>
      </c>
      <c r="E2118" s="1" t="n">
        <v>46218</v>
      </c>
      <c r="F2118" t="inlineStr">
        <is>
          <t>VÄSTERNORRLANDS LÄN</t>
        </is>
      </c>
      <c r="G2118" t="inlineStr">
        <is>
          <t>ÖRNSKÖLDSVIK</t>
        </is>
      </c>
      <c r="I2118" t="n">
        <v>1.1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s="2" t="inlineStr"/>
    </row>
    <row r="2119" ht="15" customHeight="1">
      <c r="A2119" t="inlineStr">
        <is>
          <t>A 3213-2026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46041</v>
      </c>
      <c r="E2119" s="1" t="n">
        <v>46218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5.2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s="2" t="inlineStr"/>
    </row>
    <row r="2120" ht="15" customHeight="1">
      <c r="A2120" t="inlineStr">
        <is>
          <t>A 3188-2026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46041</v>
      </c>
      <c r="E2120" s="1" t="n">
        <v>46218</v>
      </c>
      <c r="F2120" t="inlineStr">
        <is>
          <t>VÄSTERNORRLANDS LÄN</t>
        </is>
      </c>
      <c r="G2120" t="inlineStr">
        <is>
          <t>ÖRNSKÖLDSVIK</t>
        </is>
      </c>
      <c r="I2120" t="n">
        <v>1.6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s="2" t="inlineStr"/>
    </row>
    <row r="2121" ht="15" customHeight="1">
      <c r="A2121" t="inlineStr">
        <is>
          <t>A 22349-2026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46154</v>
      </c>
      <c r="E2121" s="1" t="n">
        <v>46218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1.2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s="2" t="inlineStr"/>
    </row>
    <row r="2122" ht="15" customHeight="1">
      <c r="A2122" t="inlineStr">
        <is>
          <t>A 28214-2026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46196</v>
      </c>
      <c r="E2122" s="1" t="n">
        <v>46218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SCA</t>
        </is>
      </c>
      <c r="I2122" t="n">
        <v>1.3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s="2" t="inlineStr"/>
    </row>
    <row r="2123" ht="15" customHeight="1">
      <c r="A2123" t="inlineStr">
        <is>
          <t>A 19977-2023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45054</v>
      </c>
      <c r="E2123" s="1" t="n">
        <v>46218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0.4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s="2" t="inlineStr"/>
    </row>
    <row r="2124" ht="15" customHeight="1">
      <c r="A2124" t="inlineStr">
        <is>
          <t>A 32850-2022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44784</v>
      </c>
      <c r="E2124" s="1" t="n">
        <v>46218</v>
      </c>
      <c r="F2124" t="inlineStr">
        <is>
          <t>VÄSTERNORRLANDS LÄN</t>
        </is>
      </c>
      <c r="G2124" t="inlineStr">
        <is>
          <t>ÖRNSKÖLDSVIK</t>
        </is>
      </c>
      <c r="I2124" t="n">
        <v>5.5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s="2" t="inlineStr"/>
    </row>
    <row r="2125" ht="15" customHeight="1">
      <c r="A2125" t="inlineStr">
        <is>
          <t>A 28199-2026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46196</v>
      </c>
      <c r="E2125" s="1" t="n">
        <v>46218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0.2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s="2" t="inlineStr"/>
    </row>
    <row r="2126" ht="15" customHeight="1">
      <c r="A2126" t="inlineStr">
        <is>
          <t>A 59771-2024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45638</v>
      </c>
      <c r="E2126" s="1" t="n">
        <v>46218</v>
      </c>
      <c r="F2126" t="inlineStr">
        <is>
          <t>VÄSTERNORRLANDS LÄN</t>
        </is>
      </c>
      <c r="G2126" t="inlineStr">
        <is>
          <t>ÖRNSKÖLDSVIK</t>
        </is>
      </c>
      <c r="I2126" t="n">
        <v>1.3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s="2" t="inlineStr"/>
    </row>
    <row r="2127" ht="15" customHeight="1">
      <c r="A2127" t="inlineStr">
        <is>
          <t>A 28213-2026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46196</v>
      </c>
      <c r="E2127" s="1" t="n">
        <v>46218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SCA</t>
        </is>
      </c>
      <c r="I2127" t="n">
        <v>0.7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s="2" t="inlineStr"/>
    </row>
    <row r="2128" ht="15" customHeight="1">
      <c r="A2128" t="inlineStr">
        <is>
          <t>A 21234-2023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45058</v>
      </c>
      <c r="E2128" s="1" t="n">
        <v>46218</v>
      </c>
      <c r="F2128" t="inlineStr">
        <is>
          <t>VÄSTERNORRLANDS LÄN</t>
        </is>
      </c>
      <c r="G2128" t="inlineStr">
        <is>
          <t>ÖRNSKÖLDSVIK</t>
        </is>
      </c>
      <c r="I2128" t="n">
        <v>1.3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s="2" t="inlineStr"/>
    </row>
    <row r="2129" ht="15" customHeight="1">
      <c r="A2129" t="inlineStr">
        <is>
          <t>A 20551-2024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45436</v>
      </c>
      <c r="E2129" s="1" t="n">
        <v>46218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0.3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s="2" t="inlineStr"/>
    </row>
    <row r="2130" ht="15" customHeight="1">
      <c r="A2130" t="inlineStr">
        <is>
          <t>A 22456-2026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46155</v>
      </c>
      <c r="E2130" s="1" t="n">
        <v>46218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2.6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s="2" t="inlineStr"/>
    </row>
    <row r="2131" ht="15" customHeight="1">
      <c r="A2131" t="inlineStr">
        <is>
          <t>A 3359-2026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46041</v>
      </c>
      <c r="E2131" s="1" t="n">
        <v>46218</v>
      </c>
      <c r="F2131" t="inlineStr">
        <is>
          <t>VÄSTERNORRLANDS LÄN</t>
        </is>
      </c>
      <c r="G2131" t="inlineStr">
        <is>
          <t>ÖRNSKÖLDSVIK</t>
        </is>
      </c>
      <c r="I2131" t="n">
        <v>6.9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s="2" t="inlineStr"/>
    </row>
    <row r="2132" ht="15" customHeight="1">
      <c r="A2132" t="inlineStr">
        <is>
          <t>A 34904-2022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44796</v>
      </c>
      <c r="E2132" s="1" t="n">
        <v>46218</v>
      </c>
      <c r="F2132" t="inlineStr">
        <is>
          <t>VÄSTERNORRLANDS LÄN</t>
        </is>
      </c>
      <c r="G2132" t="inlineStr">
        <is>
          <t>ÖRNSKÖLDSVIK</t>
        </is>
      </c>
      <c r="I2132" t="n">
        <v>9.699999999999999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s="2" t="inlineStr"/>
    </row>
    <row r="2133" ht="15" customHeight="1">
      <c r="A2133" t="inlineStr">
        <is>
          <t>A 3107-2026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46041</v>
      </c>
      <c r="E2133" s="1" t="n">
        <v>46218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s="2" t="inlineStr"/>
    </row>
    <row r="2134" ht="15" customHeight="1">
      <c r="A2134" t="inlineStr">
        <is>
          <t>A 3249-2026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46041</v>
      </c>
      <c r="E2134" s="1" t="n">
        <v>46218</v>
      </c>
      <c r="F2134" t="inlineStr">
        <is>
          <t>VÄSTERNORRLANDS LÄN</t>
        </is>
      </c>
      <c r="G2134" t="inlineStr">
        <is>
          <t>ÖRNSKÖLDSVIK</t>
        </is>
      </c>
      <c r="I2134" t="n">
        <v>0.7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s="2" t="inlineStr"/>
    </row>
    <row r="2135" ht="15" customHeight="1">
      <c r="A2135" t="inlineStr">
        <is>
          <t>A 28701-2026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46198</v>
      </c>
      <c r="E2135" s="1" t="n">
        <v>46218</v>
      </c>
      <c r="F2135" t="inlineStr">
        <is>
          <t>VÄSTERNORRLANDS LÄN</t>
        </is>
      </c>
      <c r="G2135" t="inlineStr">
        <is>
          <t>ÖRNSKÖLDSVIK</t>
        </is>
      </c>
      <c r="I2135" t="n">
        <v>2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s="2" t="inlineStr"/>
    </row>
    <row r="2136" ht="15" customHeight="1">
      <c r="A2136" t="inlineStr">
        <is>
          <t>A 2840-2026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46038</v>
      </c>
      <c r="E2136" s="1" t="n">
        <v>46218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SCA</t>
        </is>
      </c>
      <c r="I2136" t="n">
        <v>11.4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s="2" t="inlineStr"/>
    </row>
    <row r="2137" ht="15" customHeight="1">
      <c r="A2137" t="inlineStr">
        <is>
          <t>A 28467-2023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45103</v>
      </c>
      <c r="E2137" s="1" t="n">
        <v>46218</v>
      </c>
      <c r="F2137" t="inlineStr">
        <is>
          <t>VÄSTERNORRLANDS LÄN</t>
        </is>
      </c>
      <c r="G2137" t="inlineStr">
        <is>
          <t>ÖRNSKÖLDSVIK</t>
        </is>
      </c>
      <c r="I2137" t="n">
        <v>8.1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s="2" t="inlineStr"/>
    </row>
    <row r="2138" ht="15" customHeight="1">
      <c r="A2138" t="inlineStr">
        <is>
          <t>A 2963-2026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46038</v>
      </c>
      <c r="E2138" s="1" t="n">
        <v>46218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SCA</t>
        </is>
      </c>
      <c r="I2138" t="n">
        <v>3.3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s="2" t="inlineStr"/>
    </row>
    <row r="2139" ht="15" customHeight="1">
      <c r="A2139" t="inlineStr">
        <is>
          <t>A 2868-2026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46038</v>
      </c>
      <c r="E2139" s="1" t="n">
        <v>46218</v>
      </c>
      <c r="F2139" t="inlineStr">
        <is>
          <t>VÄSTERNORRLANDS LÄN</t>
        </is>
      </c>
      <c r="G2139" t="inlineStr">
        <is>
          <t>ÖRNSKÖLDSVIK</t>
        </is>
      </c>
      <c r="I2139" t="n">
        <v>1.2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s="2" t="inlineStr"/>
    </row>
    <row r="2140" ht="15" customHeight="1">
      <c r="A2140" t="inlineStr">
        <is>
          <t>A 23094-2024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45450</v>
      </c>
      <c r="E2140" s="1" t="n">
        <v>46218</v>
      </c>
      <c r="F2140" t="inlineStr">
        <is>
          <t>VÄSTERNORRLANDS LÄN</t>
        </is>
      </c>
      <c r="G2140" t="inlineStr">
        <is>
          <t>ÖRNSKÖLDSVIK</t>
        </is>
      </c>
      <c r="I2140" t="n">
        <v>1.9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s="2" t="inlineStr"/>
    </row>
    <row r="2141" ht="15" customHeight="1">
      <c r="A2141" t="inlineStr">
        <is>
          <t>A 23097-2024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45450</v>
      </c>
      <c r="E2141" s="1" t="n">
        <v>46218</v>
      </c>
      <c r="F2141" t="inlineStr">
        <is>
          <t>VÄSTERNORRLANDS LÄN</t>
        </is>
      </c>
      <c r="G2141" t="inlineStr">
        <is>
          <t>ÖRNSKÖLDSVIK</t>
        </is>
      </c>
      <c r="I2141" t="n">
        <v>1.5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s="2" t="inlineStr"/>
    </row>
    <row r="2142" ht="15" customHeight="1">
      <c r="A2142" t="inlineStr">
        <is>
          <t>A 18199-2023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45041</v>
      </c>
      <c r="E2142" s="1" t="n">
        <v>46218</v>
      </c>
      <c r="F2142" t="inlineStr">
        <is>
          <t>VÄSTERNORRLANDS LÄN</t>
        </is>
      </c>
      <c r="G2142" t="inlineStr">
        <is>
          <t>ÖRNSKÖLDSVIK</t>
        </is>
      </c>
      <c r="I2142" t="n">
        <v>1.5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s="2" t="inlineStr"/>
    </row>
    <row r="2143" ht="15" customHeight="1">
      <c r="A2143" t="inlineStr">
        <is>
          <t>A 10296-2023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44986</v>
      </c>
      <c r="E2143" s="1" t="n">
        <v>46218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SCA</t>
        </is>
      </c>
      <c r="I2143" t="n">
        <v>9.4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s="2" t="inlineStr"/>
    </row>
    <row r="2144" ht="15" customHeight="1">
      <c r="A2144" t="inlineStr">
        <is>
          <t>A 3839-2026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46043</v>
      </c>
      <c r="E2144" s="1" t="n">
        <v>46218</v>
      </c>
      <c r="F2144" t="inlineStr">
        <is>
          <t>VÄSTERNORRLANDS LÄN</t>
        </is>
      </c>
      <c r="G2144" t="inlineStr">
        <is>
          <t>ÖRNSKÖLDSVIK</t>
        </is>
      </c>
      <c r="I2144" t="n">
        <v>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s="2" t="inlineStr"/>
    </row>
    <row r="2145" ht="15" customHeight="1">
      <c r="A2145" t="inlineStr">
        <is>
          <t>A 25068-2024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45462</v>
      </c>
      <c r="E2145" s="1" t="n">
        <v>46218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2.1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s="2" t="inlineStr"/>
    </row>
    <row r="2146" ht="15" customHeight="1">
      <c r="A2146" t="inlineStr">
        <is>
          <t>A 53806-2023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45231</v>
      </c>
      <c r="E2146" s="1" t="n">
        <v>46218</v>
      </c>
      <c r="F2146" t="inlineStr">
        <is>
          <t>VÄSTERNORRLANDS LÄN</t>
        </is>
      </c>
      <c r="G2146" t="inlineStr">
        <is>
          <t>ÖRNSKÖLDSVIK</t>
        </is>
      </c>
      <c r="I2146" t="n">
        <v>1.6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s="2" t="inlineStr"/>
    </row>
    <row r="2147" ht="15" customHeight="1">
      <c r="A2147" t="inlineStr">
        <is>
          <t>A 3362-2026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46042</v>
      </c>
      <c r="E2147" s="1" t="n">
        <v>46218</v>
      </c>
      <c r="F2147" t="inlineStr">
        <is>
          <t>VÄSTERNORRLANDS LÄN</t>
        </is>
      </c>
      <c r="G2147" t="inlineStr">
        <is>
          <t>ÖRNSKÖLDSVIK</t>
        </is>
      </c>
      <c r="I2147" t="n">
        <v>0.7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s="2" t="inlineStr"/>
    </row>
    <row r="2148" ht="15" customHeight="1">
      <c r="A2148" t="inlineStr">
        <is>
          <t>A 16336-2024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45407</v>
      </c>
      <c r="E2148" s="1" t="n">
        <v>46218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0.7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s="2" t="inlineStr"/>
    </row>
    <row r="2149" ht="15" customHeight="1">
      <c r="A2149" t="inlineStr">
        <is>
          <t>A 58342-2024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45632</v>
      </c>
      <c r="E2149" s="1" t="n">
        <v>46218</v>
      </c>
      <c r="F2149" t="inlineStr">
        <is>
          <t>VÄSTERNORRLANDS LÄN</t>
        </is>
      </c>
      <c r="G2149" t="inlineStr">
        <is>
          <t>ÖRNSKÖLDSVIK</t>
        </is>
      </c>
      <c r="I2149" t="n">
        <v>2.9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s="2" t="inlineStr"/>
    </row>
    <row r="2150" ht="15" customHeight="1">
      <c r="A2150" t="inlineStr">
        <is>
          <t>A 28281-2024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45477</v>
      </c>
      <c r="E2150" s="1" t="n">
        <v>46218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s="2" t="inlineStr"/>
    </row>
    <row r="2151" ht="15" customHeight="1">
      <c r="A2151" t="inlineStr">
        <is>
          <t>A 28759-2026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46198</v>
      </c>
      <c r="E2151" s="1" t="n">
        <v>46218</v>
      </c>
      <c r="F2151" t="inlineStr">
        <is>
          <t>VÄSTERNORRLANDS LÄN</t>
        </is>
      </c>
      <c r="G2151" t="inlineStr">
        <is>
          <t>ÖRNSKÖLDSVIK</t>
        </is>
      </c>
      <c r="I2151" t="n">
        <v>2.4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s="2" t="inlineStr"/>
    </row>
    <row r="2152" ht="15" customHeight="1">
      <c r="A2152" t="inlineStr">
        <is>
          <t>A 28649-2026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46198</v>
      </c>
      <c r="E2152" s="1" t="n">
        <v>46218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6.7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s="2" t="inlineStr"/>
    </row>
    <row r="2153" ht="15" customHeight="1">
      <c r="A2153" t="inlineStr">
        <is>
          <t>A 18417-2023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45042</v>
      </c>
      <c r="E2153" s="1" t="n">
        <v>46218</v>
      </c>
      <c r="F2153" t="inlineStr">
        <is>
          <t>VÄSTERNORRLANDS LÄN</t>
        </is>
      </c>
      <c r="G2153" t="inlineStr">
        <is>
          <t>ÖRNSKÖLDSVIK</t>
        </is>
      </c>
      <c r="I2153" t="n">
        <v>0.7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s="2" t="inlineStr"/>
    </row>
    <row r="2154" ht="15" customHeight="1">
      <c r="A2154" t="inlineStr">
        <is>
          <t>A 4404-2026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46045</v>
      </c>
      <c r="E2154" s="1" t="n">
        <v>46218</v>
      </c>
      <c r="F2154" t="inlineStr">
        <is>
          <t>VÄSTERNORRLANDS LÄN</t>
        </is>
      </c>
      <c r="G2154" t="inlineStr">
        <is>
          <t>ÖRNSKÖLDSVIK</t>
        </is>
      </c>
      <c r="I2154" t="n">
        <v>0.9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s="2" t="inlineStr"/>
    </row>
    <row r="2155" ht="15" customHeight="1">
      <c r="A2155" t="inlineStr">
        <is>
          <t>A 4391-2026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46045</v>
      </c>
      <c r="E2155" s="1" t="n">
        <v>46218</v>
      </c>
      <c r="F2155" t="inlineStr">
        <is>
          <t>VÄSTERNORRLANDS LÄN</t>
        </is>
      </c>
      <c r="G2155" t="inlineStr">
        <is>
          <t>ÖRNSKÖLDSVIK</t>
        </is>
      </c>
      <c r="I2155" t="n">
        <v>2.5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s="2" t="inlineStr"/>
    </row>
    <row r="2156" ht="15" customHeight="1">
      <c r="A2156" t="inlineStr">
        <is>
          <t>A 3981-2026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46044</v>
      </c>
      <c r="E2156" s="1" t="n">
        <v>46218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SCA</t>
        </is>
      </c>
      <c r="I2156" t="n">
        <v>1.4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s="2" t="inlineStr"/>
    </row>
    <row r="2157" ht="15" customHeight="1">
      <c r="A2157" t="inlineStr">
        <is>
          <t>A 11468-2024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45372</v>
      </c>
      <c r="E2157" s="1" t="n">
        <v>46218</v>
      </c>
      <c r="F2157" t="inlineStr">
        <is>
          <t>VÄSTERNORRLANDS LÄN</t>
        </is>
      </c>
      <c r="G2157" t="inlineStr">
        <is>
          <t>ÖRNSKÖLDSVIK</t>
        </is>
      </c>
      <c r="I2157" t="n">
        <v>2.1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s="2" t="inlineStr"/>
    </row>
    <row r="2158" ht="15" customHeight="1">
      <c r="A2158" t="inlineStr">
        <is>
          <t>A 26366-2026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46182</v>
      </c>
      <c r="E2158" s="1" t="n">
        <v>46218</v>
      </c>
      <c r="F2158" t="inlineStr">
        <is>
          <t>VÄSTERNORRLANDS LÄN</t>
        </is>
      </c>
      <c r="G2158" t="inlineStr">
        <is>
          <t>ÖRNSKÖLDSVIK</t>
        </is>
      </c>
      <c r="I2158" t="n">
        <v>1.7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s="2" t="inlineStr"/>
    </row>
    <row r="2159" ht="15" customHeight="1">
      <c r="A2159" t="inlineStr">
        <is>
          <t>A 28885-2026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46199</v>
      </c>
      <c r="E2159" s="1" t="n">
        <v>46218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SCA</t>
        </is>
      </c>
      <c r="I2159" t="n">
        <v>8.4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s="2" t="inlineStr"/>
    </row>
    <row r="2160" ht="15" customHeight="1">
      <c r="A2160" t="inlineStr">
        <is>
          <t>A 327-2024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45295</v>
      </c>
      <c r="E2160" s="1" t="n">
        <v>46218</v>
      </c>
      <c r="F2160" t="inlineStr">
        <is>
          <t>VÄSTERNORRLANDS LÄN</t>
        </is>
      </c>
      <c r="G2160" t="inlineStr">
        <is>
          <t>ÖRNSKÖLDSVIK</t>
        </is>
      </c>
      <c r="I2160" t="n">
        <v>3.4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s="2" t="inlineStr"/>
    </row>
    <row r="2161" ht="15" customHeight="1">
      <c r="A2161" t="inlineStr">
        <is>
          <t>A 36323-2023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45152</v>
      </c>
      <c r="E2161" s="1" t="n">
        <v>46218</v>
      </c>
      <c r="F2161" t="inlineStr">
        <is>
          <t>VÄSTERNORRLANDS LÄN</t>
        </is>
      </c>
      <c r="G2161" t="inlineStr">
        <is>
          <t>ÖRNSKÖLDSVIK</t>
        </is>
      </c>
      <c r="I2161" t="n">
        <v>0.8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s="2" t="inlineStr"/>
    </row>
    <row r="2162" ht="15" customHeight="1">
      <c r="A2162" t="inlineStr">
        <is>
          <t>A 36326-2023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45152</v>
      </c>
      <c r="E2162" s="1" t="n">
        <v>46218</v>
      </c>
      <c r="F2162" t="inlineStr">
        <is>
          <t>VÄSTERNORRLANDS LÄN</t>
        </is>
      </c>
      <c r="G2162" t="inlineStr">
        <is>
          <t>ÖRNSKÖLDSVIK</t>
        </is>
      </c>
      <c r="I2162" t="n">
        <v>2.4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s="2" t="inlineStr"/>
    </row>
    <row r="2163" ht="15" customHeight="1">
      <c r="A2163" t="inlineStr">
        <is>
          <t>A 4721-2026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46045</v>
      </c>
      <c r="E2163" s="1" t="n">
        <v>46218</v>
      </c>
      <c r="F2163" t="inlineStr">
        <is>
          <t>VÄSTERNORRLANDS LÄN</t>
        </is>
      </c>
      <c r="G2163" t="inlineStr">
        <is>
          <t>ÖRNSKÖLDSVIK</t>
        </is>
      </c>
      <c r="I2163" t="n">
        <v>9.1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s="2" t="inlineStr"/>
    </row>
    <row r="2164" ht="15" customHeight="1">
      <c r="A2164" t="inlineStr">
        <is>
          <t>A 4726-2026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46045</v>
      </c>
      <c r="E2164" s="1" t="n">
        <v>46218</v>
      </c>
      <c r="F2164" t="inlineStr">
        <is>
          <t>VÄSTERNORRLANDS LÄN</t>
        </is>
      </c>
      <c r="G2164" t="inlineStr">
        <is>
          <t>ÖRNSKÖLDSVIK</t>
        </is>
      </c>
      <c r="I2164" t="n">
        <v>2.3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s="2" t="inlineStr"/>
    </row>
    <row r="2165" ht="15" customHeight="1">
      <c r="A2165" t="inlineStr">
        <is>
          <t>A 3966-2023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44952</v>
      </c>
      <c r="E2165" s="1" t="n">
        <v>46218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1.1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s="2" t="inlineStr"/>
    </row>
    <row r="2166" ht="15" customHeight="1">
      <c r="A2166" t="inlineStr">
        <is>
          <t>A 28676-2026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46198</v>
      </c>
      <c r="E2166" s="1" t="n">
        <v>46218</v>
      </c>
      <c r="F2166" t="inlineStr">
        <is>
          <t>VÄSTERNORRLANDS LÄN</t>
        </is>
      </c>
      <c r="G2166" t="inlineStr">
        <is>
          <t>ÖRNSKÖLDSVIK</t>
        </is>
      </c>
      <c r="I2166" t="n">
        <v>3.9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s="2" t="inlineStr"/>
    </row>
    <row r="2167" ht="15" customHeight="1">
      <c r="A2167" t="inlineStr">
        <is>
          <t>A 4575-2024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45327</v>
      </c>
      <c r="E2167" s="1" t="n">
        <v>46218</v>
      </c>
      <c r="F2167" t="inlineStr">
        <is>
          <t>VÄSTERNORRLANDS LÄN</t>
        </is>
      </c>
      <c r="G2167" t="inlineStr">
        <is>
          <t>ÖRNSKÖLDSVIK</t>
        </is>
      </c>
      <c r="I2167" t="n">
        <v>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s="2" t="inlineStr"/>
    </row>
    <row r="2168" ht="15" customHeight="1">
      <c r="A2168" t="inlineStr">
        <is>
          <t>A 32592-2024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45513</v>
      </c>
      <c r="E2168" s="1" t="n">
        <v>46218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0.5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s="2" t="inlineStr"/>
    </row>
    <row r="2169" ht="15" customHeight="1">
      <c r="A2169" t="inlineStr">
        <is>
          <t>A 55165-2023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45237</v>
      </c>
      <c r="E2169" s="1" t="n">
        <v>46218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3.1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s="2" t="inlineStr"/>
    </row>
    <row r="2170" ht="15" customHeight="1">
      <c r="A2170" t="inlineStr">
        <is>
          <t>A 10369-2023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44980</v>
      </c>
      <c r="E2170" s="1" t="n">
        <v>46218</v>
      </c>
      <c r="F2170" t="inlineStr">
        <is>
          <t>VÄSTERNORRLANDS LÄN</t>
        </is>
      </c>
      <c r="G2170" t="inlineStr">
        <is>
          <t>ÖRNSKÖLDSVIK</t>
        </is>
      </c>
      <c r="I2170" t="n">
        <v>0.5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s="2" t="inlineStr"/>
    </row>
    <row r="2171" ht="15" customHeight="1">
      <c r="A2171" t="inlineStr">
        <is>
          <t>A 28621-2026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46198</v>
      </c>
      <c r="E2171" s="1" t="n">
        <v>46218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1.5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s="2" t="inlineStr"/>
    </row>
    <row r="2172" ht="15" customHeight="1">
      <c r="A2172" t="inlineStr">
        <is>
          <t>A 41174-2023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45174</v>
      </c>
      <c r="E2172" s="1" t="n">
        <v>46218</v>
      </c>
      <c r="F2172" t="inlineStr">
        <is>
          <t>VÄSTERNORRLANDS LÄN</t>
        </is>
      </c>
      <c r="G2172" t="inlineStr">
        <is>
          <t>ÖRNSKÖLDSVIK</t>
        </is>
      </c>
      <c r="I2172" t="n">
        <v>1.6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s="2" t="inlineStr"/>
    </row>
    <row r="2173" ht="15" customHeight="1">
      <c r="A2173" t="inlineStr">
        <is>
          <t>A 46911-2021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44446</v>
      </c>
      <c r="E2173" s="1" t="n">
        <v>46218</v>
      </c>
      <c r="F2173" t="inlineStr">
        <is>
          <t>VÄSTERNORRLANDS LÄN</t>
        </is>
      </c>
      <c r="G2173" t="inlineStr">
        <is>
          <t>ÖRNSKÖLDSVIK</t>
        </is>
      </c>
      <c r="I2173" t="n">
        <v>14.9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s="2" t="inlineStr"/>
    </row>
    <row r="2174" ht="15" customHeight="1">
      <c r="A2174" t="inlineStr">
        <is>
          <t>A 39920-2023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45168</v>
      </c>
      <c r="E2174" s="1" t="n">
        <v>46218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3.5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s="2" t="inlineStr"/>
    </row>
    <row r="2175" ht="15" customHeight="1">
      <c r="A2175" t="inlineStr">
        <is>
          <t>A 20529-2024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45435</v>
      </c>
      <c r="E2175" s="1" t="n">
        <v>46218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SCA</t>
        </is>
      </c>
      <c r="I2175" t="n">
        <v>1.1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s="2" t="inlineStr"/>
    </row>
    <row r="2176" ht="15" customHeight="1">
      <c r="A2176" t="inlineStr">
        <is>
          <t>A 250-2024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45294</v>
      </c>
      <c r="E2176" s="1" t="n">
        <v>46218</v>
      </c>
      <c r="F2176" t="inlineStr">
        <is>
          <t>VÄSTERNORRLANDS LÄN</t>
        </is>
      </c>
      <c r="G2176" t="inlineStr">
        <is>
          <t>ÖRNSKÖLDSVIK</t>
        </is>
      </c>
      <c r="I2176" t="n">
        <v>0.5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s="2" t="inlineStr"/>
    </row>
    <row r="2177" ht="15" customHeight="1">
      <c r="A2177" t="inlineStr">
        <is>
          <t>A 28622-2026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46198</v>
      </c>
      <c r="E2177" s="1" t="n">
        <v>46218</v>
      </c>
      <c r="F2177" t="inlineStr">
        <is>
          <t>VÄSTERNORRLANDS LÄN</t>
        </is>
      </c>
      <c r="G2177" t="inlineStr">
        <is>
          <t>ÖRNSKÖLDSVIK</t>
        </is>
      </c>
      <c r="I2177" t="n">
        <v>2.7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s="2" t="inlineStr"/>
    </row>
    <row r="2178" ht="15" customHeight="1">
      <c r="A2178" t="inlineStr">
        <is>
          <t>A 29003-2026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46199</v>
      </c>
      <c r="E2178" s="1" t="n">
        <v>46218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7.8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s="2" t="inlineStr"/>
    </row>
    <row r="2179" ht="15" customHeight="1">
      <c r="A2179" t="inlineStr">
        <is>
          <t>A 28896-2026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46199</v>
      </c>
      <c r="E2179" s="1" t="n">
        <v>46218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SCA</t>
        </is>
      </c>
      <c r="I2179" t="n">
        <v>6.4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s="2" t="inlineStr"/>
    </row>
    <row r="2180" ht="15" customHeight="1">
      <c r="A2180" t="inlineStr">
        <is>
          <t>A 26377-2026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46183</v>
      </c>
      <c r="E2180" s="1" t="n">
        <v>46218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Kommuner</t>
        </is>
      </c>
      <c r="I2180" t="n">
        <v>1.2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s="2" t="inlineStr"/>
    </row>
    <row r="2181" ht="15" customHeight="1">
      <c r="A2181" t="inlineStr">
        <is>
          <t>A 35602-2023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45147</v>
      </c>
      <c r="E2181" s="1" t="n">
        <v>46218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0.7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s="2" t="inlineStr"/>
    </row>
    <row r="2182" ht="15" customHeight="1">
      <c r="A2182" t="inlineStr">
        <is>
          <t>A 35624-2023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45147</v>
      </c>
      <c r="E2182" s="1" t="n">
        <v>46218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0.7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s="2" t="inlineStr"/>
    </row>
    <row r="2183" ht="15" customHeight="1">
      <c r="A2183" t="inlineStr">
        <is>
          <t>A 683-2024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45300</v>
      </c>
      <c r="E2183" s="1" t="n">
        <v>46218</v>
      </c>
      <c r="F2183" t="inlineStr">
        <is>
          <t>VÄSTERNORRLANDS LÄN</t>
        </is>
      </c>
      <c r="G2183" t="inlineStr">
        <is>
          <t>ÖRNSKÖLDSVIK</t>
        </is>
      </c>
      <c r="I2183" t="n">
        <v>4.4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s="2" t="inlineStr"/>
    </row>
    <row r="2184" ht="15" customHeight="1">
      <c r="A2184" t="inlineStr">
        <is>
          <t>A 29232-2026</t>
        </is>
      </c>
      <c r="B2184" t="inlineStr">
        <is>
          <t>avverkningsanmälan</t>
        </is>
      </c>
      <c r="C2184" t="inlineStr">
        <is>
          <t>Avverkning för annat ändamål</t>
        </is>
      </c>
      <c r="D2184" s="1" t="n">
        <v>46202</v>
      </c>
      <c r="E2184" s="1" t="n">
        <v>46218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Kommuner</t>
        </is>
      </c>
      <c r="I2184" t="n">
        <v>0.2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s="2" t="inlineStr"/>
    </row>
    <row r="2185" ht="15" customHeight="1">
      <c r="A2185" t="inlineStr">
        <is>
          <t>A 29236-2026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46202</v>
      </c>
      <c r="E2185" s="1" t="n">
        <v>46218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7.4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s="2" t="inlineStr"/>
    </row>
    <row r="2186" ht="15" customHeight="1">
      <c r="A2186" t="inlineStr">
        <is>
          <t>A 30381-2023</t>
        </is>
      </c>
      <c r="B2186" t="inlineStr">
        <is>
          <t>avverkningsanmälan</t>
        </is>
      </c>
      <c r="C2186" t="inlineStr">
        <is>
          <t>Avverkning för annat ändamål</t>
        </is>
      </c>
      <c r="D2186" s="1" t="n">
        <v>45111</v>
      </c>
      <c r="E2186" s="1" t="n">
        <v>46218</v>
      </c>
      <c r="F2186" t="inlineStr">
        <is>
          <t>VÄSTERNORRLANDS LÄN</t>
        </is>
      </c>
      <c r="G2186" t="inlineStr">
        <is>
          <t>ÖRNSKÖLDSVIK</t>
        </is>
      </c>
      <c r="I2186" t="n">
        <v>1.1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s="2" t="inlineStr"/>
    </row>
    <row r="2187" ht="15" customHeight="1">
      <c r="A2187" t="inlineStr">
        <is>
          <t>A 48010-2023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45204</v>
      </c>
      <c r="E2187" s="1" t="n">
        <v>46218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0.6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s="2" t="inlineStr"/>
    </row>
    <row r="2188" ht="15" customHeight="1">
      <c r="A2188" t="inlineStr">
        <is>
          <t>A 29325-2026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46202</v>
      </c>
      <c r="E2188" s="1" t="n">
        <v>46218</v>
      </c>
      <c r="F2188" t="inlineStr">
        <is>
          <t>VÄSTERNORRLANDS LÄN</t>
        </is>
      </c>
      <c r="G2188" t="inlineStr">
        <is>
          <t>ÖRNSKÖLDSVIK</t>
        </is>
      </c>
      <c r="I2188" t="n">
        <v>0.6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s="2" t="inlineStr"/>
    </row>
    <row r="2189" ht="15" customHeight="1">
      <c r="A2189" t="inlineStr">
        <is>
          <t>A 29262-2026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46202</v>
      </c>
      <c r="E2189" s="1" t="n">
        <v>46218</v>
      </c>
      <c r="F2189" t="inlineStr">
        <is>
          <t>VÄSTERNORRLANDS LÄN</t>
        </is>
      </c>
      <c r="G2189" t="inlineStr">
        <is>
          <t>ÖRNSKÖLDSVIK</t>
        </is>
      </c>
      <c r="I2189" t="n">
        <v>3.7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s="2" t="inlineStr"/>
    </row>
    <row r="2190" ht="15" customHeight="1">
      <c r="A2190" t="inlineStr">
        <is>
          <t>A 29510-2026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46203</v>
      </c>
      <c r="E2190" s="1" t="n">
        <v>46218</v>
      </c>
      <c r="F2190" t="inlineStr">
        <is>
          <t>VÄSTERNORRLANDS LÄN</t>
        </is>
      </c>
      <c r="G2190" t="inlineStr">
        <is>
          <t>ÖRNSKÖLDSVIK</t>
        </is>
      </c>
      <c r="I2190" t="n">
        <v>3.8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s="2" t="inlineStr"/>
    </row>
    <row r="2191" ht="15" customHeight="1">
      <c r="A2191" t="inlineStr">
        <is>
          <t>A 22818-2026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46160</v>
      </c>
      <c r="E2191" s="1" t="n">
        <v>46218</v>
      </c>
      <c r="F2191" t="inlineStr">
        <is>
          <t>VÄSTERNORRLANDS LÄN</t>
        </is>
      </c>
      <c r="G2191" t="inlineStr">
        <is>
          <t>ÖRNSKÖLDSVIK</t>
        </is>
      </c>
      <c r="I2191" t="n">
        <v>0.9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s="2" t="inlineStr"/>
    </row>
    <row r="2192" ht="15" customHeight="1">
      <c r="A2192" t="inlineStr">
        <is>
          <t>A 60720-2024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45638</v>
      </c>
      <c r="E2192" s="1" t="n">
        <v>46218</v>
      </c>
      <c r="F2192" t="inlineStr">
        <is>
          <t>VÄSTERNORRLANDS LÄN</t>
        </is>
      </c>
      <c r="G2192" t="inlineStr">
        <is>
          <t>ÖRNSKÖLDSVIK</t>
        </is>
      </c>
      <c r="I2192" t="n">
        <v>0.6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s="2" t="inlineStr"/>
    </row>
    <row r="2193" ht="15" customHeight="1">
      <c r="A2193" t="inlineStr">
        <is>
          <t>A 29311-2026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46202</v>
      </c>
      <c r="E2193" s="1" t="n">
        <v>46218</v>
      </c>
      <c r="F2193" t="inlineStr">
        <is>
          <t>VÄSTERNORRLANDS LÄN</t>
        </is>
      </c>
      <c r="G2193" t="inlineStr">
        <is>
          <t>ÖRNSKÖLDSVIK</t>
        </is>
      </c>
      <c r="I2193" t="n">
        <v>0.6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s="2" t="inlineStr"/>
    </row>
    <row r="2194" ht="15" customHeight="1">
      <c r="A2194" t="inlineStr">
        <is>
          <t>A 56485-2022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44887</v>
      </c>
      <c r="E2194" s="1" t="n">
        <v>46218</v>
      </c>
      <c r="F2194" t="inlineStr">
        <is>
          <t>VÄSTERNORRLANDS LÄN</t>
        </is>
      </c>
      <c r="G2194" t="inlineStr">
        <is>
          <t>ÖRNSKÖLDSVIK</t>
        </is>
      </c>
      <c r="I2194" t="n">
        <v>4.5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s="2" t="inlineStr"/>
    </row>
    <row r="2195" ht="15" customHeight="1">
      <c r="A2195" t="inlineStr">
        <is>
          <t>A 29307-2026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46202</v>
      </c>
      <c r="E2195" s="1" t="n">
        <v>46218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7.4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s="2" t="inlineStr"/>
    </row>
    <row r="2196" ht="15" customHeight="1">
      <c r="A2196" t="inlineStr">
        <is>
          <t>A 5109-2026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46049</v>
      </c>
      <c r="E2196" s="1" t="n">
        <v>46218</v>
      </c>
      <c r="F2196" t="inlineStr">
        <is>
          <t>VÄSTERNORRLANDS LÄN</t>
        </is>
      </c>
      <c r="G2196" t="inlineStr">
        <is>
          <t>ÖRNSKÖLDSVIK</t>
        </is>
      </c>
      <c r="I2196" t="n">
        <v>1.3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s="2" t="inlineStr"/>
    </row>
    <row r="2197" ht="15" customHeight="1">
      <c r="A2197" t="inlineStr">
        <is>
          <t>A 4760-2026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46048</v>
      </c>
      <c r="E2197" s="1" t="n">
        <v>46218</v>
      </c>
      <c r="F2197" t="inlineStr">
        <is>
          <t>VÄSTERNORRLANDS LÄN</t>
        </is>
      </c>
      <c r="G2197" t="inlineStr">
        <is>
          <t>ÖRNSKÖLDSVIK</t>
        </is>
      </c>
      <c r="I2197" t="n">
        <v>0.5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s="2" t="inlineStr"/>
    </row>
    <row r="2198" ht="15" customHeight="1">
      <c r="A2198" t="inlineStr">
        <is>
          <t>A 436-2024</t>
        </is>
      </c>
      <c r="B2198" t="inlineStr">
        <is>
          <t>avverkningsanmälan</t>
        </is>
      </c>
      <c r="C2198" t="inlineStr">
        <is>
          <t>Avverkning för att bevara och utveckla /försöksver</t>
        </is>
      </c>
      <c r="D2198" s="1" t="n">
        <v>45296</v>
      </c>
      <c r="E2198" s="1" t="n">
        <v>46218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4.1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s="2" t="inlineStr"/>
    </row>
    <row r="2199" ht="15" customHeight="1">
      <c r="A2199" t="inlineStr">
        <is>
          <t>A 29357-2026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46203</v>
      </c>
      <c r="E2199" s="1" t="n">
        <v>46218</v>
      </c>
      <c r="F2199" t="inlineStr">
        <is>
          <t>VÄSTERNORRLANDS LÄN</t>
        </is>
      </c>
      <c r="G2199" t="inlineStr">
        <is>
          <t>ÖRNSKÖLDSVIK</t>
        </is>
      </c>
      <c r="I2199" t="n">
        <v>2.5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s="2" t="inlineStr"/>
    </row>
    <row r="2200" ht="15" customHeight="1">
      <c r="A2200" t="inlineStr">
        <is>
          <t>A 29391-2026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46203</v>
      </c>
      <c r="E2200" s="1" t="n">
        <v>46218</v>
      </c>
      <c r="F2200" t="inlineStr">
        <is>
          <t>VÄSTERNORRLANDS LÄN</t>
        </is>
      </c>
      <c r="G2200" t="inlineStr">
        <is>
          <t>ÖRNSKÖLDSVIK</t>
        </is>
      </c>
      <c r="I2200" t="n">
        <v>2.3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s="2" t="inlineStr"/>
    </row>
    <row r="2201" ht="15" customHeight="1">
      <c r="A2201" t="inlineStr">
        <is>
          <t>A 29312-2026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46202</v>
      </c>
      <c r="E2201" s="1" t="n">
        <v>46218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2.9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s="2" t="inlineStr"/>
    </row>
    <row r="2202" ht="15" customHeight="1">
      <c r="A2202" t="inlineStr">
        <is>
          <t>A 29318-2026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46202</v>
      </c>
      <c r="E2202" s="1" t="n">
        <v>46218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s="2" t="inlineStr"/>
    </row>
    <row r="2203" ht="15" customHeight="1">
      <c r="A2203" t="inlineStr">
        <is>
          <t>A 61120-2024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45645</v>
      </c>
      <c r="E2203" s="1" t="n">
        <v>46218</v>
      </c>
      <c r="F2203" t="inlineStr">
        <is>
          <t>VÄSTERNORRLANDS LÄN</t>
        </is>
      </c>
      <c r="G2203" t="inlineStr">
        <is>
          <t>ÖRNSKÖLDSVIK</t>
        </is>
      </c>
      <c r="I2203" t="n">
        <v>2.7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s="2" t="inlineStr"/>
    </row>
    <row r="2204" ht="15" customHeight="1">
      <c r="A2204" t="inlineStr">
        <is>
          <t>A 68866-2021</t>
        </is>
      </c>
      <c r="B2204" t="inlineStr">
        <is>
          <t>avverkningsanmälan</t>
        </is>
      </c>
      <c r="C2204" t="inlineStr">
        <is>
          <t>Avverkning för annat ändamål</t>
        </is>
      </c>
      <c r="D2204" s="1" t="n">
        <v>44529</v>
      </c>
      <c r="E2204" s="1" t="n">
        <v>46218</v>
      </c>
      <c r="F2204" t="inlineStr">
        <is>
          <t>VÄSTERNORRLANDS LÄN</t>
        </is>
      </c>
      <c r="G2204" t="inlineStr">
        <is>
          <t>ÖRNSKÖLDSVIK</t>
        </is>
      </c>
      <c r="I2204" t="n">
        <v>0.9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s="2" t="inlineStr"/>
    </row>
    <row r="2205" ht="15" customHeight="1">
      <c r="A2205" t="inlineStr">
        <is>
          <t>A 29390-2026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46203</v>
      </c>
      <c r="E2205" s="1" t="n">
        <v>46218</v>
      </c>
      <c r="F2205" t="inlineStr">
        <is>
          <t>VÄSTERNORRLANDS LÄN</t>
        </is>
      </c>
      <c r="G2205" t="inlineStr">
        <is>
          <t>ÖRNSKÖLDSVIK</t>
        </is>
      </c>
      <c r="I2205" t="n">
        <v>1.1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s="2" t="inlineStr"/>
    </row>
    <row r="2206" ht="15" customHeight="1">
      <c r="A2206" t="inlineStr">
        <is>
          <t>A 29168-2026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46202</v>
      </c>
      <c r="E2206" s="1" t="n">
        <v>46218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5.5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s="2" t="inlineStr"/>
    </row>
    <row r="2207" ht="15" customHeight="1">
      <c r="A2207" t="inlineStr">
        <is>
          <t>A 8266-2025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45708</v>
      </c>
      <c r="E2207" s="1" t="n">
        <v>46218</v>
      </c>
      <c r="F2207" t="inlineStr">
        <is>
          <t>VÄSTERNORRLANDS LÄN</t>
        </is>
      </c>
      <c r="G2207" t="inlineStr">
        <is>
          <t>ÖRNSKÖLDSVIK</t>
        </is>
      </c>
      <c r="I2207" t="n">
        <v>2.9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s="2" t="inlineStr"/>
    </row>
    <row r="2208" ht="15" customHeight="1">
      <c r="A2208" t="inlineStr">
        <is>
          <t>A 20286-2024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45435</v>
      </c>
      <c r="E2208" s="1" t="n">
        <v>46218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1.1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s="2" t="inlineStr"/>
    </row>
    <row r="2209" ht="15" customHeight="1">
      <c r="A2209" t="inlineStr">
        <is>
          <t>A 33583-2024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45520</v>
      </c>
      <c r="E2209" s="1" t="n">
        <v>46218</v>
      </c>
      <c r="F2209" t="inlineStr">
        <is>
          <t>VÄSTERNORRLANDS LÄN</t>
        </is>
      </c>
      <c r="G2209" t="inlineStr">
        <is>
          <t>ÖRNSKÖLDSVIK</t>
        </is>
      </c>
      <c r="I2209" t="n">
        <v>3.6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s="2" t="inlineStr"/>
    </row>
    <row r="2210" ht="15" customHeight="1">
      <c r="A2210" t="inlineStr">
        <is>
          <t>A 5769-2026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46051</v>
      </c>
      <c r="E2210" s="1" t="n">
        <v>46218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2.7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s="2" t="inlineStr"/>
    </row>
    <row r="2211" ht="15" customHeight="1">
      <c r="A2211" t="inlineStr">
        <is>
          <t>A 29302-2026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46202</v>
      </c>
      <c r="E2211" s="1" t="n">
        <v>46218</v>
      </c>
      <c r="F2211" t="inlineStr">
        <is>
          <t>VÄSTERNORRLANDS LÄN</t>
        </is>
      </c>
      <c r="G2211" t="inlineStr">
        <is>
          <t>ÖRNSKÖLDSVIK</t>
        </is>
      </c>
      <c r="I2211" t="n">
        <v>0.4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s="2" t="inlineStr"/>
    </row>
    <row r="2212" ht="15" customHeight="1">
      <c r="A2212" t="inlineStr">
        <is>
          <t>A 48704-2023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45208</v>
      </c>
      <c r="E2212" s="1" t="n">
        <v>46218</v>
      </c>
      <c r="F2212" t="inlineStr">
        <is>
          <t>VÄSTERNORRLANDS LÄN</t>
        </is>
      </c>
      <c r="G2212" t="inlineStr">
        <is>
          <t>ÖRNSKÖLDSVIK</t>
        </is>
      </c>
      <c r="I2212" t="n">
        <v>1.9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s="2" t="inlineStr"/>
    </row>
    <row r="2213" ht="15" customHeight="1">
      <c r="A2213" t="inlineStr">
        <is>
          <t>A 5432-2026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46050</v>
      </c>
      <c r="E2213" s="1" t="n">
        <v>46218</v>
      </c>
      <c r="F2213" t="inlineStr">
        <is>
          <t>VÄSTERNORRLANDS LÄN</t>
        </is>
      </c>
      <c r="G2213" t="inlineStr">
        <is>
          <t>ÖRNSKÖLDSVIK</t>
        </is>
      </c>
      <c r="I2213" t="n">
        <v>3.1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s="2" t="inlineStr"/>
    </row>
    <row r="2214" ht="15" customHeight="1">
      <c r="A2214" t="inlineStr">
        <is>
          <t>A 29242-2026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46202</v>
      </c>
      <c r="E2214" s="1" t="n">
        <v>46218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4.1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s="2" t="inlineStr"/>
    </row>
    <row r="2215" ht="15" customHeight="1">
      <c r="A2215" t="inlineStr">
        <is>
          <t>A 5437-2026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46050</v>
      </c>
      <c r="E2215" s="1" t="n">
        <v>46218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SCA</t>
        </is>
      </c>
      <c r="I2215" t="n">
        <v>20.8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s="2" t="inlineStr"/>
    </row>
    <row r="2216" ht="15" customHeight="1">
      <c r="A2216" t="inlineStr">
        <is>
          <t>A 45215-2024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45575</v>
      </c>
      <c r="E2216" s="1" t="n">
        <v>46218</v>
      </c>
      <c r="F2216" t="inlineStr">
        <is>
          <t>VÄSTERNORRLANDS LÄN</t>
        </is>
      </c>
      <c r="G2216" t="inlineStr">
        <is>
          <t>ÖRNSKÖLDSVIK</t>
        </is>
      </c>
      <c r="I2216" t="n">
        <v>0.9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s="2" t="inlineStr"/>
    </row>
    <row r="2217" ht="15" customHeight="1">
      <c r="A2217" t="inlineStr">
        <is>
          <t>A 54613-2024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45617</v>
      </c>
      <c r="E2217" s="1" t="n">
        <v>46218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3.2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s="2" t="inlineStr"/>
    </row>
    <row r="2218" ht="15" customHeight="1">
      <c r="A2218" t="inlineStr">
        <is>
          <t>A 35692-2025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45860</v>
      </c>
      <c r="E2218" s="1" t="n">
        <v>46218</v>
      </c>
      <c r="F2218" t="inlineStr">
        <is>
          <t>VÄSTERNORRLANDS LÄN</t>
        </is>
      </c>
      <c r="G2218" t="inlineStr">
        <is>
          <t>ÖRNSKÖLDSVIK</t>
        </is>
      </c>
      <c r="I2218" t="n">
        <v>5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s="2" t="inlineStr"/>
    </row>
    <row r="2219" ht="15" customHeight="1">
      <c r="A2219" t="inlineStr">
        <is>
          <t>A 5628-2026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46051</v>
      </c>
      <c r="E2219" s="1" t="n">
        <v>46218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8.6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s="2" t="inlineStr"/>
    </row>
    <row r="2220" ht="15" customHeight="1">
      <c r="A2220" t="inlineStr">
        <is>
          <t>A 33757-2022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44789</v>
      </c>
      <c r="E2220" s="1" t="n">
        <v>46218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Kyrkan</t>
        </is>
      </c>
      <c r="I2220" t="n">
        <v>21.6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s="2" t="inlineStr"/>
    </row>
    <row r="2221" ht="15" customHeight="1">
      <c r="A2221" t="inlineStr">
        <is>
          <t>A 22998-2026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46160</v>
      </c>
      <c r="E2221" s="1" t="n">
        <v>46218</v>
      </c>
      <c r="F2221" t="inlineStr">
        <is>
          <t>VÄSTERNORRLANDS LÄN</t>
        </is>
      </c>
      <c r="G2221" t="inlineStr">
        <is>
          <t>ÖRNSKÖLDSVIK</t>
        </is>
      </c>
      <c r="I2221" t="n">
        <v>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s="2" t="inlineStr"/>
    </row>
    <row r="2222" ht="15" customHeight="1">
      <c r="A2222" t="inlineStr">
        <is>
          <t>A 23014-2026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46161</v>
      </c>
      <c r="E2222" s="1" t="n">
        <v>46218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2.4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s="2" t="inlineStr"/>
    </row>
    <row r="2223" ht="15" customHeight="1">
      <c r="A2223" t="inlineStr">
        <is>
          <t>A 29392-2026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46203</v>
      </c>
      <c r="E2223" s="1" t="n">
        <v>46218</v>
      </c>
      <c r="F2223" t="inlineStr">
        <is>
          <t>VÄSTERNORRLANDS LÄN</t>
        </is>
      </c>
      <c r="G2223" t="inlineStr">
        <is>
          <t>ÖRNSKÖLDSVIK</t>
        </is>
      </c>
      <c r="I2223" t="n">
        <v>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s="2" t="inlineStr"/>
    </row>
    <row r="2224" ht="15" customHeight="1">
      <c r="A2224" t="inlineStr">
        <is>
          <t>A 660-2026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46025</v>
      </c>
      <c r="E2224" s="1" t="n">
        <v>46218</v>
      </c>
      <c r="F2224" t="inlineStr">
        <is>
          <t>VÄSTERNORRLANDS LÄN</t>
        </is>
      </c>
      <c r="G2224" t="inlineStr">
        <is>
          <t>ÖRNSKÖLDSVIK</t>
        </is>
      </c>
      <c r="I2224" t="n">
        <v>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s="2" t="inlineStr"/>
    </row>
    <row r="2225" ht="15" customHeight="1">
      <c r="A2225" t="inlineStr">
        <is>
          <t>A 29166-2026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46202</v>
      </c>
      <c r="E2225" s="1" t="n">
        <v>46218</v>
      </c>
      <c r="F2225" t="inlineStr">
        <is>
          <t>VÄSTERNORRLANDS LÄN</t>
        </is>
      </c>
      <c r="G2225" t="inlineStr">
        <is>
          <t>ÖRNSKÖLDSVIK</t>
        </is>
      </c>
      <c r="I2225" t="n">
        <v>4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s="2" t="inlineStr"/>
    </row>
    <row r="2226" ht="15" customHeight="1">
      <c r="A2226" t="inlineStr">
        <is>
          <t>A 1856-2026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46035</v>
      </c>
      <c r="E2226" s="1" t="n">
        <v>46218</v>
      </c>
      <c r="F2226" t="inlineStr">
        <is>
          <t>VÄSTERNORRLANDS LÄN</t>
        </is>
      </c>
      <c r="G2226" t="inlineStr">
        <is>
          <t>ÖRNSKÖLDSVIK</t>
        </is>
      </c>
      <c r="I2226" t="n">
        <v>1.2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s="2" t="inlineStr"/>
    </row>
    <row r="2227" ht="15" customHeight="1">
      <c r="A2227" t="inlineStr">
        <is>
          <t>A 58710-2024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45635</v>
      </c>
      <c r="E2227" s="1" t="n">
        <v>46218</v>
      </c>
      <c r="F2227" t="inlineStr">
        <is>
          <t>VÄSTERNORRLANDS LÄN</t>
        </is>
      </c>
      <c r="G2227" t="inlineStr">
        <is>
          <t>ÖRNSKÖLDSVIK</t>
        </is>
      </c>
      <c r="I2227" t="n">
        <v>2.3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s="2" t="inlineStr"/>
    </row>
    <row r="2228" ht="15" customHeight="1">
      <c r="A2228" t="inlineStr">
        <is>
          <t>A 37087-2023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45154</v>
      </c>
      <c r="E2228" s="1" t="n">
        <v>46218</v>
      </c>
      <c r="F2228" t="inlineStr">
        <is>
          <t>VÄSTERNORRLANDS LÄN</t>
        </is>
      </c>
      <c r="G2228" t="inlineStr">
        <is>
          <t>ÖRNSKÖLDSVIK</t>
        </is>
      </c>
      <c r="I2228" t="n">
        <v>4.7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s="2" t="inlineStr"/>
    </row>
    <row r="2229" ht="15" customHeight="1">
      <c r="A2229" t="inlineStr">
        <is>
          <t>A 29348-2026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46203</v>
      </c>
      <c r="E2229" s="1" t="n">
        <v>46218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3.1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s="2" t="inlineStr"/>
    </row>
    <row r="2230" ht="15" customHeight="1">
      <c r="A2230" t="inlineStr">
        <is>
          <t>A 52416-2023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45225</v>
      </c>
      <c r="E2230" s="1" t="n">
        <v>46218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0.8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s="2" t="inlineStr"/>
    </row>
    <row r="2231" ht="15" customHeight="1">
      <c r="A2231" t="inlineStr">
        <is>
          <t>A 57888-2023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45247</v>
      </c>
      <c r="E2231" s="1" t="n">
        <v>46218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2.9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s="2" t="inlineStr"/>
    </row>
    <row r="2232" ht="15" customHeight="1">
      <c r="A2232" t="inlineStr">
        <is>
          <t>A 29322-2026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46202</v>
      </c>
      <c r="E2232" s="1" t="n">
        <v>46218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4.3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s="2" t="inlineStr"/>
    </row>
    <row r="2233" ht="15" customHeight="1">
      <c r="A2233" t="inlineStr">
        <is>
          <t>A 3856-2025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45682</v>
      </c>
      <c r="E2233" s="1" t="n">
        <v>46218</v>
      </c>
      <c r="F2233" t="inlineStr">
        <is>
          <t>VÄSTERNORRLANDS LÄN</t>
        </is>
      </c>
      <c r="G2233" t="inlineStr">
        <is>
          <t>ÖRNSKÖLDSVIK</t>
        </is>
      </c>
      <c r="I2233" t="n">
        <v>3.2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s="2" t="inlineStr"/>
    </row>
    <row r="2234" ht="15" customHeight="1">
      <c r="A2234" t="inlineStr">
        <is>
          <t>A 29199-2026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46202</v>
      </c>
      <c r="E2234" s="1" t="n">
        <v>46218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5.5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s="2" t="inlineStr"/>
    </row>
    <row r="2235" ht="15" customHeight="1">
      <c r="A2235" t="inlineStr">
        <is>
          <t>A 2849-2026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46038</v>
      </c>
      <c r="E2235" s="1" t="n">
        <v>46218</v>
      </c>
      <c r="F2235" t="inlineStr">
        <is>
          <t>VÄSTERNORRLANDS LÄN</t>
        </is>
      </c>
      <c r="G2235" t="inlineStr">
        <is>
          <t>ÖRNSKÖLDSVIK</t>
        </is>
      </c>
      <c r="I2235" t="n">
        <v>5.2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s="2" t="inlineStr"/>
    </row>
    <row r="2236" ht="15" customHeight="1">
      <c r="A2236" t="inlineStr">
        <is>
          <t>A 34014-2023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45124</v>
      </c>
      <c r="E2236" s="1" t="n">
        <v>46218</v>
      </c>
      <c r="F2236" t="inlineStr">
        <is>
          <t>VÄSTERNORRLANDS LÄN</t>
        </is>
      </c>
      <c r="G2236" t="inlineStr">
        <is>
          <t>ÖRNSKÖLDSVIK</t>
        </is>
      </c>
      <c r="I2236" t="n">
        <v>0.9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s="2" t="inlineStr"/>
    </row>
    <row r="2237" ht="15" customHeight="1">
      <c r="A2237" t="inlineStr">
        <is>
          <t>A 34406-2024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45525</v>
      </c>
      <c r="E2237" s="1" t="n">
        <v>46218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3.7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s="2" t="inlineStr"/>
    </row>
    <row r="2238" ht="15" customHeight="1">
      <c r="A2238" t="inlineStr">
        <is>
          <t>A 29159-2026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46202</v>
      </c>
      <c r="E2238" s="1" t="n">
        <v>46218</v>
      </c>
      <c r="F2238" t="inlineStr">
        <is>
          <t>VÄSTERNORRLANDS LÄN</t>
        </is>
      </c>
      <c r="G2238" t="inlineStr">
        <is>
          <t>ÖRNSKÖLDSVIK</t>
        </is>
      </c>
      <c r="I2238" t="n">
        <v>3.4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s="2" t="inlineStr"/>
    </row>
    <row r="2239" ht="15" customHeight="1">
      <c r="A2239" t="inlineStr">
        <is>
          <t>A 5918-2026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46052</v>
      </c>
      <c r="E2239" s="1" t="n">
        <v>46218</v>
      </c>
      <c r="F2239" t="inlineStr">
        <is>
          <t>VÄSTERNORRLANDS LÄN</t>
        </is>
      </c>
      <c r="G2239" t="inlineStr">
        <is>
          <t>ÖRNSKÖLDSVIK</t>
        </is>
      </c>
      <c r="I2239" t="n">
        <v>9.1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s="2" t="inlineStr"/>
    </row>
    <row r="2240" ht="15" customHeight="1">
      <c r="A2240" t="inlineStr">
        <is>
          <t>A 29501-2026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46203</v>
      </c>
      <c r="E2240" s="1" t="n">
        <v>46218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SCA</t>
        </is>
      </c>
      <c r="I2240" t="n">
        <v>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s="2" t="inlineStr"/>
    </row>
    <row r="2241" ht="15" customHeight="1">
      <c r="A2241" t="inlineStr">
        <is>
          <t>A 6514-2026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46052</v>
      </c>
      <c r="E2241" s="1" t="n">
        <v>46218</v>
      </c>
      <c r="F2241" t="inlineStr">
        <is>
          <t>VÄSTERNORRLANDS LÄN</t>
        </is>
      </c>
      <c r="G2241" t="inlineStr">
        <is>
          <t>ÖRNSKÖLDSVIK</t>
        </is>
      </c>
      <c r="I2241" t="n">
        <v>2.3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s="2" t="inlineStr"/>
    </row>
    <row r="2242" ht="15" customHeight="1">
      <c r="A2242" t="inlineStr">
        <is>
          <t>A 6402-2026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46055</v>
      </c>
      <c r="E2242" s="1" t="n">
        <v>46218</v>
      </c>
      <c r="F2242" t="inlineStr">
        <is>
          <t>VÄSTERNORRLANDS LÄN</t>
        </is>
      </c>
      <c r="G2242" t="inlineStr">
        <is>
          <t>ÖRNSKÖLDSVIK</t>
        </is>
      </c>
      <c r="I2242" t="n">
        <v>13.9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s="2" t="inlineStr"/>
    </row>
    <row r="2243" ht="15" customHeight="1">
      <c r="A2243" t="inlineStr">
        <is>
          <t>A 23472-2026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46163</v>
      </c>
      <c r="E2243" s="1" t="n">
        <v>46218</v>
      </c>
      <c r="F2243" t="inlineStr">
        <is>
          <t>VÄSTERNORRLANDS LÄN</t>
        </is>
      </c>
      <c r="G2243" t="inlineStr">
        <is>
          <t>ÖRNSKÖLDSVIK</t>
        </is>
      </c>
      <c r="I2243" t="n">
        <v>4.8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s="2" t="inlineStr"/>
    </row>
    <row r="2244" ht="15" customHeight="1">
      <c r="A2244" t="inlineStr">
        <is>
          <t>A 23213-2026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46162</v>
      </c>
      <c r="E2244" s="1" t="n">
        <v>46218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3.4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s="2" t="inlineStr"/>
    </row>
    <row r="2245" ht="15" customHeight="1">
      <c r="A2245" t="inlineStr">
        <is>
          <t>A 6173-2026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46055</v>
      </c>
      <c r="E2245" s="1" t="n">
        <v>46218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SCA</t>
        </is>
      </c>
      <c r="I2245" t="n">
        <v>10.9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s="2" t="inlineStr"/>
    </row>
    <row r="2246" ht="15" customHeight="1">
      <c r="A2246" t="inlineStr">
        <is>
          <t>A 6051-2026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46052</v>
      </c>
      <c r="E2246" s="1" t="n">
        <v>46218</v>
      </c>
      <c r="F2246" t="inlineStr">
        <is>
          <t>VÄSTERNORRLANDS LÄN</t>
        </is>
      </c>
      <c r="G2246" t="inlineStr">
        <is>
          <t>ÖRNSKÖLDSVIK</t>
        </is>
      </c>
      <c r="I2246" t="n">
        <v>12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s="2" t="inlineStr"/>
    </row>
    <row r="2247" ht="15" customHeight="1">
      <c r="A2247" t="inlineStr">
        <is>
          <t>A 29818-2026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46205</v>
      </c>
      <c r="E2247" s="1" t="n">
        <v>46218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10.1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s="2" t="inlineStr"/>
    </row>
    <row r="2248" ht="15" customHeight="1">
      <c r="A2248" t="inlineStr">
        <is>
          <t>A 29942-2026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46205</v>
      </c>
      <c r="E2248" s="1" t="n">
        <v>46218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6.3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s="2" t="inlineStr"/>
    </row>
    <row r="2249" ht="15" customHeight="1">
      <c r="A2249" t="inlineStr">
        <is>
          <t>A 6670-2026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46056</v>
      </c>
      <c r="E2249" s="1" t="n">
        <v>46218</v>
      </c>
      <c r="F2249" t="inlineStr">
        <is>
          <t>VÄSTERNORRLANDS LÄN</t>
        </is>
      </c>
      <c r="G2249" t="inlineStr">
        <is>
          <t>ÖRNSKÖLDSVIK</t>
        </is>
      </c>
      <c r="I2249" t="n">
        <v>6.2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s="2" t="inlineStr"/>
    </row>
    <row r="2250" ht="15" customHeight="1">
      <c r="A2250" t="inlineStr">
        <is>
          <t>A 29684-2026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46204</v>
      </c>
      <c r="E2250" s="1" t="n">
        <v>46218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1.1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s="2" t="inlineStr"/>
    </row>
    <row r="2251" ht="15" customHeight="1">
      <c r="A2251" t="inlineStr">
        <is>
          <t>A 29787-2026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46205</v>
      </c>
      <c r="E2251" s="1" t="n">
        <v>46218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2.3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s="2" t="inlineStr"/>
    </row>
    <row r="2252" ht="15" customHeight="1">
      <c r="A2252" t="inlineStr">
        <is>
          <t>A 29788-2026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46205</v>
      </c>
      <c r="E2252" s="1" t="n">
        <v>46218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1.9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s="2" t="inlineStr"/>
    </row>
    <row r="2253" ht="15" customHeight="1">
      <c r="A2253" t="inlineStr">
        <is>
          <t>A 29973-2026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46205</v>
      </c>
      <c r="E2253" s="1" t="n">
        <v>46218</v>
      </c>
      <c r="F2253" t="inlineStr">
        <is>
          <t>VÄSTERNORRLANDS LÄN</t>
        </is>
      </c>
      <c r="G2253" t="inlineStr">
        <is>
          <t>ÖRNSKÖLDSVIK</t>
        </is>
      </c>
      <c r="I2253" t="n">
        <v>1.6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s="2" t="inlineStr"/>
    </row>
    <row r="2254" ht="15" customHeight="1">
      <c r="A2254" t="inlineStr">
        <is>
          <t>A 6869-2026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46057</v>
      </c>
      <c r="E2254" s="1" t="n">
        <v>46218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1.1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s="2" t="inlineStr"/>
    </row>
    <row r="2255" ht="15" customHeight="1">
      <c r="A2255" t="inlineStr">
        <is>
          <t>A 29846-2026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46205</v>
      </c>
      <c r="E2255" s="1" t="n">
        <v>46218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13.6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s="2" t="inlineStr"/>
    </row>
    <row r="2256" ht="15" customHeight="1">
      <c r="A2256" t="inlineStr">
        <is>
          <t>A 29685-2026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46204</v>
      </c>
      <c r="E2256" s="1" t="n">
        <v>46218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0.8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s="2" t="inlineStr"/>
    </row>
    <row r="2257" ht="15" customHeight="1">
      <c r="A2257" t="inlineStr">
        <is>
          <t>A 7290-2026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46058</v>
      </c>
      <c r="E2257" s="1" t="n">
        <v>46218</v>
      </c>
      <c r="F2257" t="inlineStr">
        <is>
          <t>VÄSTERNORRLANDS LÄN</t>
        </is>
      </c>
      <c r="G2257" t="inlineStr">
        <is>
          <t>ÖRNSKÖLDSVIK</t>
        </is>
      </c>
      <c r="I2257" t="n">
        <v>4.2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s="2" t="inlineStr"/>
    </row>
    <row r="2258" ht="15" customHeight="1">
      <c r="A2258" t="inlineStr">
        <is>
          <t>A 23489-2026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46163</v>
      </c>
      <c r="E2258" s="1" t="n">
        <v>46218</v>
      </c>
      <c r="F2258" t="inlineStr">
        <is>
          <t>VÄSTERNORRLANDS LÄN</t>
        </is>
      </c>
      <c r="G2258" t="inlineStr">
        <is>
          <t>ÖRNSKÖLDSVIK</t>
        </is>
      </c>
      <c r="I2258" t="n">
        <v>2.7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s="2" t="inlineStr"/>
    </row>
    <row r="2259" ht="15" customHeight="1">
      <c r="A2259" t="inlineStr">
        <is>
          <t>A 7291-2026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46058</v>
      </c>
      <c r="E2259" s="1" t="n">
        <v>46218</v>
      </c>
      <c r="F2259" t="inlineStr">
        <is>
          <t>VÄSTERNORRLANDS LÄN</t>
        </is>
      </c>
      <c r="G2259" t="inlineStr">
        <is>
          <t>ÖRNSKÖLDSVIK</t>
        </is>
      </c>
      <c r="I2259" t="n">
        <v>2.3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s="2" t="inlineStr"/>
    </row>
    <row r="2260" ht="15" customHeight="1">
      <c r="A2260" t="inlineStr">
        <is>
          <t>A 23612-2026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46163</v>
      </c>
      <c r="E2260" s="1" t="n">
        <v>46218</v>
      </c>
      <c r="F2260" t="inlineStr">
        <is>
          <t>VÄSTERNORRLANDS LÄN</t>
        </is>
      </c>
      <c r="G2260" t="inlineStr">
        <is>
          <t>ÖRNSKÖLDSVIK</t>
        </is>
      </c>
      <c r="I2260" t="n">
        <v>1.8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s="2" t="inlineStr"/>
    </row>
    <row r="2261" ht="15" customHeight="1">
      <c r="A2261" t="inlineStr">
        <is>
          <t>A 7106-2026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46058</v>
      </c>
      <c r="E2261" s="1" t="n">
        <v>46218</v>
      </c>
      <c r="F2261" t="inlineStr">
        <is>
          <t>VÄSTERNORRLANDS LÄN</t>
        </is>
      </c>
      <c r="G2261" t="inlineStr">
        <is>
          <t>ÖRNSKÖLDSVIK</t>
        </is>
      </c>
      <c r="I2261" t="n">
        <v>3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s="2" t="inlineStr"/>
    </row>
    <row r="2262" ht="15" customHeight="1">
      <c r="A2262" t="inlineStr">
        <is>
          <t>A 29843-2026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46205</v>
      </c>
      <c r="E2262" s="1" t="n">
        <v>46218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6.2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s="2" t="inlineStr"/>
    </row>
    <row r="2263" ht="15" customHeight="1">
      <c r="A2263" t="inlineStr">
        <is>
          <t>A 29850-2026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46205</v>
      </c>
      <c r="E2263" s="1" t="n">
        <v>46218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4.8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s="2" t="inlineStr"/>
    </row>
    <row r="2264" ht="15" customHeight="1">
      <c r="A2264" t="inlineStr">
        <is>
          <t>A 23730-2026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46163</v>
      </c>
      <c r="E2264" s="1" t="n">
        <v>46218</v>
      </c>
      <c r="F2264" t="inlineStr">
        <is>
          <t>VÄSTERNORRLANDS LÄN</t>
        </is>
      </c>
      <c r="G2264" t="inlineStr">
        <is>
          <t>ÖRNSKÖLDSVIK</t>
        </is>
      </c>
      <c r="I2264" t="n">
        <v>1.4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s="2" t="inlineStr"/>
    </row>
    <row r="2265" ht="15" customHeight="1">
      <c r="A2265" t="inlineStr">
        <is>
          <t>A 29889-2026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46205</v>
      </c>
      <c r="E2265" s="1" t="n">
        <v>46218</v>
      </c>
      <c r="F2265" t="inlineStr">
        <is>
          <t>VÄSTERNORRLANDS LÄN</t>
        </is>
      </c>
      <c r="G2265" t="inlineStr">
        <is>
          <t>ÖRNSKÖLDSVIK</t>
        </is>
      </c>
      <c r="I2265" t="n">
        <v>4.3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s="2" t="inlineStr"/>
    </row>
    <row r="2266" ht="15" customHeight="1">
      <c r="A2266" t="inlineStr">
        <is>
          <t>A 50670-2025</t>
        </is>
      </c>
      <c r="B2266" t="inlineStr">
        <is>
          <t>avverkningsanmälan</t>
        </is>
      </c>
      <c r="C2266" t="inlineStr">
        <is>
          <t>Avverkning för annat ändamål</t>
        </is>
      </c>
      <c r="D2266" s="1" t="n">
        <v>45945</v>
      </c>
      <c r="E2266" s="1" t="n">
        <v>46218</v>
      </c>
      <c r="F2266" t="inlineStr">
        <is>
          <t>VÄSTERNORRLANDS LÄN</t>
        </is>
      </c>
      <c r="G2266" t="inlineStr">
        <is>
          <t>ÖRNSKÖLDSVIK</t>
        </is>
      </c>
      <c r="I2266" t="n">
        <v>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s="2" t="inlineStr"/>
    </row>
    <row r="2267" ht="15" customHeight="1">
      <c r="A2267" t="inlineStr">
        <is>
          <t>A 7289-2026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46058</v>
      </c>
      <c r="E2267" s="1" t="n">
        <v>46218</v>
      </c>
      <c r="F2267" t="inlineStr">
        <is>
          <t>VÄSTERNORRLANDS LÄN</t>
        </is>
      </c>
      <c r="G2267" t="inlineStr">
        <is>
          <t>ÖRNSKÖLDSVIK</t>
        </is>
      </c>
      <c r="I2267" t="n">
        <v>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s="2" t="inlineStr"/>
    </row>
    <row r="2268" ht="15" customHeight="1">
      <c r="A2268" t="inlineStr">
        <is>
          <t>A 29862-2026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46205</v>
      </c>
      <c r="E2268" s="1" t="n">
        <v>46218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1.2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s="2" t="inlineStr"/>
    </row>
    <row r="2269" ht="15" customHeight="1">
      <c r="A2269" t="inlineStr">
        <is>
          <t>A 29872-2026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46205</v>
      </c>
      <c r="E2269" s="1" t="n">
        <v>46218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3.5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s="2" t="inlineStr"/>
    </row>
    <row r="2270" ht="15" customHeight="1">
      <c r="A2270" t="inlineStr">
        <is>
          <t>A 29883-2026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46205</v>
      </c>
      <c r="E2270" s="1" t="n">
        <v>46218</v>
      </c>
      <c r="F2270" t="inlineStr">
        <is>
          <t>VÄSTERNORRLANDS LÄN</t>
        </is>
      </c>
      <c r="G2270" t="inlineStr">
        <is>
          <t>ÖRNSKÖLDSVIK</t>
        </is>
      </c>
      <c r="I2270" t="n">
        <v>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s="2" t="inlineStr"/>
    </row>
    <row r="2271" ht="15" customHeight="1">
      <c r="A2271" t="inlineStr">
        <is>
          <t>A 29885-2026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46205</v>
      </c>
      <c r="E2271" s="1" t="n">
        <v>46218</v>
      </c>
      <c r="F2271" t="inlineStr">
        <is>
          <t>VÄSTERNORRLANDS LÄN</t>
        </is>
      </c>
      <c r="G2271" t="inlineStr">
        <is>
          <t>ÖRNSKÖLDSVIK</t>
        </is>
      </c>
      <c r="I2271" t="n">
        <v>1.2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s="2" t="inlineStr"/>
    </row>
    <row r="2272" ht="15" customHeight="1">
      <c r="A2272" t="inlineStr">
        <is>
          <t>A 29740-2026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46204</v>
      </c>
      <c r="E2272" s="1" t="n">
        <v>46218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0.9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s="2" t="inlineStr"/>
    </row>
    <row r="2273" ht="15" customHeight="1">
      <c r="A2273" t="inlineStr">
        <is>
          <t>A 29901-2026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46205</v>
      </c>
      <c r="E2273" s="1" t="n">
        <v>46218</v>
      </c>
      <c r="F2273" t="inlineStr">
        <is>
          <t>VÄSTERNORRLANDS LÄN</t>
        </is>
      </c>
      <c r="G2273" t="inlineStr">
        <is>
          <t>ÖRNSKÖLDSVIK</t>
        </is>
      </c>
      <c r="I2273" t="n">
        <v>0.6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s="2" t="inlineStr"/>
    </row>
    <row r="2274" ht="15" customHeight="1">
      <c r="A2274" t="inlineStr">
        <is>
          <t>A 29750-2026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46204</v>
      </c>
      <c r="E2274" s="1" t="n">
        <v>46218</v>
      </c>
      <c r="F2274" t="inlineStr">
        <is>
          <t>VÄSTERNORRLANDS LÄN</t>
        </is>
      </c>
      <c r="G2274" t="inlineStr">
        <is>
          <t>ÖRNSKÖLDSVIK</t>
        </is>
      </c>
      <c r="I2274" t="n">
        <v>11.1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s="2" t="inlineStr"/>
    </row>
    <row r="2275" ht="15" customHeight="1">
      <c r="A2275" t="inlineStr">
        <is>
          <t>A 29752-2026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46204</v>
      </c>
      <c r="E2275" s="1" t="n">
        <v>46218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0.3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s="2" t="inlineStr"/>
    </row>
    <row r="2276" ht="15" customHeight="1">
      <c r="A2276" t="inlineStr">
        <is>
          <t>A 63785-2025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46019</v>
      </c>
      <c r="E2276" s="1" t="n">
        <v>46218</v>
      </c>
      <c r="F2276" t="inlineStr">
        <is>
          <t>VÄSTERNORRLANDS LÄN</t>
        </is>
      </c>
      <c r="G2276" t="inlineStr">
        <is>
          <t>ÖRNSKÖLDSVIK</t>
        </is>
      </c>
      <c r="I2276" t="n">
        <v>0.7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s="2" t="inlineStr"/>
    </row>
    <row r="2277" ht="15" customHeight="1">
      <c r="A2277" t="inlineStr">
        <is>
          <t>A 23485-2026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46163</v>
      </c>
      <c r="E2277" s="1" t="n">
        <v>46218</v>
      </c>
      <c r="F2277" t="inlineStr">
        <is>
          <t>VÄSTERNORRLANDS LÄN</t>
        </is>
      </c>
      <c r="G2277" t="inlineStr">
        <is>
          <t>ÖRNSKÖLDSVIK</t>
        </is>
      </c>
      <c r="I2277" t="n">
        <v>2.1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s="2" t="inlineStr"/>
    </row>
    <row r="2278" ht="15" customHeight="1">
      <c r="A2278" t="inlineStr">
        <is>
          <t>A 29735-2026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46204</v>
      </c>
      <c r="E2278" s="1" t="n">
        <v>46218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5.3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s="2" t="inlineStr"/>
    </row>
    <row r="2279" ht="15" customHeight="1">
      <c r="A2279" t="inlineStr">
        <is>
          <t>A 29779-2026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46204</v>
      </c>
      <c r="E2279" s="1" t="n">
        <v>46218</v>
      </c>
      <c r="F2279" t="inlineStr">
        <is>
          <t>VÄSTERNORRLANDS LÄN</t>
        </is>
      </c>
      <c r="G2279" t="inlineStr">
        <is>
          <t>ÖRNSKÖLDSVIK</t>
        </is>
      </c>
      <c r="I2279" t="n">
        <v>3.5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s="2" t="inlineStr"/>
    </row>
    <row r="2280" ht="15" customHeight="1">
      <c r="A2280" t="inlineStr">
        <is>
          <t>A 29786-2026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46205</v>
      </c>
      <c r="E2280" s="1" t="n">
        <v>46218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7.4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s="2" t="inlineStr"/>
    </row>
    <row r="2281" ht="15" customHeight="1">
      <c r="A2281" t="inlineStr">
        <is>
          <t>A 29940-2026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46205</v>
      </c>
      <c r="E2281" s="1" t="n">
        <v>46218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6.1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s="2" t="inlineStr"/>
    </row>
    <row r="2282" ht="15" customHeight="1">
      <c r="A2282" t="inlineStr">
        <is>
          <t>A 29995-2026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46202</v>
      </c>
      <c r="E2282" s="1" t="n">
        <v>46218</v>
      </c>
      <c r="F2282" t="inlineStr">
        <is>
          <t>VÄSTERNORRLANDS LÄN</t>
        </is>
      </c>
      <c r="G2282" t="inlineStr">
        <is>
          <t>ÖRNSKÖLDSVIK</t>
        </is>
      </c>
      <c r="I2282" t="n">
        <v>6.8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s="2" t="inlineStr"/>
    </row>
    <row r="2283" ht="15" customHeight="1">
      <c r="A2283" t="inlineStr">
        <is>
          <t>A 7756-2026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46062</v>
      </c>
      <c r="E2283" s="1" t="n">
        <v>46218</v>
      </c>
      <c r="F2283" t="inlineStr">
        <is>
          <t>VÄSTERNORRLANDS LÄN</t>
        </is>
      </c>
      <c r="G2283" t="inlineStr">
        <is>
          <t>ÖRNSKÖLDSVIK</t>
        </is>
      </c>
      <c r="I2283" t="n">
        <v>1.2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s="2" t="inlineStr"/>
    </row>
    <row r="2284" ht="15" customHeight="1">
      <c r="A2284" t="inlineStr">
        <is>
          <t>A 7751-2026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46062</v>
      </c>
      <c r="E2284" s="1" t="n">
        <v>46218</v>
      </c>
      <c r="F2284" t="inlineStr">
        <is>
          <t>VÄSTERNORRLANDS LÄN</t>
        </is>
      </c>
      <c r="G2284" t="inlineStr">
        <is>
          <t>ÖRNSKÖLDSVIK</t>
        </is>
      </c>
      <c r="I2284" t="n">
        <v>1.8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s="2" t="inlineStr"/>
    </row>
    <row r="2285" ht="15" customHeight="1">
      <c r="A2285" t="inlineStr">
        <is>
          <t>A 29663-2026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46204</v>
      </c>
      <c r="E2285" s="1" t="n">
        <v>46218</v>
      </c>
      <c r="F2285" t="inlineStr">
        <is>
          <t>VÄSTERNORRLANDS LÄN</t>
        </is>
      </c>
      <c r="G2285" t="inlineStr">
        <is>
          <t>ÖRNSKÖLDSVIK</t>
        </is>
      </c>
      <c r="I2285" t="n">
        <v>1.8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s="2" t="inlineStr"/>
    </row>
    <row r="2286" ht="15" customHeight="1">
      <c r="A2286" t="inlineStr">
        <is>
          <t>A 29669-2026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46204</v>
      </c>
      <c r="E2286" s="1" t="n">
        <v>46218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0.8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s="2" t="inlineStr"/>
    </row>
    <row r="2287" ht="15" customHeight="1">
      <c r="A2287" t="inlineStr">
        <is>
          <t>A 29879-2026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46205</v>
      </c>
      <c r="E2287" s="1" t="n">
        <v>46218</v>
      </c>
      <c r="F2287" t="inlineStr">
        <is>
          <t>VÄSTERNORRLANDS LÄN</t>
        </is>
      </c>
      <c r="G2287" t="inlineStr">
        <is>
          <t>ÖRNSKÖLDSVIK</t>
        </is>
      </c>
      <c r="I2287" t="n">
        <v>11.4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s="2" t="inlineStr"/>
    </row>
    <row r="2288" ht="15" customHeight="1">
      <c r="A2288" t="inlineStr">
        <is>
          <t>A 29880-2026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46205</v>
      </c>
      <c r="E2288" s="1" t="n">
        <v>46218</v>
      </c>
      <c r="F2288" t="inlineStr">
        <is>
          <t>VÄSTERNORRLANDS LÄN</t>
        </is>
      </c>
      <c r="G2288" t="inlineStr">
        <is>
          <t>ÖRNSKÖLDSVIK</t>
        </is>
      </c>
      <c r="I2288" t="n">
        <v>3.4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s="2" t="inlineStr"/>
    </row>
    <row r="2289" ht="15" customHeight="1">
      <c r="A2289" t="inlineStr">
        <is>
          <t>A 29903-2026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46205</v>
      </c>
      <c r="E2289" s="1" t="n">
        <v>46218</v>
      </c>
      <c r="F2289" t="inlineStr">
        <is>
          <t>VÄSTERNORRLANDS LÄN</t>
        </is>
      </c>
      <c r="G2289" t="inlineStr">
        <is>
          <t>ÖRNSKÖLDSVIK</t>
        </is>
      </c>
      <c r="I2289" t="n">
        <v>0.6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s="2" t="inlineStr"/>
    </row>
    <row r="2290" ht="15" customHeight="1">
      <c r="A2290" t="inlineStr">
        <is>
          <t>A 29906-2026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46205</v>
      </c>
      <c r="E2290" s="1" t="n">
        <v>46218</v>
      </c>
      <c r="F2290" t="inlineStr">
        <is>
          <t>VÄSTERNORRLANDS LÄN</t>
        </is>
      </c>
      <c r="G2290" t="inlineStr">
        <is>
          <t>ÖRNSKÖLDSVIK</t>
        </is>
      </c>
      <c r="I2290" t="n">
        <v>1.7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s="2" t="inlineStr"/>
    </row>
    <row r="2291" ht="15" customHeight="1">
      <c r="A2291" t="inlineStr">
        <is>
          <t>A 29912-2026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46205</v>
      </c>
      <c r="E2291" s="1" t="n">
        <v>46218</v>
      </c>
      <c r="F2291" t="inlineStr">
        <is>
          <t>VÄSTERNORRLANDS LÄN</t>
        </is>
      </c>
      <c r="G2291" t="inlineStr">
        <is>
          <t>ÖRNSKÖLDSVIK</t>
        </is>
      </c>
      <c r="I2291" t="n">
        <v>1.5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s="2" t="inlineStr"/>
    </row>
    <row r="2292" ht="15" customHeight="1">
      <c r="A2292" t="inlineStr">
        <is>
          <t>A 8022-2026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46063</v>
      </c>
      <c r="E2292" s="1" t="n">
        <v>46218</v>
      </c>
      <c r="F2292" t="inlineStr">
        <is>
          <t>VÄSTERNORRLANDS LÄN</t>
        </is>
      </c>
      <c r="G2292" t="inlineStr">
        <is>
          <t>ÖRNSKÖLDSVIK</t>
        </is>
      </c>
      <c r="I2292" t="n">
        <v>2.1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s="2" t="inlineStr"/>
    </row>
    <row r="2293" ht="15" customHeight="1">
      <c r="A2293" t="inlineStr">
        <is>
          <t>A 29692-2026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46204</v>
      </c>
      <c r="E2293" s="1" t="n">
        <v>46218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2.7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s="2" t="inlineStr"/>
    </row>
    <row r="2294" ht="15" customHeight="1">
      <c r="A2294" t="inlineStr">
        <is>
          <t>A 8479-2026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46065</v>
      </c>
      <c r="E2294" s="1" t="n">
        <v>46218</v>
      </c>
      <c r="F2294" t="inlineStr">
        <is>
          <t>VÄSTERNORRLANDS LÄN</t>
        </is>
      </c>
      <c r="G2294" t="inlineStr">
        <is>
          <t>ÖRNSKÖLDSVIK</t>
        </is>
      </c>
      <c r="I2294" t="n">
        <v>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s="2" t="inlineStr"/>
    </row>
    <row r="2295" ht="15" customHeight="1">
      <c r="A2295" t="inlineStr">
        <is>
          <t>A 29909-2026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46205</v>
      </c>
      <c r="E2295" s="1" t="n">
        <v>46218</v>
      </c>
      <c r="F2295" t="inlineStr">
        <is>
          <t>VÄSTERNORRLANDS LÄN</t>
        </is>
      </c>
      <c r="G2295" t="inlineStr">
        <is>
          <t>ÖRNSKÖLDSVIK</t>
        </is>
      </c>
      <c r="I2295" t="n">
        <v>1.3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s="2" t="inlineStr"/>
    </row>
    <row r="2296" ht="15" customHeight="1">
      <c r="A2296" t="inlineStr">
        <is>
          <t>A 29915-2026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46205</v>
      </c>
      <c r="E2296" s="1" t="n">
        <v>46218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6.1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s="2" t="inlineStr"/>
    </row>
    <row r="2297" ht="15" customHeight="1">
      <c r="A2297" t="inlineStr">
        <is>
          <t>A 29780-2026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46204</v>
      </c>
      <c r="E2297" s="1" t="n">
        <v>46218</v>
      </c>
      <c r="F2297" t="inlineStr">
        <is>
          <t>VÄSTERNORRLANDS LÄN</t>
        </is>
      </c>
      <c r="G2297" t="inlineStr">
        <is>
          <t>ÖRNSKÖLDSVIK</t>
        </is>
      </c>
      <c r="I2297" t="n">
        <v>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s="2" t="inlineStr"/>
    </row>
    <row r="2298" ht="15" customHeight="1">
      <c r="A2298" t="inlineStr">
        <is>
          <t>A 29809-2026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46205</v>
      </c>
      <c r="E2298" s="1" t="n">
        <v>46218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2.6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s="2" t="inlineStr"/>
    </row>
    <row r="2299" ht="15" customHeight="1">
      <c r="A2299" t="inlineStr">
        <is>
          <t>A 29743-2026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46204</v>
      </c>
      <c r="E2299" s="1" t="n">
        <v>46218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2.3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s="2" t="inlineStr"/>
    </row>
    <row r="2300" ht="15" customHeight="1">
      <c r="A2300" t="inlineStr">
        <is>
          <t>A 29749-2026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46204</v>
      </c>
      <c r="E2300" s="1" t="n">
        <v>46218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s="2" t="inlineStr"/>
    </row>
    <row r="2301" ht="15" customHeight="1">
      <c r="A2301" t="inlineStr">
        <is>
          <t>A 30071-2026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46206</v>
      </c>
      <c r="E2301" s="1" t="n">
        <v>46218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7.9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s="2" t="inlineStr"/>
    </row>
    <row r="2302" ht="15" customHeight="1">
      <c r="A2302" t="inlineStr">
        <is>
          <t>A 8922-2026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46069</v>
      </c>
      <c r="E2302" s="1" t="n">
        <v>46218</v>
      </c>
      <c r="F2302" t="inlineStr">
        <is>
          <t>VÄSTERNORRLANDS LÄN</t>
        </is>
      </c>
      <c r="G2302" t="inlineStr">
        <is>
          <t>ÖRNSKÖLDSVIK</t>
        </is>
      </c>
      <c r="I2302" t="n">
        <v>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s="2" t="inlineStr"/>
    </row>
    <row r="2303" ht="15" customHeight="1">
      <c r="A2303" t="inlineStr">
        <is>
          <t>A 30206-2026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46206</v>
      </c>
      <c r="E2303" s="1" t="n">
        <v>46218</v>
      </c>
      <c r="F2303" t="inlineStr">
        <is>
          <t>VÄSTERNORRLANDS LÄN</t>
        </is>
      </c>
      <c r="G2303" t="inlineStr">
        <is>
          <t>ÖRNSKÖLDSVIK</t>
        </is>
      </c>
      <c r="I2303" t="n">
        <v>15.2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s="2" t="inlineStr"/>
    </row>
    <row r="2304" ht="15" customHeight="1">
      <c r="A2304" t="inlineStr">
        <is>
          <t>A 30313-2026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46206</v>
      </c>
      <c r="E2304" s="1" t="n">
        <v>46218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SCA</t>
        </is>
      </c>
      <c r="I2304" t="n">
        <v>22.6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s="2" t="inlineStr"/>
    </row>
    <row r="2305" ht="15" customHeight="1">
      <c r="A2305" t="inlineStr">
        <is>
          <t>A 30454-2026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46209</v>
      </c>
      <c r="E2305" s="1" t="n">
        <v>46218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3.3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s="2" t="inlineStr"/>
    </row>
    <row r="2306" ht="15" customHeight="1">
      <c r="A2306" t="inlineStr">
        <is>
          <t>A 30309-2026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46206</v>
      </c>
      <c r="E2306" s="1" t="n">
        <v>46218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SCA</t>
        </is>
      </c>
      <c r="I2306" t="n">
        <v>27.1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s="2" t="inlineStr"/>
    </row>
    <row r="2307" ht="15" customHeight="1">
      <c r="A2307" t="inlineStr">
        <is>
          <t>A 30014-2026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46206</v>
      </c>
      <c r="E2307" s="1" t="n">
        <v>46218</v>
      </c>
      <c r="F2307" t="inlineStr">
        <is>
          <t>VÄSTERNORRLANDS LÄN</t>
        </is>
      </c>
      <c r="G2307" t="inlineStr">
        <is>
          <t>ÖRNSKÖLDSVIK</t>
        </is>
      </c>
      <c r="I2307" t="n">
        <v>3.2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s="2" t="inlineStr"/>
    </row>
    <row r="2308" ht="15" customHeight="1">
      <c r="A2308" t="inlineStr">
        <is>
          <t>A 30013-2026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46206</v>
      </c>
      <c r="E2308" s="1" t="n">
        <v>46218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0.6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s="2" t="inlineStr"/>
    </row>
    <row r="2309" ht="15" customHeight="1">
      <c r="A2309" t="inlineStr">
        <is>
          <t>A 30029-2026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46206</v>
      </c>
      <c r="E2309" s="1" t="n">
        <v>46218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1.7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s="2" t="inlineStr"/>
    </row>
    <row r="2310" ht="15" customHeight="1">
      <c r="A2310" t="inlineStr">
        <is>
          <t>A 24019-2026</t>
        </is>
      </c>
      <c r="B2310" t="inlineStr">
        <is>
          <t>avverkningsanmälan</t>
        </is>
      </c>
      <c r="C2310" t="inlineStr">
        <is>
          <t>Avverkning för att bevara och utveckla /försöksver</t>
        </is>
      </c>
      <c r="D2310" s="1" t="n">
        <v>46167</v>
      </c>
      <c r="E2310" s="1" t="n">
        <v>46218</v>
      </c>
      <c r="F2310" t="inlineStr">
        <is>
          <t>VÄSTERNORRLANDS LÄN</t>
        </is>
      </c>
      <c r="G2310" t="inlineStr">
        <is>
          <t>ÖRNSKÖLDSVIK</t>
        </is>
      </c>
      <c r="I2310" t="n">
        <v>1.3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s="2" t="inlineStr"/>
    </row>
    <row r="2311" ht="15" customHeight="1">
      <c r="A2311" t="inlineStr">
        <is>
          <t>A 9477-2026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46071</v>
      </c>
      <c r="E2311" s="1" t="n">
        <v>46218</v>
      </c>
      <c r="F2311" t="inlineStr">
        <is>
          <t>VÄSTERNORRLANDS LÄN</t>
        </is>
      </c>
      <c r="G2311" t="inlineStr">
        <is>
          <t>ÖRNSKÖLDSVIK</t>
        </is>
      </c>
      <c r="I2311" t="n">
        <v>2.5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s="2" t="inlineStr"/>
    </row>
    <row r="2312" ht="15" customHeight="1">
      <c r="A2312" t="inlineStr">
        <is>
          <t>A 9475-2026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46071</v>
      </c>
      <c r="E2312" s="1" t="n">
        <v>46218</v>
      </c>
      <c r="F2312" t="inlineStr">
        <is>
          <t>VÄSTERNORRLANDS LÄN</t>
        </is>
      </c>
      <c r="G2312" t="inlineStr">
        <is>
          <t>ÖRNSKÖLDSVIK</t>
        </is>
      </c>
      <c r="I2312" t="n">
        <v>2.2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s="2" t="inlineStr"/>
    </row>
    <row r="2313" ht="15" customHeight="1">
      <c r="A2313" t="inlineStr">
        <is>
          <t>A 9476-2026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46071</v>
      </c>
      <c r="E2313" s="1" t="n">
        <v>46218</v>
      </c>
      <c r="F2313" t="inlineStr">
        <is>
          <t>VÄSTERNORRLANDS LÄN</t>
        </is>
      </c>
      <c r="G2313" t="inlineStr">
        <is>
          <t>ÖRNSKÖLDSVIK</t>
        </is>
      </c>
      <c r="I2313" t="n">
        <v>3.4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s="2" t="inlineStr"/>
    </row>
    <row r="2314" ht="15" customHeight="1">
      <c r="A2314" t="inlineStr">
        <is>
          <t>A 30306-2026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46206</v>
      </c>
      <c r="E2314" s="1" t="n">
        <v>46218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SCA</t>
        </is>
      </c>
      <c r="I2314" t="n">
        <v>0.5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s="2" t="inlineStr"/>
    </row>
    <row r="2315" ht="15" customHeight="1">
      <c r="A2315" t="inlineStr">
        <is>
          <t>A 23732-2026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46164</v>
      </c>
      <c r="E2315" s="1" t="n">
        <v>46218</v>
      </c>
      <c r="F2315" t="inlineStr">
        <is>
          <t>VÄSTERNORRLANDS LÄN</t>
        </is>
      </c>
      <c r="G2315" t="inlineStr">
        <is>
          <t>ÖRNSKÖLDSVIK</t>
        </is>
      </c>
      <c r="I2315" t="n">
        <v>10.8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s="2" t="inlineStr"/>
    </row>
    <row r="2316" ht="15" customHeight="1">
      <c r="A2316" t="inlineStr">
        <is>
          <t>A 23670-2026</t>
        </is>
      </c>
      <c r="B2316" t="inlineStr">
        <is>
          <t>avverkningsanmälan</t>
        </is>
      </c>
      <c r="C2316" t="inlineStr">
        <is>
          <t>Avverkning för annat ändamål</t>
        </is>
      </c>
      <c r="D2316" s="1" t="n">
        <v>46164</v>
      </c>
      <c r="E2316" s="1" t="n">
        <v>46218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SCA</t>
        </is>
      </c>
      <c r="I2316" t="n">
        <v>3.6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s="2" t="inlineStr"/>
    </row>
    <row r="2317" ht="15" customHeight="1">
      <c r="A2317" t="inlineStr">
        <is>
          <t>A 9754-2026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46072</v>
      </c>
      <c r="E2317" s="1" t="n">
        <v>46218</v>
      </c>
      <c r="F2317" t="inlineStr">
        <is>
          <t>VÄSTERNORRLANDS LÄN</t>
        </is>
      </c>
      <c r="G2317" t="inlineStr">
        <is>
          <t>ÖRNSKÖLDSVIK</t>
        </is>
      </c>
      <c r="I2317" t="n">
        <v>1.7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s="2" t="inlineStr"/>
    </row>
    <row r="2318" ht="15" customHeight="1">
      <c r="A2318" t="inlineStr">
        <is>
          <t>A 24007-2026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46167</v>
      </c>
      <c r="E2318" s="1" t="n">
        <v>46218</v>
      </c>
      <c r="F2318" t="inlineStr">
        <is>
          <t>VÄSTERNORRLANDS LÄN</t>
        </is>
      </c>
      <c r="G2318" t="inlineStr">
        <is>
          <t>ÖRNSKÖLDSVIK</t>
        </is>
      </c>
      <c r="I2318" t="n">
        <v>1.2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s="2" t="inlineStr"/>
    </row>
    <row r="2319" ht="15" customHeight="1">
      <c r="A2319" t="inlineStr">
        <is>
          <t>A 23810-2026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46164</v>
      </c>
      <c r="E2319" s="1" t="n">
        <v>46218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SCA</t>
        </is>
      </c>
      <c r="I2319" t="n">
        <v>1.6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s="2" t="inlineStr"/>
    </row>
    <row r="2320" ht="15" customHeight="1">
      <c r="A2320" t="inlineStr">
        <is>
          <t>A 30434-2026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46209</v>
      </c>
      <c r="E2320" s="1" t="n">
        <v>46218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Holmen skog AB</t>
        </is>
      </c>
      <c r="I2320" t="n">
        <v>4.3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s="2" t="inlineStr"/>
    </row>
    <row r="2321" ht="15" customHeight="1">
      <c r="A2321" t="inlineStr">
        <is>
          <t>A 23717-2026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46164</v>
      </c>
      <c r="E2321" s="1" t="n">
        <v>46218</v>
      </c>
      <c r="F2321" t="inlineStr">
        <is>
          <t>VÄSTERNORRLANDS LÄN</t>
        </is>
      </c>
      <c r="G2321" t="inlineStr">
        <is>
          <t>ÖRNSKÖLDSVIK</t>
        </is>
      </c>
      <c r="I2321" t="n">
        <v>13.3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s="2" t="inlineStr"/>
    </row>
    <row r="2322" ht="15" customHeight="1">
      <c r="A2322" t="inlineStr">
        <is>
          <t>A 30307-2026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46206</v>
      </c>
      <c r="E2322" s="1" t="n">
        <v>46218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SCA</t>
        </is>
      </c>
      <c r="I2322" t="n">
        <v>22.1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s="2" t="inlineStr"/>
    </row>
    <row r="2323" ht="15" customHeight="1">
      <c r="A2323" t="inlineStr">
        <is>
          <t>A 9831-2026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46072</v>
      </c>
      <c r="E2323" s="1" t="n">
        <v>46218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SCA</t>
        </is>
      </c>
      <c r="I2323" t="n">
        <v>22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s="2" t="inlineStr"/>
    </row>
    <row r="2324" ht="15" customHeight="1">
      <c r="A2324" t="inlineStr">
        <is>
          <t>A 23141-2026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46161</v>
      </c>
      <c r="E2324" s="1" t="n">
        <v>46218</v>
      </c>
      <c r="F2324" t="inlineStr">
        <is>
          <t>VÄSTERNORRLANDS LÄN</t>
        </is>
      </c>
      <c r="G2324" t="inlineStr">
        <is>
          <t>ÖRNSKÖLDSVIK</t>
        </is>
      </c>
      <c r="I2324" t="n">
        <v>2.4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s="2" t="inlineStr"/>
    </row>
    <row r="2325" ht="15" customHeight="1">
      <c r="A2325" t="inlineStr">
        <is>
          <t>A 30223-2026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46206</v>
      </c>
      <c r="E2325" s="1" t="n">
        <v>46218</v>
      </c>
      <c r="F2325" t="inlineStr">
        <is>
          <t>VÄSTERNORRLANDS LÄN</t>
        </is>
      </c>
      <c r="G2325" t="inlineStr">
        <is>
          <t>ÖRNSKÖLDSVIK</t>
        </is>
      </c>
      <c r="I2325" t="n">
        <v>3.5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s="2" t="inlineStr"/>
    </row>
    <row r="2326" ht="15" customHeight="1">
      <c r="A2326" t="inlineStr">
        <is>
          <t>A 30230-2026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46206</v>
      </c>
      <c r="E2326" s="1" t="n">
        <v>46218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SCA</t>
        </is>
      </c>
      <c r="I2326" t="n">
        <v>6.8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s="2" t="inlineStr"/>
    </row>
    <row r="2327" ht="15" customHeight="1">
      <c r="A2327" t="inlineStr">
        <is>
          <t>A 30308-2026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46206</v>
      </c>
      <c r="E2327" s="1" t="n">
        <v>46218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SCA</t>
        </is>
      </c>
      <c r="I2327" t="n">
        <v>3.5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s="2" t="inlineStr"/>
    </row>
    <row r="2328" ht="15" customHeight="1">
      <c r="A2328" t="inlineStr">
        <is>
          <t>A 24086-2026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46164</v>
      </c>
      <c r="E2328" s="1" t="n">
        <v>46218</v>
      </c>
      <c r="F2328" t="inlineStr">
        <is>
          <t>VÄSTERNORRLANDS LÄN</t>
        </is>
      </c>
      <c r="G2328" t="inlineStr">
        <is>
          <t>ÖRNSKÖLDSVIK</t>
        </is>
      </c>
      <c r="I2328" t="n">
        <v>13.5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s="2" t="inlineStr"/>
    </row>
    <row r="2329" ht="15" customHeight="1">
      <c r="A2329" t="inlineStr">
        <is>
          <t>A 30440-2026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46209</v>
      </c>
      <c r="E2329" s="1" t="n">
        <v>46218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7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s="2" t="inlineStr"/>
    </row>
    <row r="2330" ht="15" customHeight="1">
      <c r="A2330" t="inlineStr">
        <is>
          <t>A 30461-2026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46209</v>
      </c>
      <c r="E2330" s="1" t="n">
        <v>46218</v>
      </c>
      <c r="F2330" t="inlineStr">
        <is>
          <t>VÄSTERNORRLANDS LÄN</t>
        </is>
      </c>
      <c r="G2330" t="inlineStr">
        <is>
          <t>ÖRNSKÖLDSVIK</t>
        </is>
      </c>
      <c r="I2330" t="n">
        <v>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s="2" t="inlineStr"/>
    </row>
    <row r="2331" ht="15" customHeight="1">
      <c r="A2331" t="inlineStr">
        <is>
          <t>A 28788-2025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45820</v>
      </c>
      <c r="E2331" s="1" t="n">
        <v>46218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2.4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s="2" t="inlineStr"/>
    </row>
    <row r="2332" ht="15" customHeight="1">
      <c r="A2332" t="inlineStr">
        <is>
          <t>A 30558-2026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46204</v>
      </c>
      <c r="E2332" s="1" t="n">
        <v>46218</v>
      </c>
      <c r="F2332" t="inlineStr">
        <is>
          <t>VÄSTERNORRLANDS LÄN</t>
        </is>
      </c>
      <c r="G2332" t="inlineStr">
        <is>
          <t>ÖRNSKÖLDSVIK</t>
        </is>
      </c>
      <c r="I2332" t="n">
        <v>4.4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s="2" t="inlineStr"/>
    </row>
    <row r="2333" ht="15" customHeight="1">
      <c r="A2333" t="inlineStr">
        <is>
          <t>A 30534-2026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46204</v>
      </c>
      <c r="E2333" s="1" t="n">
        <v>46218</v>
      </c>
      <c r="F2333" t="inlineStr">
        <is>
          <t>VÄSTERNORRLANDS LÄN</t>
        </is>
      </c>
      <c r="G2333" t="inlineStr">
        <is>
          <t>ÖRNSKÖLDSVIK</t>
        </is>
      </c>
      <c r="I2333" t="n">
        <v>3.1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s="2" t="inlineStr"/>
    </row>
    <row r="2334" ht="15" customHeight="1">
      <c r="A2334" t="inlineStr">
        <is>
          <t>A 10460-2026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46077</v>
      </c>
      <c r="E2334" s="1" t="n">
        <v>46218</v>
      </c>
      <c r="F2334" t="inlineStr">
        <is>
          <t>VÄSTERNORRLANDS LÄN</t>
        </is>
      </c>
      <c r="G2334" t="inlineStr">
        <is>
          <t>ÖRNSKÖLDSVIK</t>
        </is>
      </c>
      <c r="I2334" t="n">
        <v>17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s="2" t="inlineStr"/>
    </row>
    <row r="2335" ht="15" customHeight="1">
      <c r="A2335" t="inlineStr">
        <is>
          <t>A 24166-2026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46168</v>
      </c>
      <c r="E2335" s="1" t="n">
        <v>46218</v>
      </c>
      <c r="F2335" t="inlineStr">
        <is>
          <t>VÄSTERNORRLANDS LÄN</t>
        </is>
      </c>
      <c r="G2335" t="inlineStr">
        <is>
          <t>ÖRNSKÖLDSVIK</t>
        </is>
      </c>
      <c r="I2335" t="n">
        <v>4.4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s="2" t="inlineStr"/>
    </row>
    <row r="2336" ht="15" customHeight="1">
      <c r="A2336" t="inlineStr">
        <is>
          <t>A 10423-2026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46077</v>
      </c>
      <c r="E2336" s="1" t="n">
        <v>46218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SCA</t>
        </is>
      </c>
      <c r="I2336" t="n">
        <v>25.4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s="2" t="inlineStr"/>
    </row>
    <row r="2337" ht="15" customHeight="1">
      <c r="A2337" t="inlineStr">
        <is>
          <t>A 10723-2026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46078</v>
      </c>
      <c r="E2337" s="1" t="n">
        <v>46218</v>
      </c>
      <c r="F2337" t="inlineStr">
        <is>
          <t>VÄSTERNORRLANDS LÄN</t>
        </is>
      </c>
      <c r="G2337" t="inlineStr">
        <is>
          <t>ÖRNSKÖLDSVIK</t>
        </is>
      </c>
      <c r="I2337" t="n">
        <v>6.3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s="2" t="inlineStr"/>
    </row>
    <row r="2338" ht="15" customHeight="1">
      <c r="A2338" t="inlineStr">
        <is>
          <t>A 10463-2026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46077</v>
      </c>
      <c r="E2338" s="1" t="n">
        <v>46218</v>
      </c>
      <c r="F2338" t="inlineStr">
        <is>
          <t>VÄSTERNORRLANDS LÄN</t>
        </is>
      </c>
      <c r="G2338" t="inlineStr">
        <is>
          <t>ÖRNSKÖLDSVIK</t>
        </is>
      </c>
      <c r="I2338" t="n">
        <v>3.9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s="2" t="inlineStr"/>
    </row>
    <row r="2339" ht="15" customHeight="1">
      <c r="A2339" t="inlineStr">
        <is>
          <t>A 10396-2026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46077</v>
      </c>
      <c r="E2339" s="1" t="n">
        <v>46218</v>
      </c>
      <c r="F2339" t="inlineStr">
        <is>
          <t>VÄSTERNORRLANDS LÄN</t>
        </is>
      </c>
      <c r="G2339" t="inlineStr">
        <is>
          <t>ÖRNSKÖLDSVIK</t>
        </is>
      </c>
      <c r="I2339" t="n">
        <v>2.1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s="2" t="inlineStr"/>
    </row>
    <row r="2340" ht="15" customHeight="1">
      <c r="A2340" t="inlineStr">
        <is>
          <t>A 24252-2026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46168</v>
      </c>
      <c r="E2340" s="1" t="n">
        <v>46218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0.9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s="2" t="inlineStr"/>
    </row>
    <row r="2341" ht="15" customHeight="1">
      <c r="A2341" t="inlineStr">
        <is>
          <t>A 24301-2026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46169</v>
      </c>
      <c r="E2341" s="1" t="n">
        <v>46218</v>
      </c>
      <c r="F2341" t="inlineStr">
        <is>
          <t>VÄSTERNORRLANDS LÄN</t>
        </is>
      </c>
      <c r="G2341" t="inlineStr">
        <is>
          <t>ÖRNSKÖLDSVIK</t>
        </is>
      </c>
      <c r="I2341" t="n">
        <v>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s="2" t="inlineStr"/>
    </row>
    <row r="2342" ht="15" customHeight="1">
      <c r="A2342" t="inlineStr">
        <is>
          <t>A 10392-2026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46077</v>
      </c>
      <c r="E2342" s="1" t="n">
        <v>46218</v>
      </c>
      <c r="F2342" t="inlineStr">
        <is>
          <t>VÄSTERNORRLANDS LÄN</t>
        </is>
      </c>
      <c r="G2342" t="inlineStr">
        <is>
          <t>ÖRNSKÖLDSVIK</t>
        </is>
      </c>
      <c r="I2342" t="n">
        <v>1.3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s="2" t="inlineStr"/>
    </row>
    <row r="2343" ht="15" customHeight="1">
      <c r="A2343" t="inlineStr">
        <is>
          <t>A 10278-2026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46076</v>
      </c>
      <c r="E2343" s="1" t="n">
        <v>46218</v>
      </c>
      <c r="F2343" t="inlineStr">
        <is>
          <t>VÄSTERNORRLANDS LÄN</t>
        </is>
      </c>
      <c r="G2343" t="inlineStr">
        <is>
          <t>ÖRNSKÖLDSVIK</t>
        </is>
      </c>
      <c r="I2343" t="n">
        <v>8.800000000000001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s="2" t="inlineStr"/>
    </row>
    <row r="2344" ht="15" customHeight="1">
      <c r="A2344" t="inlineStr">
        <is>
          <t>A 11160-2026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46080</v>
      </c>
      <c r="E2344" s="1" t="n">
        <v>46218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SCA</t>
        </is>
      </c>
      <c r="I2344" t="n">
        <v>1.2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s="2" t="inlineStr"/>
    </row>
    <row r="2345" ht="15" customHeight="1">
      <c r="A2345" t="inlineStr">
        <is>
          <t>A 24078-2026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46168</v>
      </c>
      <c r="E2345" s="1" t="n">
        <v>46218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0.5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s="2" t="inlineStr"/>
    </row>
    <row r="2346" ht="15" customHeight="1">
      <c r="A2346" t="inlineStr">
        <is>
          <t>A 30473-2026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46210</v>
      </c>
      <c r="E2346" s="1" t="n">
        <v>46218</v>
      </c>
      <c r="F2346" t="inlineStr">
        <is>
          <t>VÄSTERNORRLANDS LÄN</t>
        </is>
      </c>
      <c r="G2346" t="inlineStr">
        <is>
          <t>ÖRNSKÖLDSVIK</t>
        </is>
      </c>
      <c r="I2346" t="n">
        <v>7.3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s="2" t="inlineStr"/>
    </row>
    <row r="2347" ht="15" customHeight="1">
      <c r="A2347" t="inlineStr">
        <is>
          <t>A 24079-2026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46168</v>
      </c>
      <c r="E2347" s="1" t="n">
        <v>46218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0.5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s="2" t="inlineStr"/>
    </row>
    <row r="2348" ht="15" customHeight="1">
      <c r="A2348" t="inlineStr">
        <is>
          <t>A 24122-2026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46168</v>
      </c>
      <c r="E2348" s="1" t="n">
        <v>46218</v>
      </c>
      <c r="F2348" t="inlineStr">
        <is>
          <t>VÄSTERNORRLANDS LÄN</t>
        </is>
      </c>
      <c r="G2348" t="inlineStr">
        <is>
          <t>ÖRNSKÖLDSVIK</t>
        </is>
      </c>
      <c r="I2348" t="n">
        <v>2.8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s="2" t="inlineStr"/>
    </row>
    <row r="2349" ht="15" customHeight="1">
      <c r="A2349" t="inlineStr">
        <is>
          <t>A 30544-2026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46204</v>
      </c>
      <c r="E2349" s="1" t="n">
        <v>46218</v>
      </c>
      <c r="F2349" t="inlineStr">
        <is>
          <t>VÄSTERNORRLANDS LÄN</t>
        </is>
      </c>
      <c r="G2349" t="inlineStr">
        <is>
          <t>ÖRNSKÖLDSVIK</t>
        </is>
      </c>
      <c r="I2349" t="n">
        <v>1.4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s="2" t="inlineStr"/>
    </row>
    <row r="2350" ht="15" customHeight="1">
      <c r="A2350" t="inlineStr">
        <is>
          <t>A 11196-2026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46080</v>
      </c>
      <c r="E2350" s="1" t="n">
        <v>46218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SCA</t>
        </is>
      </c>
      <c r="I2350" t="n">
        <v>1.1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s="2" t="inlineStr"/>
    </row>
    <row r="2351" ht="15" customHeight="1">
      <c r="A2351" t="inlineStr">
        <is>
          <t>A 30556-2026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46204</v>
      </c>
      <c r="E2351" s="1" t="n">
        <v>46218</v>
      </c>
      <c r="F2351" t="inlineStr">
        <is>
          <t>VÄSTERNORRLANDS LÄN</t>
        </is>
      </c>
      <c r="G2351" t="inlineStr">
        <is>
          <t>ÖRNSKÖLDSVIK</t>
        </is>
      </c>
      <c r="I2351" t="n">
        <v>1.6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s="2" t="inlineStr"/>
    </row>
    <row r="2352" ht="15" customHeight="1">
      <c r="A2352" t="inlineStr">
        <is>
          <t>A 30551-2026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46204</v>
      </c>
      <c r="E2352" s="1" t="n">
        <v>46218</v>
      </c>
      <c r="F2352" t="inlineStr">
        <is>
          <t>VÄSTERNORRLANDS LÄN</t>
        </is>
      </c>
      <c r="G2352" t="inlineStr">
        <is>
          <t>ÖRNSKÖLDSVIK</t>
        </is>
      </c>
      <c r="I2352" t="n">
        <v>16.7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s="2" t="inlineStr"/>
    </row>
    <row r="2353" ht="15" customHeight="1">
      <c r="A2353" t="inlineStr">
        <is>
          <t>A 24044-2026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46168</v>
      </c>
      <c r="E2353" s="1" t="n">
        <v>46218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3.5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s="2" t="inlineStr"/>
    </row>
    <row r="2354" ht="15" customHeight="1">
      <c r="A2354" t="inlineStr">
        <is>
          <t>A 24070-2026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46168</v>
      </c>
      <c r="E2354" s="1" t="n">
        <v>46218</v>
      </c>
      <c r="F2354" t="inlineStr">
        <is>
          <t>VÄSTERNORRLANDS LÄN</t>
        </is>
      </c>
      <c r="G2354" t="inlineStr">
        <is>
          <t>ÖRNSKÖLDSVIK</t>
        </is>
      </c>
      <c r="I2354" t="n">
        <v>0.7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s="2" t="inlineStr"/>
    </row>
    <row r="2355" ht="15" customHeight="1">
      <c r="A2355" t="inlineStr">
        <is>
          <t>A 30530-2026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46204</v>
      </c>
      <c r="E2355" s="1" t="n">
        <v>46218</v>
      </c>
      <c r="F2355" t="inlineStr">
        <is>
          <t>VÄSTERNORRLANDS LÄN</t>
        </is>
      </c>
      <c r="G2355" t="inlineStr">
        <is>
          <t>ÖRNSKÖLDSVIK</t>
        </is>
      </c>
      <c r="I2355" t="n">
        <v>7.5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s="2" t="inlineStr"/>
    </row>
    <row r="2356" ht="15" customHeight="1">
      <c r="A2356" t="inlineStr">
        <is>
          <t>A 30546-2026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46204</v>
      </c>
      <c r="E2356" s="1" t="n">
        <v>46218</v>
      </c>
      <c r="F2356" t="inlineStr">
        <is>
          <t>VÄSTERNORRLANDS LÄN</t>
        </is>
      </c>
      <c r="G2356" t="inlineStr">
        <is>
          <t>ÖRNSKÖLDSVIK</t>
        </is>
      </c>
      <c r="I2356" t="n">
        <v>17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s="2" t="inlineStr"/>
    </row>
    <row r="2357" ht="15" customHeight="1">
      <c r="A2357" t="inlineStr">
        <is>
          <t>A 24575-2026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46170</v>
      </c>
      <c r="E2357" s="1" t="n">
        <v>46218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0.7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s="2" t="inlineStr"/>
    </row>
    <row r="2358" ht="15" customHeight="1">
      <c r="A2358" t="inlineStr">
        <is>
          <t>A 24516-2026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46170</v>
      </c>
      <c r="E2358" s="1" t="n">
        <v>46218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0.8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s="2" t="inlineStr"/>
    </row>
    <row r="2359" ht="15" customHeight="1">
      <c r="A2359" t="inlineStr">
        <is>
          <t>A 24510-2026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46170</v>
      </c>
      <c r="E2359" s="1" t="n">
        <v>46218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4.2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s="2" t="inlineStr"/>
    </row>
    <row r="2360" ht="15" customHeight="1">
      <c r="A2360" t="inlineStr">
        <is>
          <t>A 12170-2026</t>
        </is>
      </c>
      <c r="B2360" t="inlineStr">
        <is>
          <t>avverkningsanmälan</t>
        </is>
      </c>
      <c r="C2360" t="inlineStr">
        <is>
          <t>Avverkning för att bevara och utveckla /försöksver</t>
        </is>
      </c>
      <c r="D2360" s="1" t="n">
        <v>46086</v>
      </c>
      <c r="E2360" s="1" t="n">
        <v>46218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SCA</t>
        </is>
      </c>
      <c r="I2360" t="n">
        <v>3.6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s="2" t="inlineStr"/>
    </row>
    <row r="2361" ht="15" customHeight="1">
      <c r="A2361" t="inlineStr">
        <is>
          <t>A 25224-2026</t>
        </is>
      </c>
      <c r="B2361" t="inlineStr">
        <is>
          <t>avverkningsanmälan</t>
        </is>
      </c>
      <c r="C2361" t="inlineStr">
        <is>
          <t>Avverkning för annat ändamål</t>
        </is>
      </c>
      <c r="D2361" s="1" t="n">
        <v>46171</v>
      </c>
      <c r="E2361" s="1" t="n">
        <v>46218</v>
      </c>
      <c r="F2361" t="inlineStr">
        <is>
          <t>VÄSTERNORRLANDS LÄN</t>
        </is>
      </c>
      <c r="G2361" t="inlineStr">
        <is>
          <t>ÖRNSKÖLDSVIK</t>
        </is>
      </c>
      <c r="I2361" t="n">
        <v>0.9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s="2" t="inlineStr"/>
    </row>
    <row r="2362" ht="15" customHeight="1">
      <c r="A2362" t="inlineStr">
        <is>
          <t>A 11845-2026</t>
        </is>
      </c>
      <c r="B2362" t="inlineStr">
        <is>
          <t>avverkningsanmälan</t>
        </is>
      </c>
      <c r="C2362" t="inlineStr">
        <is>
          <t>Avverkning för annat ändamål</t>
        </is>
      </c>
      <c r="D2362" s="1" t="n">
        <v>46085</v>
      </c>
      <c r="E2362" s="1" t="n">
        <v>46218</v>
      </c>
      <c r="F2362" t="inlineStr">
        <is>
          <t>VÄSTERNORRLANDS LÄN</t>
        </is>
      </c>
      <c r="G2362" t="inlineStr">
        <is>
          <t>ÖRNSKÖLDSVIK</t>
        </is>
      </c>
      <c r="I2362" t="n">
        <v>0.4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s="2" t="inlineStr"/>
    </row>
    <row r="2363" ht="15" customHeight="1">
      <c r="A2363" t="inlineStr">
        <is>
          <t>A 12500-2026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46090</v>
      </c>
      <c r="E2363" s="1" t="n">
        <v>46218</v>
      </c>
      <c r="F2363" t="inlineStr">
        <is>
          <t>VÄSTERNORRLANDS LÄN</t>
        </is>
      </c>
      <c r="G2363" t="inlineStr">
        <is>
          <t>ÖRNSKÖLDSVIK</t>
        </is>
      </c>
      <c r="I2363" t="n">
        <v>1.1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s="2" t="inlineStr"/>
    </row>
    <row r="2364" ht="15" customHeight="1">
      <c r="A2364" t="inlineStr">
        <is>
          <t>A 25219-2026</t>
        </is>
      </c>
      <c r="B2364" t="inlineStr">
        <is>
          <t>avverkningsanmälan</t>
        </is>
      </c>
      <c r="C2364" t="inlineStr">
        <is>
          <t>Avverkning för annat ändamål</t>
        </is>
      </c>
      <c r="D2364" s="1" t="n">
        <v>46171</v>
      </c>
      <c r="E2364" s="1" t="n">
        <v>46218</v>
      </c>
      <c r="F2364" t="inlineStr">
        <is>
          <t>VÄSTERNORRLANDS LÄN</t>
        </is>
      </c>
      <c r="G2364" t="inlineStr">
        <is>
          <t>ÖRNSKÖLDSVIK</t>
        </is>
      </c>
      <c r="I2364" t="n">
        <v>1.4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s="2" t="inlineStr"/>
    </row>
    <row r="2365" ht="15" customHeight="1">
      <c r="A2365" t="inlineStr">
        <is>
          <t>A 24501-2026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46170</v>
      </c>
      <c r="E2365" s="1" t="n">
        <v>46218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1.4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s="2" t="inlineStr"/>
    </row>
    <row r="2366" ht="15" customHeight="1">
      <c r="A2366" t="inlineStr">
        <is>
          <t>A 12228-2026</t>
        </is>
      </c>
      <c r="B2366" t="inlineStr">
        <is>
          <t>avverkningsanmälan</t>
        </is>
      </c>
      <c r="C2366" t="inlineStr">
        <is>
          <t>Avverkning för att bevara och utveckla /försöksver</t>
        </is>
      </c>
      <c r="D2366" s="1" t="n">
        <v>46087</v>
      </c>
      <c r="E2366" s="1" t="n">
        <v>46218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SCA</t>
        </is>
      </c>
      <c r="I2366" t="n">
        <v>3.1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s="2" t="inlineStr"/>
    </row>
    <row r="2367" ht="15" customHeight="1">
      <c r="A2367" t="inlineStr">
        <is>
          <t>A 24881-2026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46174</v>
      </c>
      <c r="E2367" s="1" t="n">
        <v>46218</v>
      </c>
      <c r="F2367" t="inlineStr">
        <is>
          <t>VÄSTERNORRLANDS LÄN</t>
        </is>
      </c>
      <c r="G2367" t="inlineStr">
        <is>
          <t>ÖRNSKÖLDSVIK</t>
        </is>
      </c>
      <c r="I2367" t="n">
        <v>3.6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s="2" t="inlineStr"/>
    </row>
    <row r="2368" ht="15" customHeight="1">
      <c r="A2368" t="inlineStr">
        <is>
          <t>A 12906-2026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46092</v>
      </c>
      <c r="E2368" s="1" t="n">
        <v>46218</v>
      </c>
      <c r="F2368" t="inlineStr">
        <is>
          <t>VÄSTERNORRLANDS LÄN</t>
        </is>
      </c>
      <c r="G2368" t="inlineStr">
        <is>
          <t>ÖRNSKÖLDSVIK</t>
        </is>
      </c>
      <c r="I2368" t="n">
        <v>0.4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s="2" t="inlineStr"/>
    </row>
    <row r="2369" ht="15" customHeight="1">
      <c r="A2369" t="inlineStr">
        <is>
          <t>A 12908-2026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46092</v>
      </c>
      <c r="E2369" s="1" t="n">
        <v>46218</v>
      </c>
      <c r="F2369" t="inlineStr">
        <is>
          <t>VÄSTERNORRLANDS LÄN</t>
        </is>
      </c>
      <c r="G2369" t="inlineStr">
        <is>
          <t>ÖRNSKÖLDSVIK</t>
        </is>
      </c>
      <c r="I2369" t="n">
        <v>7.6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s="2" t="inlineStr"/>
    </row>
    <row r="2370" ht="15" customHeight="1">
      <c r="A2370" t="inlineStr">
        <is>
          <t>A 25078-2026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46174</v>
      </c>
      <c r="E2370" s="1" t="n">
        <v>46218</v>
      </c>
      <c r="F2370" t="inlineStr">
        <is>
          <t>VÄSTERNORRLANDS LÄN</t>
        </is>
      </c>
      <c r="G2370" t="inlineStr">
        <is>
          <t>ÖRNSKÖLDSVIK</t>
        </is>
      </c>
      <c r="I2370" t="n">
        <v>1.4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s="2" t="inlineStr"/>
    </row>
    <row r="2371" ht="15" customHeight="1">
      <c r="A2371" t="inlineStr">
        <is>
          <t>A 12907-2026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46092</v>
      </c>
      <c r="E2371" s="1" t="n">
        <v>46218</v>
      </c>
      <c r="F2371" t="inlineStr">
        <is>
          <t>VÄSTERNORRLANDS LÄN</t>
        </is>
      </c>
      <c r="G2371" t="inlineStr">
        <is>
          <t>ÖRNSKÖLDSVIK</t>
        </is>
      </c>
      <c r="I2371" t="n">
        <v>2.1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s="2" t="inlineStr"/>
    </row>
    <row r="2372" ht="15" customHeight="1">
      <c r="A2372" t="inlineStr">
        <is>
          <t>A 25050-2026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46174</v>
      </c>
      <c r="E2372" s="1" t="n">
        <v>46218</v>
      </c>
      <c r="F2372" t="inlineStr">
        <is>
          <t>VÄSTERNORRLANDS LÄN</t>
        </is>
      </c>
      <c r="G2372" t="inlineStr">
        <is>
          <t>ÖRNSKÖLDSVIK</t>
        </is>
      </c>
      <c r="I2372" t="n">
        <v>0.9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s="2" t="inlineStr"/>
    </row>
    <row r="2373" ht="15" customHeight="1">
      <c r="A2373" t="inlineStr">
        <is>
          <t>A 25083-2026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46175</v>
      </c>
      <c r="E2373" s="1" t="n">
        <v>46218</v>
      </c>
      <c r="F2373" t="inlineStr">
        <is>
          <t>VÄSTERNORRLANDS LÄN</t>
        </is>
      </c>
      <c r="G2373" t="inlineStr">
        <is>
          <t>ÖRNSKÖLDSVIK</t>
        </is>
      </c>
      <c r="I2373" t="n">
        <v>1.7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s="2" t="inlineStr"/>
    </row>
    <row r="2374" ht="15" customHeight="1">
      <c r="A2374" t="inlineStr">
        <is>
          <t>A 25085-2026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46175</v>
      </c>
      <c r="E2374" s="1" t="n">
        <v>46218</v>
      </c>
      <c r="F2374" t="inlineStr">
        <is>
          <t>VÄSTERNORRLANDS LÄN</t>
        </is>
      </c>
      <c r="G2374" t="inlineStr">
        <is>
          <t>ÖRNSKÖLDSVIK</t>
        </is>
      </c>
      <c r="I2374" t="n">
        <v>0.6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s="2" t="inlineStr"/>
    </row>
    <row r="2375" ht="15" customHeight="1">
      <c r="A2375" t="inlineStr">
        <is>
          <t>A 12946-2026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46092</v>
      </c>
      <c r="E2375" s="1" t="n">
        <v>46218</v>
      </c>
      <c r="F2375" t="inlineStr">
        <is>
          <t>VÄSTERNORRLANDS LÄN</t>
        </is>
      </c>
      <c r="G2375" t="inlineStr">
        <is>
          <t>ÖRNSKÖLDSVIK</t>
        </is>
      </c>
      <c r="I2375" t="n">
        <v>10.6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s="2" t="inlineStr"/>
    </row>
    <row r="2376" ht="15" customHeight="1">
      <c r="A2376" t="inlineStr">
        <is>
          <t>A 25244-2026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46175</v>
      </c>
      <c r="E2376" s="1" t="n">
        <v>46218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SCA</t>
        </is>
      </c>
      <c r="I2376" t="n">
        <v>4.8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s="2" t="inlineStr"/>
    </row>
    <row r="2377" ht="15" customHeight="1">
      <c r="A2377" t="inlineStr">
        <is>
          <t>A 18944-2026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46129</v>
      </c>
      <c r="E2377" s="1" t="n">
        <v>46218</v>
      </c>
      <c r="F2377" t="inlineStr">
        <is>
          <t>VÄSTERNORRLANDS LÄN</t>
        </is>
      </c>
      <c r="G2377" t="inlineStr">
        <is>
          <t>ÖRNSKÖLDSVIK</t>
        </is>
      </c>
      <c r="I2377" t="n">
        <v>16.9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s="2" t="inlineStr"/>
    </row>
    <row r="2378" ht="15" customHeight="1">
      <c r="A2378" t="inlineStr">
        <is>
          <t>A 13178-2026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46093</v>
      </c>
      <c r="E2378" s="1" t="n">
        <v>46218</v>
      </c>
      <c r="F2378" t="inlineStr">
        <is>
          <t>VÄSTERNORRLANDS LÄN</t>
        </is>
      </c>
      <c r="G2378" t="inlineStr">
        <is>
          <t>ÖRNSKÖLDSVIK</t>
        </is>
      </c>
      <c r="I2378" t="n">
        <v>1.1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s="2" t="inlineStr"/>
    </row>
    <row r="2379" ht="15" customHeight="1">
      <c r="A2379" t="inlineStr">
        <is>
          <t>A 25052-2026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46174</v>
      </c>
      <c r="E2379" s="1" t="n">
        <v>46218</v>
      </c>
      <c r="F2379" t="inlineStr">
        <is>
          <t>VÄSTERNORRLANDS LÄN</t>
        </is>
      </c>
      <c r="G2379" t="inlineStr">
        <is>
          <t>ÖRNSKÖLDSVIK</t>
        </is>
      </c>
      <c r="I2379" t="n">
        <v>1.2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s="2" t="inlineStr"/>
    </row>
    <row r="2380" ht="15" customHeight="1">
      <c r="A2380" t="inlineStr">
        <is>
          <t>A 25073-2026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46174</v>
      </c>
      <c r="E2380" s="1" t="n">
        <v>46218</v>
      </c>
      <c r="F2380" t="inlineStr">
        <is>
          <t>VÄSTERNORRLANDS LÄN</t>
        </is>
      </c>
      <c r="G2380" t="inlineStr">
        <is>
          <t>ÖRNSKÖLDSVIK</t>
        </is>
      </c>
      <c r="I2380" t="n">
        <v>0.4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s="2" t="inlineStr"/>
    </row>
    <row r="2381" ht="15" customHeight="1">
      <c r="A2381" t="inlineStr">
        <is>
          <t>A 13400-2026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46094</v>
      </c>
      <c r="E2381" s="1" t="n">
        <v>46218</v>
      </c>
      <c r="F2381" t="inlineStr">
        <is>
          <t>VÄSTERNORRLANDS LÄN</t>
        </is>
      </c>
      <c r="G2381" t="inlineStr">
        <is>
          <t>ÖRNSKÖLDSVIK</t>
        </is>
      </c>
      <c r="I2381" t="n">
        <v>10.4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s="2" t="inlineStr"/>
    </row>
    <row r="2382" ht="15" customHeight="1">
      <c r="A2382" t="inlineStr">
        <is>
          <t>A 29604-2026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46204</v>
      </c>
      <c r="E2382" s="1" t="n">
        <v>46218</v>
      </c>
      <c r="F2382" t="inlineStr">
        <is>
          <t>VÄSTERNORRLANDS LÄN</t>
        </is>
      </c>
      <c r="G2382" t="inlineStr">
        <is>
          <t>ÖRNSKÖLDSVIK</t>
        </is>
      </c>
      <c r="I2382" t="n">
        <v>1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s="2" t="inlineStr"/>
    </row>
    <row r="2383" ht="15" customHeight="1">
      <c r="A2383" t="inlineStr">
        <is>
          <t>A 29296-2026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46202</v>
      </c>
      <c r="E2383" s="1" t="n">
        <v>46218</v>
      </c>
      <c r="F2383" t="inlineStr">
        <is>
          <t>VÄSTERNORRLANDS LÄN</t>
        </is>
      </c>
      <c r="G2383" t="inlineStr">
        <is>
          <t>ÖRNSKÖLDSVIK</t>
        </is>
      </c>
      <c r="I2383" t="n">
        <v>2.7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s="2" t="inlineStr"/>
    </row>
    <row r="2384" ht="15" customHeight="1">
      <c r="A2384" t="inlineStr">
        <is>
          <t>A 13183-2026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46093</v>
      </c>
      <c r="E2384" s="1" t="n">
        <v>46218</v>
      </c>
      <c r="F2384" t="inlineStr">
        <is>
          <t>VÄSTERNORRLANDS LÄN</t>
        </is>
      </c>
      <c r="G2384" t="inlineStr">
        <is>
          <t>ÖRNSKÖLDSVIK</t>
        </is>
      </c>
      <c r="I2384" t="n">
        <v>1.2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s="2" t="inlineStr"/>
    </row>
    <row r="2385" ht="15" customHeight="1">
      <c r="A2385" t="inlineStr">
        <is>
          <t>A 21398-2026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46146</v>
      </c>
      <c r="E2385" s="1" t="n">
        <v>46218</v>
      </c>
      <c r="F2385" t="inlineStr">
        <is>
          <t>VÄSTERNORRLANDS LÄN</t>
        </is>
      </c>
      <c r="G2385" t="inlineStr">
        <is>
          <t>ÖRNSKÖLDSVIK</t>
        </is>
      </c>
      <c r="I2385" t="n">
        <v>8.300000000000001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s="2" t="inlineStr"/>
    </row>
    <row r="2386" ht="15" customHeight="1">
      <c r="A2386" t="inlineStr">
        <is>
          <t>A 24883-2026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46174</v>
      </c>
      <c r="E2386" s="1" t="n">
        <v>46218</v>
      </c>
      <c r="F2386" t="inlineStr">
        <is>
          <t>VÄSTERNORRLANDS LÄN</t>
        </is>
      </c>
      <c r="G2386" t="inlineStr">
        <is>
          <t>ÖRNSKÖLDSVIK</t>
        </is>
      </c>
      <c r="I2386" t="n">
        <v>2.4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s="2" t="inlineStr"/>
    </row>
    <row r="2387" ht="15" customHeight="1">
      <c r="A2387" t="inlineStr">
        <is>
          <t>A 24855-2026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46174</v>
      </c>
      <c r="E2387" s="1" t="n">
        <v>46218</v>
      </c>
      <c r="F2387" t="inlineStr">
        <is>
          <t>VÄSTERNORRLANDS LÄN</t>
        </is>
      </c>
      <c r="G2387" t="inlineStr">
        <is>
          <t>ÖRNSKÖLDSVIK</t>
        </is>
      </c>
      <c r="I2387" t="n">
        <v>3.1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s="2" t="inlineStr"/>
    </row>
    <row r="2388" ht="15" customHeight="1">
      <c r="A2388" t="inlineStr">
        <is>
          <t>A 24878-2026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46174</v>
      </c>
      <c r="E2388" s="1" t="n">
        <v>46218</v>
      </c>
      <c r="F2388" t="inlineStr">
        <is>
          <t>VÄSTERNORRLANDS LÄN</t>
        </is>
      </c>
      <c r="G2388" t="inlineStr">
        <is>
          <t>ÖRNSKÖLDSVIK</t>
        </is>
      </c>
      <c r="I2388" t="n">
        <v>6.9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s="2" t="inlineStr"/>
    </row>
    <row r="2389" ht="15" customHeight="1">
      <c r="A2389" t="inlineStr">
        <is>
          <t>A 13672-2026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46097</v>
      </c>
      <c r="E2389" s="1" t="n">
        <v>46218</v>
      </c>
      <c r="F2389" t="inlineStr">
        <is>
          <t>VÄSTERNORRLANDS LÄN</t>
        </is>
      </c>
      <c r="G2389" t="inlineStr">
        <is>
          <t>ÖRNSKÖLDSVIK</t>
        </is>
      </c>
      <c r="I2389" t="n">
        <v>2.3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s="2" t="inlineStr"/>
    </row>
    <row r="2390" ht="15" customHeight="1">
      <c r="A2390" t="inlineStr">
        <is>
          <t>A 13668-2026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46094</v>
      </c>
      <c r="E2390" s="1" t="n">
        <v>46218</v>
      </c>
      <c r="F2390" t="inlineStr">
        <is>
          <t>VÄSTERNORRLANDS LÄN</t>
        </is>
      </c>
      <c r="G2390" t="inlineStr">
        <is>
          <t>ÖRNSKÖLDSVIK</t>
        </is>
      </c>
      <c r="I2390" t="n">
        <v>26.6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s="2" t="inlineStr"/>
    </row>
    <row r="2391" ht="15" customHeight="1">
      <c r="A2391" t="inlineStr">
        <is>
          <t>A 13828-2026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46098</v>
      </c>
      <c r="E2391" s="1" t="n">
        <v>46218</v>
      </c>
      <c r="F2391" t="inlineStr">
        <is>
          <t>VÄSTERNORRLANDS LÄN</t>
        </is>
      </c>
      <c r="G2391" t="inlineStr">
        <is>
          <t>ÖRNSKÖLDSVIK</t>
        </is>
      </c>
      <c r="I2391" t="n">
        <v>1.9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s="2" t="inlineStr"/>
    </row>
    <row r="2392" ht="15" customHeight="1">
      <c r="A2392" t="inlineStr">
        <is>
          <t>A 55533-2025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45971</v>
      </c>
      <c r="E2392" s="1" t="n">
        <v>46218</v>
      </c>
      <c r="F2392" t="inlineStr">
        <is>
          <t>VÄSTERNORRLANDS LÄN</t>
        </is>
      </c>
      <c r="G2392" t="inlineStr">
        <is>
          <t>ÖRNSKÖLDSVIK</t>
        </is>
      </c>
      <c r="I2392" t="n">
        <v>3.8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s="2" t="inlineStr"/>
    </row>
    <row r="2393" ht="15" customHeight="1">
      <c r="A2393" t="inlineStr">
        <is>
          <t>A 14001-2026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46098</v>
      </c>
      <c r="E2393" s="1" t="n">
        <v>46218</v>
      </c>
      <c r="F2393" t="inlineStr">
        <is>
          <t>VÄSTERNORRLANDS LÄN</t>
        </is>
      </c>
      <c r="G2393" t="inlineStr">
        <is>
          <t>ÖRNSKÖLDSVIK</t>
        </is>
      </c>
      <c r="I2393" t="n">
        <v>3.5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s="2" t="inlineStr"/>
    </row>
    <row r="2394" ht="15" customHeight="1">
      <c r="A2394" t="inlineStr">
        <is>
          <t>A 13776-2026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46097</v>
      </c>
      <c r="E2394" s="1" t="n">
        <v>46218</v>
      </c>
      <c r="F2394" t="inlineStr">
        <is>
          <t>VÄSTERNORRLANDS LÄN</t>
        </is>
      </c>
      <c r="G2394" t="inlineStr">
        <is>
          <t>ÖRNSKÖLDSVIK</t>
        </is>
      </c>
      <c r="I2394" t="n">
        <v>1.5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s="2" t="inlineStr"/>
    </row>
    <row r="2395" ht="15" customHeight="1">
      <c r="A2395" t="inlineStr">
        <is>
          <t>A 31122-2026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46216</v>
      </c>
      <c r="E2395" s="1" t="n">
        <v>46218</v>
      </c>
      <c r="F2395" t="inlineStr">
        <is>
          <t>VÄSTERNORRLANDS LÄN</t>
        </is>
      </c>
      <c r="G2395" t="inlineStr">
        <is>
          <t>ÖRNSKÖLDSVIK</t>
        </is>
      </c>
      <c r="I2395" t="n">
        <v>0.8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s="2" t="inlineStr"/>
    </row>
    <row r="2396" ht="15" customHeight="1">
      <c r="A2396" t="inlineStr">
        <is>
          <t>A 13872-2026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46098</v>
      </c>
      <c r="E2396" s="1" t="n">
        <v>46218</v>
      </c>
      <c r="F2396" t="inlineStr">
        <is>
          <t>VÄSTERNORRLANDS LÄN</t>
        </is>
      </c>
      <c r="G2396" t="inlineStr">
        <is>
          <t>ÖRNSKÖLDSVIK</t>
        </is>
      </c>
      <c r="I2396" t="n">
        <v>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s="2" t="inlineStr"/>
    </row>
    <row r="2397" ht="15" customHeight="1">
      <c r="A2397" t="inlineStr">
        <is>
          <t>A 13874-2026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46098</v>
      </c>
      <c r="E2397" s="1" t="n">
        <v>46218</v>
      </c>
      <c r="F2397" t="inlineStr">
        <is>
          <t>VÄSTERNORRLANDS LÄN</t>
        </is>
      </c>
      <c r="G2397" t="inlineStr">
        <is>
          <t>ÖRNSKÖLDSVIK</t>
        </is>
      </c>
      <c r="I2397" t="n">
        <v>0.7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s="2" t="inlineStr"/>
    </row>
    <row r="2398" ht="15" customHeight="1">
      <c r="A2398" t="inlineStr">
        <is>
          <t>A 13868-2026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46098</v>
      </c>
      <c r="E2398" s="1" t="n">
        <v>46218</v>
      </c>
      <c r="F2398" t="inlineStr">
        <is>
          <t>VÄSTERNORRLANDS LÄN</t>
        </is>
      </c>
      <c r="G2398" t="inlineStr">
        <is>
          <t>ÖRNSKÖLDSVIK</t>
        </is>
      </c>
      <c r="I2398" t="n">
        <v>1.7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s="2" t="inlineStr"/>
    </row>
    <row r="2399" ht="15" customHeight="1">
      <c r="A2399" t="inlineStr">
        <is>
          <t>A 31031-2026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46214</v>
      </c>
      <c r="E2399" s="1" t="n">
        <v>46218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1.3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s="2" t="inlineStr"/>
    </row>
    <row r="2400" ht="15" customHeight="1">
      <c r="A2400" t="inlineStr">
        <is>
          <t>A 24681-2026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46171</v>
      </c>
      <c r="E2400" s="1" t="n">
        <v>46218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s="2" t="inlineStr"/>
    </row>
    <row r="2401" ht="15" customHeight="1">
      <c r="A2401" t="inlineStr">
        <is>
          <t>A 31037-2026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46214</v>
      </c>
      <c r="E2401" s="1" t="n">
        <v>46218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1.2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s="2" t="inlineStr"/>
    </row>
    <row r="2402" ht="15" customHeight="1">
      <c r="A2402" t="inlineStr">
        <is>
          <t>A 31039-2026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46214</v>
      </c>
      <c r="E2402" s="1" t="n">
        <v>46218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4.3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s="2" t="inlineStr"/>
    </row>
    <row r="2403" ht="15" customHeight="1">
      <c r="A2403" t="inlineStr">
        <is>
          <t>A 37584-2025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45880</v>
      </c>
      <c r="E2403" s="1" t="n">
        <v>46218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7.2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s="2" t="inlineStr"/>
    </row>
    <row r="2404" ht="15" customHeight="1">
      <c r="A2404" t="inlineStr">
        <is>
          <t>A 24648-2026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46171</v>
      </c>
      <c r="E2404" s="1" t="n">
        <v>46218</v>
      </c>
      <c r="F2404" t="inlineStr">
        <is>
          <t>VÄSTERNORRLANDS LÄN</t>
        </is>
      </c>
      <c r="G2404" t="inlineStr">
        <is>
          <t>ÖRNSKÖLDSVIK</t>
        </is>
      </c>
      <c r="I2404" t="n">
        <v>1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s="2" t="inlineStr"/>
    </row>
    <row r="2405" ht="15" customHeight="1">
      <c r="A2405" t="inlineStr">
        <is>
          <t>A 24656-2026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46171</v>
      </c>
      <c r="E2405" s="1" t="n">
        <v>46218</v>
      </c>
      <c r="F2405" t="inlineStr">
        <is>
          <t>VÄSTERNORRLANDS LÄN</t>
        </is>
      </c>
      <c r="G2405" t="inlineStr">
        <is>
          <t>ÖRNSKÖLDSVIK</t>
        </is>
      </c>
      <c r="I2405" t="n">
        <v>2.8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s="2" t="inlineStr"/>
    </row>
    <row r="2406" ht="15" customHeight="1">
      <c r="A2406" t="inlineStr">
        <is>
          <t>A 25148-2026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46175</v>
      </c>
      <c r="E2406" s="1" t="n">
        <v>46218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1.3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s="2" t="inlineStr"/>
    </row>
    <row r="2407" ht="15" customHeight="1">
      <c r="A2407" t="inlineStr">
        <is>
          <t>A 46068-2025</t>
        </is>
      </c>
      <c r="B2407" t="inlineStr">
        <is>
          <t>avverkningsanmälan</t>
        </is>
      </c>
      <c r="C2407" t="inlineStr">
        <is>
          <t>Avverkning för att bevara och utveckla /försöksver</t>
        </is>
      </c>
      <c r="D2407" s="1" t="n">
        <v>45924</v>
      </c>
      <c r="E2407" s="1" t="n">
        <v>46218</v>
      </c>
      <c r="F2407" t="inlineStr">
        <is>
          <t>VÄSTERNORRLANDS LÄN</t>
        </is>
      </c>
      <c r="G2407" t="inlineStr">
        <is>
          <t>ÖRNSKÖLDSVIK</t>
        </is>
      </c>
      <c r="I2407" t="n">
        <v>3.5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s="2" t="inlineStr"/>
    </row>
    <row r="2408" ht="15" customHeight="1">
      <c r="A2408" t="inlineStr">
        <is>
          <t>A 14524-2026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46100</v>
      </c>
      <c r="E2408" s="1" t="n">
        <v>46218</v>
      </c>
      <c r="F2408" t="inlineStr">
        <is>
          <t>VÄSTERNORRLANDS LÄN</t>
        </is>
      </c>
      <c r="G2408" t="inlineStr">
        <is>
          <t>ÖRNSKÖLDSVIK</t>
        </is>
      </c>
      <c r="I2408" t="n">
        <v>2.5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s="2" t="inlineStr"/>
    </row>
    <row r="2409" ht="15" customHeight="1">
      <c r="A2409" t="inlineStr">
        <is>
          <t>A 24620-2026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46171</v>
      </c>
      <c r="E2409" s="1" t="n">
        <v>46218</v>
      </c>
      <c r="F2409" t="inlineStr">
        <is>
          <t>VÄSTERNORRLANDS LÄN</t>
        </is>
      </c>
      <c r="G2409" t="inlineStr">
        <is>
          <t>ÖRNSKÖLDSVIK</t>
        </is>
      </c>
      <c r="I2409" t="n">
        <v>4.9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s="2" t="inlineStr"/>
    </row>
    <row r="2410" ht="15" customHeight="1">
      <c r="A2410" t="inlineStr">
        <is>
          <t>A 25084-2026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46175</v>
      </c>
      <c r="E2410" s="1" t="n">
        <v>46218</v>
      </c>
      <c r="F2410" t="inlineStr">
        <is>
          <t>VÄSTERNORRLANDS LÄN</t>
        </is>
      </c>
      <c r="G2410" t="inlineStr">
        <is>
          <t>ÖRNSKÖLDSVIK</t>
        </is>
      </c>
      <c r="I2410" t="n">
        <v>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s="2" t="inlineStr"/>
    </row>
    <row r="2411" ht="15" customHeight="1">
      <c r="A2411" t="inlineStr">
        <is>
          <t>A 14075-2026</t>
        </is>
      </c>
      <c r="B2411" t="inlineStr">
        <is>
          <t>avverkningsanmälan</t>
        </is>
      </c>
      <c r="C2411" t="inlineStr">
        <is>
          <t>Avverkning för att bevara och utveckla /försöksver</t>
        </is>
      </c>
      <c r="D2411" s="1" t="n">
        <v>46099</v>
      </c>
      <c r="E2411" s="1" t="n">
        <v>46218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3.4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s="2" t="inlineStr"/>
    </row>
    <row r="2412" ht="15" customHeight="1">
      <c r="A2412" t="inlineStr">
        <is>
          <t>A 14631-2026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46101</v>
      </c>
      <c r="E2412" s="1" t="n">
        <v>46218</v>
      </c>
      <c r="F2412" t="inlineStr">
        <is>
          <t>VÄSTERNORRLANDS LÄN</t>
        </is>
      </c>
      <c r="G2412" t="inlineStr">
        <is>
          <t>ÖRNSKÖLDSVIK</t>
        </is>
      </c>
      <c r="I2412" t="n">
        <v>1.2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s="2" t="inlineStr"/>
    </row>
    <row r="2413" ht="15" customHeight="1">
      <c r="A2413" t="inlineStr">
        <is>
          <t>A 14637-2026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46101</v>
      </c>
      <c r="E2413" s="1" t="n">
        <v>46218</v>
      </c>
      <c r="F2413" t="inlineStr">
        <is>
          <t>VÄSTERNORRLANDS LÄN</t>
        </is>
      </c>
      <c r="G2413" t="inlineStr">
        <is>
          <t>ÖRNSKÖLDSVIK</t>
        </is>
      </c>
      <c r="I2413" t="n">
        <v>1.4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s="2" t="inlineStr"/>
    </row>
    <row r="2414" ht="15" customHeight="1">
      <c r="A2414" t="inlineStr">
        <is>
          <t>A 14623-2026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46101</v>
      </c>
      <c r="E2414" s="1" t="n">
        <v>46218</v>
      </c>
      <c r="F2414" t="inlineStr">
        <is>
          <t>VÄSTERNORRLANDS LÄN</t>
        </is>
      </c>
      <c r="G2414" t="inlineStr">
        <is>
          <t>ÖRNSKÖLDSVIK</t>
        </is>
      </c>
      <c r="I2414" t="n">
        <v>10.5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s="2" t="inlineStr"/>
    </row>
    <row r="2415" ht="15" customHeight="1">
      <c r="A2415" t="inlineStr">
        <is>
          <t>A 14705-2026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46101</v>
      </c>
      <c r="E2415" s="1" t="n">
        <v>46218</v>
      </c>
      <c r="F2415" t="inlineStr">
        <is>
          <t>VÄSTERNORRLANDS LÄN</t>
        </is>
      </c>
      <c r="G2415" t="inlineStr">
        <is>
          <t>ÖRNSKÖLDSVIK</t>
        </is>
      </c>
      <c r="I2415" t="n">
        <v>2.7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s="2" t="inlineStr"/>
    </row>
    <row r="2416" ht="15" customHeight="1">
      <c r="A2416" t="inlineStr">
        <is>
          <t>A 14677-2026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46101</v>
      </c>
      <c r="E2416" s="1" t="n">
        <v>46218</v>
      </c>
      <c r="F2416" t="inlineStr">
        <is>
          <t>VÄSTERNORRLANDS LÄN</t>
        </is>
      </c>
      <c r="G2416" t="inlineStr">
        <is>
          <t>ÖRNSKÖLDSVIK</t>
        </is>
      </c>
      <c r="I2416" t="n">
        <v>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s="2" t="inlineStr"/>
    </row>
    <row r="2417" ht="15" customHeight="1">
      <c r="A2417" t="inlineStr">
        <is>
          <t>A 14640-2026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46101</v>
      </c>
      <c r="E2417" s="1" t="n">
        <v>46218</v>
      </c>
      <c r="F2417" t="inlineStr">
        <is>
          <t>VÄSTERNORRLANDS LÄN</t>
        </is>
      </c>
      <c r="G2417" t="inlineStr">
        <is>
          <t>ÖRNSKÖLDSVIK</t>
        </is>
      </c>
      <c r="I2417" t="n">
        <v>5.5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s="2" t="inlineStr"/>
    </row>
    <row r="2418" ht="15" customHeight="1">
      <c r="A2418" t="inlineStr">
        <is>
          <t>A 15215-2026</t>
        </is>
      </c>
      <c r="B2418" t="inlineStr">
        <is>
          <t>avverkningsanmälan</t>
        </is>
      </c>
      <c r="C2418" t="inlineStr">
        <is>
          <t>Avverkning för annat ändamål</t>
        </is>
      </c>
      <c r="D2418" s="1" t="n">
        <v>46105</v>
      </c>
      <c r="E2418" s="1" t="n">
        <v>46218</v>
      </c>
      <c r="F2418" t="inlineStr">
        <is>
          <t>VÄSTERNORRLANDS LÄN</t>
        </is>
      </c>
      <c r="G2418" t="inlineStr">
        <is>
          <t>ÖRNSKÖLDSVIK</t>
        </is>
      </c>
      <c r="I2418" t="n">
        <v>0.3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s="2" t="inlineStr"/>
    </row>
    <row r="2419" ht="15" customHeight="1">
      <c r="A2419" t="inlineStr">
        <is>
          <t>A 15937-2026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46107</v>
      </c>
      <c r="E2419" s="1" t="n">
        <v>46218</v>
      </c>
      <c r="F2419" t="inlineStr">
        <is>
          <t>VÄSTERNORRLANDS LÄN</t>
        </is>
      </c>
      <c r="G2419" t="inlineStr">
        <is>
          <t>ÖRNSKÖLDSVIK</t>
        </is>
      </c>
      <c r="I2419" t="n">
        <v>2.9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s="2" t="inlineStr"/>
    </row>
    <row r="2420" ht="15" customHeight="1">
      <c r="A2420" t="inlineStr">
        <is>
          <t>A 16022-2026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46108</v>
      </c>
      <c r="E2420" s="1" t="n">
        <v>46218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SCA</t>
        </is>
      </c>
      <c r="I2420" t="n">
        <v>6.6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s="2" t="inlineStr"/>
    </row>
    <row r="2421" ht="15" customHeight="1">
      <c r="A2421" t="inlineStr">
        <is>
          <t>A 15936-2026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46107</v>
      </c>
      <c r="E2421" s="1" t="n">
        <v>46218</v>
      </c>
      <c r="F2421" t="inlineStr">
        <is>
          <t>VÄSTERNORRLANDS LÄN</t>
        </is>
      </c>
      <c r="G2421" t="inlineStr">
        <is>
          <t>ÖRNSKÖLDSVIK</t>
        </is>
      </c>
      <c r="I2421" t="n">
        <v>1.3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s="2" t="inlineStr"/>
    </row>
    <row r="2422" ht="15" customHeight="1">
      <c r="A2422" t="inlineStr">
        <is>
          <t>A 16394-2026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46111</v>
      </c>
      <c r="E2422" s="1" t="n">
        <v>46218</v>
      </c>
      <c r="F2422" t="inlineStr">
        <is>
          <t>VÄSTERNORRLANDS LÄN</t>
        </is>
      </c>
      <c r="G2422" t="inlineStr">
        <is>
          <t>ÖRNSKÖLDSVIK</t>
        </is>
      </c>
      <c r="I2422" t="n">
        <v>4.9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s="2" t="inlineStr"/>
    </row>
    <row r="2423" ht="15" customHeight="1">
      <c r="A2423" t="inlineStr">
        <is>
          <t>A 16252-2026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46111</v>
      </c>
      <c r="E2423" s="1" t="n">
        <v>46218</v>
      </c>
      <c r="F2423" t="inlineStr">
        <is>
          <t>VÄSTERNORRLANDS LÄN</t>
        </is>
      </c>
      <c r="G2423" t="inlineStr">
        <is>
          <t>ÖRNSKÖLDSVIK</t>
        </is>
      </c>
      <c r="I2423" t="n">
        <v>2.5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s="2" t="inlineStr"/>
    </row>
    <row r="2424" ht="15" customHeight="1">
      <c r="A2424" t="inlineStr">
        <is>
          <t>A 16240-2026</t>
        </is>
      </c>
      <c r="B2424" t="inlineStr">
        <is>
          <t>avverkningsanmälan</t>
        </is>
      </c>
      <c r="C2424" t="inlineStr">
        <is>
          <t>Avverkning för att bevara och utveckla /försöksver</t>
        </is>
      </c>
      <c r="D2424" s="1" t="n">
        <v>46111</v>
      </c>
      <c r="E2424" s="1" t="n">
        <v>46218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1.2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s="2" t="inlineStr"/>
    </row>
    <row r="2425" ht="15" customHeight="1">
      <c r="A2425" t="inlineStr">
        <is>
          <t>A 16389-2026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46111</v>
      </c>
      <c r="E2425" s="1" t="n">
        <v>46218</v>
      </c>
      <c r="F2425" t="inlineStr">
        <is>
          <t>VÄSTERNORRLANDS LÄN</t>
        </is>
      </c>
      <c r="G2425" t="inlineStr">
        <is>
          <t>ÖRNSKÖLDSVIK</t>
        </is>
      </c>
      <c r="I2425" t="n">
        <v>1.4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s="2" t="inlineStr"/>
    </row>
    <row r="2426" ht="15" customHeight="1">
      <c r="A2426" t="inlineStr">
        <is>
          <t>A 15590-2026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46106</v>
      </c>
      <c r="E2426" s="1" t="n">
        <v>46218</v>
      </c>
      <c r="F2426" t="inlineStr">
        <is>
          <t>VÄSTERNORRLANDS LÄN</t>
        </is>
      </c>
      <c r="G2426" t="inlineStr">
        <is>
          <t>ÖRNSKÖLDSVIK</t>
        </is>
      </c>
      <c r="I2426" t="n">
        <v>11.4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s="2" t="inlineStr"/>
    </row>
    <row r="2427" ht="15" customHeight="1">
      <c r="A2427" t="inlineStr">
        <is>
          <t>A 17075-2026</t>
        </is>
      </c>
      <c r="B2427" t="inlineStr">
        <is>
          <t>avverkningsanmälan</t>
        </is>
      </c>
      <c r="C2427" t="inlineStr">
        <is>
          <t>Avverkning för att bevara och utveckla /försöksver</t>
        </is>
      </c>
      <c r="D2427" s="1" t="n">
        <v>46114</v>
      </c>
      <c r="E2427" s="1" t="n">
        <v>46218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SCA</t>
        </is>
      </c>
      <c r="I2427" t="n">
        <v>3.9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s="2" t="inlineStr"/>
    </row>
    <row r="2428" ht="15" customHeight="1">
      <c r="A2428" t="inlineStr">
        <is>
          <t>A 17502-2026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46119</v>
      </c>
      <c r="E2428" s="1" t="n">
        <v>46218</v>
      </c>
      <c r="F2428" t="inlineStr">
        <is>
          <t>VÄSTERNORRLANDS LÄN</t>
        </is>
      </c>
      <c r="G2428" t="inlineStr">
        <is>
          <t>ÖRNSKÖLDSVIK</t>
        </is>
      </c>
      <c r="I2428" t="n">
        <v>3.7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s="2" t="inlineStr"/>
    </row>
    <row r="2429" ht="15" customHeight="1">
      <c r="A2429" t="inlineStr">
        <is>
          <t>A 17510-2026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46119</v>
      </c>
      <c r="E2429" s="1" t="n">
        <v>46218</v>
      </c>
      <c r="F2429" t="inlineStr">
        <is>
          <t>VÄSTERNORRLANDS LÄN</t>
        </is>
      </c>
      <c r="G2429" t="inlineStr">
        <is>
          <t>ÖRNSKÖLDSVIK</t>
        </is>
      </c>
      <c r="I2429" t="n">
        <v>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s="2" t="inlineStr"/>
    </row>
    <row r="2430" ht="15" customHeight="1">
      <c r="A2430" t="inlineStr">
        <is>
          <t>A 17523-2026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46120</v>
      </c>
      <c r="E2430" s="1" t="n">
        <v>46218</v>
      </c>
      <c r="F2430" t="inlineStr">
        <is>
          <t>VÄSTERNORRLANDS LÄN</t>
        </is>
      </c>
      <c r="G2430" t="inlineStr">
        <is>
          <t>ÖRNSKÖLDSVIK</t>
        </is>
      </c>
      <c r="I2430" t="n">
        <v>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s="2" t="inlineStr"/>
    </row>
    <row r="2431" ht="15" customHeight="1">
      <c r="A2431" t="inlineStr">
        <is>
          <t>A 17612-2026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46121</v>
      </c>
      <c r="E2431" s="1" t="n">
        <v>46218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0.9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s="2" t="inlineStr"/>
    </row>
    <row r="2432" ht="15" customHeight="1">
      <c r="A2432" t="inlineStr">
        <is>
          <t>A 17875-2026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46122</v>
      </c>
      <c r="E2432" s="1" t="n">
        <v>46218</v>
      </c>
      <c r="F2432" t="inlineStr">
        <is>
          <t>VÄSTERNORRLANDS LÄN</t>
        </is>
      </c>
      <c r="G2432" t="inlineStr">
        <is>
          <t>ÖRNSKÖLDSVIK</t>
        </is>
      </c>
      <c r="I2432" t="n">
        <v>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s="2" t="inlineStr"/>
    </row>
    <row r="2433" ht="15" customHeight="1">
      <c r="A2433" t="inlineStr">
        <is>
          <t>A 17622-2026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46121</v>
      </c>
      <c r="E2433" s="1" t="n">
        <v>46218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2.7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s="2" t="inlineStr"/>
    </row>
    <row r="2434" ht="15" customHeight="1">
      <c r="A2434" t="inlineStr">
        <is>
          <t>A 17636-2026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46121</v>
      </c>
      <c r="E2434" s="1" t="n">
        <v>46218</v>
      </c>
      <c r="F2434" t="inlineStr">
        <is>
          <t>VÄSTERNORRLANDS LÄN</t>
        </is>
      </c>
      <c r="G2434" t="inlineStr">
        <is>
          <t>ÖRNSKÖLDSVIK</t>
        </is>
      </c>
      <c r="I2434" t="n">
        <v>3.2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s="2" t="inlineStr"/>
    </row>
    <row r="2435" ht="15" customHeight="1">
      <c r="A2435" t="inlineStr">
        <is>
          <t>A 17947-2026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46122</v>
      </c>
      <c r="E2435" s="1" t="n">
        <v>46218</v>
      </c>
      <c r="F2435" t="inlineStr">
        <is>
          <t>VÄSTERNORRLANDS LÄN</t>
        </is>
      </c>
      <c r="G2435" t="inlineStr">
        <is>
          <t>ÖRNSKÖLDSVIK</t>
        </is>
      </c>
      <c r="I2435" t="n">
        <v>2.5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s="2" t="inlineStr"/>
    </row>
    <row r="2436" ht="15" customHeight="1">
      <c r="A2436" t="inlineStr">
        <is>
          <t>A 17704-2026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46121</v>
      </c>
      <c r="E2436" s="1" t="n">
        <v>46218</v>
      </c>
      <c r="F2436" t="inlineStr">
        <is>
          <t>VÄSTERNORRLANDS LÄN</t>
        </is>
      </c>
      <c r="G2436" t="inlineStr">
        <is>
          <t>ÖRNSKÖLDSVIK</t>
        </is>
      </c>
      <c r="I2436" t="n">
        <v>1.4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s="2" t="inlineStr"/>
    </row>
    <row r="2437" ht="15" customHeight="1">
      <c r="A2437" t="inlineStr">
        <is>
          <t>A 17634-2026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46121</v>
      </c>
      <c r="E2437" s="1" t="n">
        <v>46218</v>
      </c>
      <c r="F2437" t="inlineStr">
        <is>
          <t>VÄSTERNORRLANDS LÄN</t>
        </is>
      </c>
      <c r="G2437" t="inlineStr">
        <is>
          <t>ÖRNSKÖLDSVIK</t>
        </is>
      </c>
      <c r="I2437" t="n">
        <v>0.8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s="2" t="inlineStr"/>
    </row>
    <row r="2438" ht="15" customHeight="1">
      <c r="A2438" t="inlineStr">
        <is>
          <t>A 18026-2026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46125</v>
      </c>
      <c r="E2438" s="1" t="n">
        <v>46218</v>
      </c>
      <c r="F2438" t="inlineStr">
        <is>
          <t>VÄSTERNORRLANDS LÄN</t>
        </is>
      </c>
      <c r="G2438" t="inlineStr">
        <is>
          <t>ÖRNSKÖLDSVIK</t>
        </is>
      </c>
      <c r="I2438" t="n">
        <v>2.5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s="2" t="inlineStr"/>
    </row>
    <row r="2439" ht="15" customHeight="1">
      <c r="A2439" t="inlineStr">
        <is>
          <t>A 18170-2026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46125</v>
      </c>
      <c r="E2439" s="1" t="n">
        <v>46218</v>
      </c>
      <c r="F2439" t="inlineStr">
        <is>
          <t>VÄSTERNORRLANDS LÄN</t>
        </is>
      </c>
      <c r="G2439" t="inlineStr">
        <is>
          <t>ÖRNSKÖLDSVIK</t>
        </is>
      </c>
      <c r="I2439" t="n">
        <v>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s="2" t="inlineStr"/>
    </row>
    <row r="2440" ht="15" customHeight="1">
      <c r="A2440" t="inlineStr">
        <is>
          <t>A 18532-2026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46126</v>
      </c>
      <c r="E2440" s="1" t="n">
        <v>46218</v>
      </c>
      <c r="F2440" t="inlineStr">
        <is>
          <t>VÄSTERNORRLANDS LÄN</t>
        </is>
      </c>
      <c r="G2440" t="inlineStr">
        <is>
          <t>ÖRNSKÖLDSVIK</t>
        </is>
      </c>
      <c r="I2440" t="n">
        <v>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s="2" t="inlineStr"/>
    </row>
    <row r="2441" ht="15" customHeight="1">
      <c r="A2441" t="inlineStr">
        <is>
          <t>A 18344-2026</t>
        </is>
      </c>
      <c r="B2441" t="inlineStr">
        <is>
          <t>avverkningsanmälan</t>
        </is>
      </c>
      <c r="C2441" t="inlineStr">
        <is>
          <t>Avverkning för annat ändamål</t>
        </is>
      </c>
      <c r="D2441" s="1" t="n">
        <v>46125</v>
      </c>
      <c r="E2441" s="1" t="n">
        <v>46218</v>
      </c>
      <c r="F2441" t="inlineStr">
        <is>
          <t>VÄSTERNORRLANDS LÄN</t>
        </is>
      </c>
      <c r="G2441" t="inlineStr">
        <is>
          <t>ÖRNSKÖLDSVIK</t>
        </is>
      </c>
      <c r="I2441" t="n">
        <v>1.4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s="2" t="inlineStr"/>
    </row>
    <row r="2442" ht="15" customHeight="1">
      <c r="A2442" t="inlineStr">
        <is>
          <t>A 18014-2026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46125</v>
      </c>
      <c r="E2442" s="1" t="n">
        <v>46218</v>
      </c>
      <c r="F2442" t="inlineStr">
        <is>
          <t>VÄSTERNORRLANDS LÄN</t>
        </is>
      </c>
      <c r="G2442" t="inlineStr">
        <is>
          <t>ÖRNSKÖLDSVIK</t>
        </is>
      </c>
      <c r="I2442" t="n">
        <v>3.3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s="2" t="inlineStr"/>
    </row>
    <row r="2443" ht="15" customHeight="1">
      <c r="A2443" t="inlineStr">
        <is>
          <t>A 18028-2026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46125</v>
      </c>
      <c r="E2443" s="1" t="n">
        <v>46218</v>
      </c>
      <c r="F2443" t="inlineStr">
        <is>
          <t>VÄSTERNORRLANDS LÄN</t>
        </is>
      </c>
      <c r="G2443" t="inlineStr">
        <is>
          <t>ÖRNSKÖLDSVIK</t>
        </is>
      </c>
      <c r="I2443" t="n">
        <v>1.2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s="2" t="inlineStr"/>
    </row>
    <row r="2444" ht="15" customHeight="1">
      <c r="A2444" t="inlineStr">
        <is>
          <t>A 18009-2026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46125</v>
      </c>
      <c r="E2444" s="1" t="n">
        <v>46218</v>
      </c>
      <c r="F2444" t="inlineStr">
        <is>
          <t>VÄSTERNORRLANDS LÄN</t>
        </is>
      </c>
      <c r="G2444" t="inlineStr">
        <is>
          <t>ÖRNSKÖLDSVIK</t>
        </is>
      </c>
      <c r="I2444" t="n">
        <v>1.7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s="2" t="inlineStr"/>
    </row>
    <row r="2445" ht="15" customHeight="1">
      <c r="A2445" t="inlineStr">
        <is>
          <t>A 18363-2026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46125</v>
      </c>
      <c r="E2445" s="1" t="n">
        <v>46218</v>
      </c>
      <c r="F2445" t="inlineStr">
        <is>
          <t>VÄSTERNORRLANDS LÄN</t>
        </is>
      </c>
      <c r="G2445" t="inlineStr">
        <is>
          <t>ÖRNSKÖLDSVIK</t>
        </is>
      </c>
      <c r="I2445" t="n">
        <v>3.9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s="2" t="inlineStr"/>
    </row>
    <row r="2446" ht="15" customHeight="1">
      <c r="A2446" t="inlineStr">
        <is>
          <t>A 18370-2026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46125</v>
      </c>
      <c r="E2446" s="1" t="n">
        <v>46218</v>
      </c>
      <c r="F2446" t="inlineStr">
        <is>
          <t>VÄSTERNORRLANDS LÄN</t>
        </is>
      </c>
      <c r="G2446" t="inlineStr">
        <is>
          <t>ÖRNSKÖLDSVIK</t>
        </is>
      </c>
      <c r="I2446" t="n">
        <v>10.9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s="2" t="inlineStr"/>
    </row>
    <row r="2447" ht="15" customHeight="1">
      <c r="A2447" t="inlineStr">
        <is>
          <t>A 18953-2026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46127</v>
      </c>
      <c r="E2447" s="1" t="n">
        <v>46218</v>
      </c>
      <c r="F2447" t="inlineStr">
        <is>
          <t>VÄSTERNORRLANDS LÄN</t>
        </is>
      </c>
      <c r="G2447" t="inlineStr">
        <is>
          <t>ÖRNSKÖLDSVIK</t>
        </is>
      </c>
      <c r="I2447" t="n">
        <v>13.4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s="2" t="inlineStr"/>
    </row>
    <row r="2448" ht="15" customHeight="1">
      <c r="A2448" t="inlineStr">
        <is>
          <t>A 18976-2026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46129</v>
      </c>
      <c r="E2448" s="1" t="n">
        <v>46218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3.1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s="2" t="inlineStr"/>
    </row>
    <row r="2449" ht="15" customHeight="1">
      <c r="A2449" t="inlineStr">
        <is>
          <t>A 18861-2026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46129</v>
      </c>
      <c r="E2449" s="1" t="n">
        <v>46218</v>
      </c>
      <c r="F2449" t="inlineStr">
        <is>
          <t>VÄSTERNORRLANDS LÄN</t>
        </is>
      </c>
      <c r="G2449" t="inlineStr">
        <is>
          <t>ÖRNSKÖLDSVIK</t>
        </is>
      </c>
      <c r="I2449" t="n">
        <v>3.5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s="2" t="inlineStr"/>
    </row>
    <row r="2450" ht="15" customHeight="1">
      <c r="A2450" t="inlineStr">
        <is>
          <t>A 18860-2026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46129</v>
      </c>
      <c r="E2450" s="1" t="n">
        <v>46218</v>
      </c>
      <c r="F2450" t="inlineStr">
        <is>
          <t>VÄSTERNORRLANDS LÄN</t>
        </is>
      </c>
      <c r="G2450" t="inlineStr">
        <is>
          <t>ÖRNSKÖLDSVIK</t>
        </is>
      </c>
      <c r="I2450" t="n">
        <v>1.5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s="2" t="inlineStr"/>
    </row>
    <row r="2451" ht="15" customHeight="1">
      <c r="A2451" t="inlineStr">
        <is>
          <t>A 18906-2026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46129</v>
      </c>
      <c r="E2451" s="1" t="n">
        <v>46218</v>
      </c>
      <c r="F2451" t="inlineStr">
        <is>
          <t>VÄSTERNORRLANDS LÄN</t>
        </is>
      </c>
      <c r="G2451" t="inlineStr">
        <is>
          <t>ÖRNSKÖLDSVIK</t>
        </is>
      </c>
      <c r="I2451" t="n">
        <v>2.1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s="2" t="inlineStr"/>
    </row>
    <row r="2452" ht="15" customHeight="1">
      <c r="A2452" t="inlineStr">
        <is>
          <t>A 18630-2026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46127</v>
      </c>
      <c r="E2452" s="1" t="n">
        <v>46218</v>
      </c>
      <c r="F2452" t="inlineStr">
        <is>
          <t>VÄSTERNORRLANDS LÄN</t>
        </is>
      </c>
      <c r="G2452" t="inlineStr">
        <is>
          <t>ÖRNSKÖLDSVIK</t>
        </is>
      </c>
      <c r="I2452" t="n">
        <v>5.8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s="2" t="inlineStr"/>
    </row>
    <row r="2453" ht="15" customHeight="1">
      <c r="A2453" t="inlineStr">
        <is>
          <t>A 18641-2026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46128</v>
      </c>
      <c r="E2453" s="1" t="n">
        <v>46218</v>
      </c>
      <c r="F2453" t="inlineStr">
        <is>
          <t>VÄSTERNORRLANDS LÄN</t>
        </is>
      </c>
      <c r="G2453" t="inlineStr">
        <is>
          <t>ÖRNSKÖLDSVIK</t>
        </is>
      </c>
      <c r="I2453" t="n">
        <v>0.9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s="2" t="inlineStr"/>
    </row>
    <row r="2454" ht="15" customHeight="1">
      <c r="A2454" t="inlineStr">
        <is>
          <t>A 18715-2026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46128</v>
      </c>
      <c r="E2454" s="1" t="n">
        <v>46218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5.7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s="2" t="inlineStr"/>
    </row>
    <row r="2455" ht="15" customHeight="1">
      <c r="A2455" t="inlineStr">
        <is>
          <t>A 18862-2026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46129</v>
      </c>
      <c r="E2455" s="1" t="n">
        <v>46218</v>
      </c>
      <c r="F2455" t="inlineStr">
        <is>
          <t>VÄSTERNORRLANDS LÄN</t>
        </is>
      </c>
      <c r="G2455" t="inlineStr">
        <is>
          <t>ÖRNSKÖLDSVIK</t>
        </is>
      </c>
      <c r="I2455" t="n">
        <v>0.9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s="2" t="inlineStr"/>
    </row>
    <row r="2456" ht="15" customHeight="1">
      <c r="A2456" t="inlineStr">
        <is>
          <t>A 18933-2026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46129</v>
      </c>
      <c r="E2456" s="1" t="n">
        <v>46218</v>
      </c>
      <c r="F2456" t="inlineStr">
        <is>
          <t>VÄSTERNORRLANDS LÄN</t>
        </is>
      </c>
      <c r="G2456" t="inlineStr">
        <is>
          <t>ÖRNSKÖLDSVIK</t>
        </is>
      </c>
      <c r="I2456" t="n">
        <v>23.2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s="2" t="inlineStr"/>
    </row>
    <row r="2457" ht="15" customHeight="1">
      <c r="A2457" t="inlineStr">
        <is>
          <t>A 19651-2026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46134</v>
      </c>
      <c r="E2457" s="1" t="n">
        <v>46218</v>
      </c>
      <c r="F2457" t="inlineStr">
        <is>
          <t>VÄSTERNORRLANDS LÄN</t>
        </is>
      </c>
      <c r="G2457" t="inlineStr">
        <is>
          <t>ÖRNSKÖLDSVIK</t>
        </is>
      </c>
      <c r="I2457" t="n">
        <v>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s="2" t="inlineStr"/>
    </row>
    <row r="2458" ht="15" customHeight="1">
      <c r="A2458" t="inlineStr">
        <is>
          <t>A 25621-2026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46177</v>
      </c>
      <c r="E2458" s="1" t="n">
        <v>46218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SCA</t>
        </is>
      </c>
      <c r="I2458" t="n">
        <v>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s="2" t="inlineStr"/>
    </row>
    <row r="2459" ht="15" customHeight="1">
      <c r="A2459" t="inlineStr">
        <is>
          <t>A 25596-2026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46177</v>
      </c>
      <c r="E2459" s="1" t="n">
        <v>46218</v>
      </c>
      <c r="F2459" t="inlineStr">
        <is>
          <t>VÄSTERNORRLANDS LÄN</t>
        </is>
      </c>
      <c r="G2459" t="inlineStr">
        <is>
          <t>ÖRNSKÖLDSVIK</t>
        </is>
      </c>
      <c r="I2459" t="n">
        <v>9.699999999999999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s="2" t="inlineStr"/>
    </row>
    <row r="2460" ht="15" customHeight="1">
      <c r="A2460" t="inlineStr">
        <is>
          <t>A 25436-2026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46177</v>
      </c>
      <c r="E2460" s="1" t="n">
        <v>46218</v>
      </c>
      <c r="F2460" t="inlineStr">
        <is>
          <t>VÄSTERNORRLANDS LÄN</t>
        </is>
      </c>
      <c r="G2460" t="inlineStr">
        <is>
          <t>ÖRNSKÖLDSVIK</t>
        </is>
      </c>
      <c r="I2460" t="n">
        <v>4.1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s="2" t="inlineStr"/>
    </row>
    <row r="2461" ht="15" customHeight="1">
      <c r="A2461" t="inlineStr">
        <is>
          <t>A 38981-2025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45888</v>
      </c>
      <c r="E2461" s="1" t="n">
        <v>46218</v>
      </c>
      <c r="F2461" t="inlineStr">
        <is>
          <t>VÄSTERNORRLANDS LÄN</t>
        </is>
      </c>
      <c r="G2461" t="inlineStr">
        <is>
          <t>ÖRNSKÖLDSVIK</t>
        </is>
      </c>
      <c r="I2461" t="n">
        <v>1.3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s="2" t="inlineStr"/>
    </row>
    <row r="2462" ht="15" customHeight="1">
      <c r="A2462" t="inlineStr">
        <is>
          <t>A 19655-2026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46134</v>
      </c>
      <c r="E2462" s="1" t="n">
        <v>46218</v>
      </c>
      <c r="F2462" t="inlineStr">
        <is>
          <t>VÄSTERNORRLANDS LÄN</t>
        </is>
      </c>
      <c r="G2462" t="inlineStr">
        <is>
          <t>ÖRNSKÖLDSVIK</t>
        </is>
      </c>
      <c r="I2462" t="n">
        <v>0.8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s="2" t="inlineStr"/>
    </row>
    <row r="2463" ht="15" customHeight="1">
      <c r="A2463" t="inlineStr">
        <is>
          <t>A 19490-2026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46134</v>
      </c>
      <c r="E2463" s="1" t="n">
        <v>46218</v>
      </c>
      <c r="F2463" t="inlineStr">
        <is>
          <t>VÄSTERNORRLANDS LÄN</t>
        </is>
      </c>
      <c r="G2463" t="inlineStr">
        <is>
          <t>ÖRNSKÖLDSVIK</t>
        </is>
      </c>
      <c r="I2463" t="n">
        <v>1.5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s="2" t="inlineStr"/>
    </row>
    <row r="2464" ht="15" customHeight="1">
      <c r="A2464" t="inlineStr">
        <is>
          <t>A 19492-2026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46134</v>
      </c>
      <c r="E2464" s="1" t="n">
        <v>46218</v>
      </c>
      <c r="F2464" t="inlineStr">
        <is>
          <t>VÄSTERNORRLANDS LÄN</t>
        </is>
      </c>
      <c r="G2464" t="inlineStr">
        <is>
          <t>ÖRNSKÖLDSVIK</t>
        </is>
      </c>
      <c r="I2464" t="n">
        <v>1.8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s="2" t="inlineStr"/>
    </row>
    <row r="2465" ht="15" customHeight="1">
      <c r="A2465" t="inlineStr">
        <is>
          <t>A 19493-2026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46134</v>
      </c>
      <c r="E2465" s="1" t="n">
        <v>46218</v>
      </c>
      <c r="F2465" t="inlineStr">
        <is>
          <t>VÄSTERNORRLANDS LÄN</t>
        </is>
      </c>
      <c r="G2465" t="inlineStr">
        <is>
          <t>ÖRNSKÖLDSVIK</t>
        </is>
      </c>
      <c r="I2465" t="n">
        <v>0.8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s="2" t="inlineStr"/>
    </row>
    <row r="2466" ht="15" customHeight="1">
      <c r="A2466" t="inlineStr">
        <is>
          <t>A 19658-2026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46134</v>
      </c>
      <c r="E2466" s="1" t="n">
        <v>46218</v>
      </c>
      <c r="F2466" t="inlineStr">
        <is>
          <t>VÄSTERNORRLANDS LÄN</t>
        </is>
      </c>
      <c r="G2466" t="inlineStr">
        <is>
          <t>ÖRNSKÖLDSVIK</t>
        </is>
      </c>
      <c r="I2466" t="n">
        <v>1.6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s="2" t="inlineStr"/>
    </row>
    <row r="2467" ht="15" customHeight="1">
      <c r="A2467" t="inlineStr">
        <is>
          <t>A 25614-2026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46177</v>
      </c>
      <c r="E2467" s="1" t="n">
        <v>46218</v>
      </c>
      <c r="F2467" t="inlineStr">
        <is>
          <t>VÄSTERNORRLANDS LÄN</t>
        </is>
      </c>
      <c r="G2467" t="inlineStr">
        <is>
          <t>ÖRNSKÖLDSVIK</t>
        </is>
      </c>
      <c r="I2467" t="n">
        <v>14.3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s="2" t="inlineStr"/>
    </row>
    <row r="2468" ht="15" customHeight="1">
      <c r="A2468" t="inlineStr">
        <is>
          <t>A 25619-2026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46177</v>
      </c>
      <c r="E2468" s="1" t="n">
        <v>46218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SCA</t>
        </is>
      </c>
      <c r="I2468" t="n">
        <v>1.7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s="2" t="inlineStr"/>
    </row>
    <row r="2469" ht="15" customHeight="1">
      <c r="A2469" t="inlineStr">
        <is>
          <t>A 19657-2026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46134</v>
      </c>
      <c r="E2469" s="1" t="n">
        <v>46218</v>
      </c>
      <c r="F2469" t="inlineStr">
        <is>
          <t>VÄSTERNORRLANDS LÄN</t>
        </is>
      </c>
      <c r="G2469" t="inlineStr">
        <is>
          <t>ÖRNSKÖLDSVIK</t>
        </is>
      </c>
      <c r="I2469" t="n">
        <v>0.6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s="2" t="inlineStr"/>
    </row>
    <row r="2470" ht="15" customHeight="1">
      <c r="A2470" t="inlineStr">
        <is>
          <t>A 19660-2026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46134</v>
      </c>
      <c r="E2470" s="1" t="n">
        <v>46218</v>
      </c>
      <c r="F2470" t="inlineStr">
        <is>
          <t>VÄSTERNORRLANDS LÄN</t>
        </is>
      </c>
      <c r="G2470" t="inlineStr">
        <is>
          <t>ÖRNSKÖLDSVIK</t>
        </is>
      </c>
      <c r="I2470" t="n">
        <v>1.6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s="2" t="inlineStr"/>
    </row>
    <row r="2471" ht="15" customHeight="1">
      <c r="A2471" t="inlineStr">
        <is>
          <t>A 25446-2026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46177</v>
      </c>
      <c r="E2471" s="1" t="n">
        <v>46218</v>
      </c>
      <c r="F2471" t="inlineStr">
        <is>
          <t>VÄSTERNORRLANDS LÄN</t>
        </is>
      </c>
      <c r="G2471" t="inlineStr">
        <is>
          <t>ÖRNSKÖLDSVIK</t>
        </is>
      </c>
      <c r="I2471" t="n">
        <v>1.2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s="2" t="inlineStr"/>
    </row>
    <row r="2472" ht="15" customHeight="1">
      <c r="A2472" t="inlineStr">
        <is>
          <t>A 25371-2026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46176</v>
      </c>
      <c r="E2472" s="1" t="n">
        <v>46218</v>
      </c>
      <c r="F2472" t="inlineStr">
        <is>
          <t>VÄSTERNORRLANDS LÄN</t>
        </is>
      </c>
      <c r="G2472" t="inlineStr">
        <is>
          <t>ÖRNSKÖLDSVIK</t>
        </is>
      </c>
      <c r="I2472" t="n">
        <v>8.5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s="2" t="inlineStr"/>
    </row>
    <row r="2473" ht="15" customHeight="1">
      <c r="A2473" t="inlineStr">
        <is>
          <t>A 42035-2025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45903</v>
      </c>
      <c r="E2473" s="1" t="n">
        <v>46218</v>
      </c>
      <c r="F2473" t="inlineStr">
        <is>
          <t>VÄSTERNORRLANDS LÄN</t>
        </is>
      </c>
      <c r="G2473" t="inlineStr">
        <is>
          <t>ÖRNSKÖLDSVIK</t>
        </is>
      </c>
      <c r="I2473" t="n">
        <v>6.8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s="2" t="inlineStr"/>
    </row>
    <row r="2474" ht="15" customHeight="1">
      <c r="A2474" t="inlineStr">
        <is>
          <t>A 20325-2026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46139</v>
      </c>
      <c r="E2474" s="1" t="n">
        <v>46218</v>
      </c>
      <c r="F2474" t="inlineStr">
        <is>
          <t>VÄSTERNORRLANDS LÄN</t>
        </is>
      </c>
      <c r="G2474" t="inlineStr">
        <is>
          <t>ÖRNSKÖLDSVIK</t>
        </is>
      </c>
      <c r="I2474" t="n">
        <v>3.5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s="2" t="inlineStr"/>
    </row>
    <row r="2475" ht="15" customHeight="1">
      <c r="A2475" t="inlineStr">
        <is>
          <t>A 20294-2026</t>
        </is>
      </c>
      <c r="B2475" t="inlineStr">
        <is>
          <t>avverkningsanmälan</t>
        </is>
      </c>
      <c r="C2475" t="inlineStr">
        <is>
          <t>Avverkning för att bevara och utveckla /försöksver</t>
        </is>
      </c>
      <c r="D2475" s="1" t="n">
        <v>46139</v>
      </c>
      <c r="E2475" s="1" t="n">
        <v>46218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0.8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s="2" t="inlineStr"/>
    </row>
    <row r="2476" ht="15" customHeight="1">
      <c r="A2476" t="inlineStr">
        <is>
          <t>A 21890-2023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45068</v>
      </c>
      <c r="E2476" s="1" t="n">
        <v>46218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Kyrkan</t>
        </is>
      </c>
      <c r="I2476" t="n">
        <v>1.5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s="2" t="inlineStr"/>
    </row>
    <row r="2477" ht="15" customHeight="1">
      <c r="A2477" t="inlineStr">
        <is>
          <t>A 45671-2025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45923</v>
      </c>
      <c r="E2477" s="1" t="n">
        <v>46218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3.7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s="2" t="inlineStr"/>
    </row>
    <row r="2478" ht="15" customHeight="1">
      <c r="A2478" t="inlineStr">
        <is>
          <t>A 25950-2026</t>
        </is>
      </c>
      <c r="B2478" t="inlineStr">
        <is>
          <t>avverkningsanmälan</t>
        </is>
      </c>
      <c r="C2478" t="inlineStr">
        <is>
          <t>Avverkning för annat ändamål</t>
        </is>
      </c>
      <c r="D2478" s="1" t="n">
        <v>46181</v>
      </c>
      <c r="E2478" s="1" t="n">
        <v>46218</v>
      </c>
      <c r="F2478" t="inlineStr">
        <is>
          <t>VÄSTERNORRLANDS LÄN</t>
        </is>
      </c>
      <c r="G2478" t="inlineStr">
        <is>
          <t>ÖRNSKÖLDSVIK</t>
        </is>
      </c>
      <c r="I2478" t="n">
        <v>0.2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s="2" t="inlineStr"/>
    </row>
    <row r="2479" ht="15" customHeight="1">
      <c r="A2479" t="inlineStr">
        <is>
          <t>A 62865-2025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46008</v>
      </c>
      <c r="E2479" s="1" t="n">
        <v>46218</v>
      </c>
      <c r="F2479" t="inlineStr">
        <is>
          <t>VÄSTERNORRLANDS LÄN</t>
        </is>
      </c>
      <c r="G2479" t="inlineStr">
        <is>
          <t>ÖRNSKÖLDSVIK</t>
        </is>
      </c>
      <c r="I2479" t="n">
        <v>11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s="2" t="inlineStr"/>
    </row>
    <row r="2480" ht="15" customHeight="1">
      <c r="A2480" t="inlineStr">
        <is>
          <t>S 513-2024</t>
        </is>
      </c>
      <c r="B2480" t="inlineStr">
        <is>
          <t>samrådsanmälan</t>
        </is>
      </c>
      <c r="C2480" t="inlineStr">
        <is>
          <t>Åtgärd i nyckelbiotop</t>
        </is>
      </c>
      <c r="D2480" s="1" t="n">
        <v>45345</v>
      </c>
      <c r="E2480" s="1" t="n">
        <v>46218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14.1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s="2" t="inlineStr"/>
    </row>
    <row r="2481" ht="15" customHeight="1">
      <c r="A2481" t="inlineStr">
        <is>
          <t>S 5167-2021</t>
        </is>
      </c>
      <c r="B2481" t="inlineStr">
        <is>
          <t>samrådsanmälan</t>
        </is>
      </c>
      <c r="C2481" t="inlineStr">
        <is>
          <t>Skogsbilväg</t>
        </is>
      </c>
      <c r="D2481" s="1" t="n">
        <v>44424</v>
      </c>
      <c r="E2481" s="1" t="n">
        <v>46218</v>
      </c>
      <c r="F2481" t="inlineStr">
        <is>
          <t>VÄSTERNORRLANDS LÄN</t>
        </is>
      </c>
      <c r="G2481" t="inlineStr">
        <is>
          <t>ÖRNSKÖLDSVIK</t>
        </is>
      </c>
      <c r="I2481" t="n">
        <v>7.1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s="2" t="inlineStr"/>
    </row>
    <row r="2482" ht="15" customHeight="1">
      <c r="A2482" t="inlineStr">
        <is>
          <t>S 1181-2024</t>
        </is>
      </c>
      <c r="B2482" t="inlineStr">
        <is>
          <t>samrådsanmälan</t>
        </is>
      </c>
      <c r="C2482" t="inlineStr">
        <is>
          <t>Annan skogsbruksåtgärd</t>
        </is>
      </c>
      <c r="D2482" s="1" t="n">
        <v>45396</v>
      </c>
      <c r="E2482" s="1" t="n">
        <v>46218</v>
      </c>
      <c r="F2482" t="inlineStr">
        <is>
          <t>VÄSTERNORRLANDS LÄN</t>
        </is>
      </c>
      <c r="G2482" t="inlineStr">
        <is>
          <t>ÖRNSKÖLDSVIK</t>
        </is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s="2" t="inlineStr"/>
    </row>
    <row r="2483" ht="15" customHeight="1">
      <c r="A2483" t="inlineStr">
        <is>
          <t>S 4508-2024</t>
        </is>
      </c>
      <c r="B2483" t="inlineStr">
        <is>
          <t>samrådsanmälan</t>
        </is>
      </c>
      <c r="C2483" t="inlineStr">
        <is>
          <t>Annan skogsbruksåtgärd</t>
        </is>
      </c>
      <c r="D2483" s="1" t="n">
        <v>45596</v>
      </c>
      <c r="E2483" s="1" t="n">
        <v>46218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10.8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s="2" t="inlineStr"/>
    </row>
    <row r="2484" ht="15" customHeight="1">
      <c r="A2484" t="inlineStr">
        <is>
          <t>S 5080-2024</t>
        </is>
      </c>
      <c r="B2484" t="inlineStr">
        <is>
          <t>samrådsanmälan</t>
        </is>
      </c>
      <c r="C2484" t="inlineStr">
        <is>
          <t>Annan skogsbruksåtgärd</t>
        </is>
      </c>
      <c r="D2484" s="1" t="n">
        <v>45639</v>
      </c>
      <c r="E2484" s="1" t="n">
        <v>46218</v>
      </c>
      <c r="F2484" t="inlineStr">
        <is>
          <t>VÄSTERNORRLANDS LÄN</t>
        </is>
      </c>
      <c r="G2484" t="inlineStr">
        <is>
          <t>ÖRNSKÖLDSVIK</t>
        </is>
      </c>
      <c r="I2484" t="n">
        <v>0.4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s="2" t="inlineStr"/>
    </row>
    <row r="2485" ht="15" customHeight="1">
      <c r="A2485" t="inlineStr">
        <is>
          <t>S 2160-2022</t>
        </is>
      </c>
      <c r="B2485" t="inlineStr">
        <is>
          <t>samrådsanmälan</t>
        </is>
      </c>
      <c r="C2485" t="inlineStr">
        <is>
          <t>Annan skogsbruksåtgärd</t>
        </is>
      </c>
      <c r="D2485" s="1" t="n">
        <v>44677</v>
      </c>
      <c r="E2485" s="1" t="n">
        <v>46218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17.8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s="2" t="inlineStr"/>
    </row>
    <row r="2486" ht="15" customHeight="1">
      <c r="A2486" t="inlineStr">
        <is>
          <t>S 880-2022</t>
        </is>
      </c>
      <c r="B2486" t="inlineStr">
        <is>
          <t>samrådsanmälan</t>
        </is>
      </c>
      <c r="C2486" t="inlineStr">
        <is>
          <t>Skogsgödsling</t>
        </is>
      </c>
      <c r="D2486" s="1" t="n">
        <v>44606</v>
      </c>
      <c r="E2486" s="1" t="n">
        <v>46218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SCA</t>
        </is>
      </c>
      <c r="I2486" t="n">
        <v>122.8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s="2" t="inlineStr"/>
    </row>
    <row r="2487" ht="15" customHeight="1">
      <c r="A2487" t="inlineStr">
        <is>
          <t>S 1543-2022</t>
        </is>
      </c>
      <c r="B2487" t="inlineStr">
        <is>
          <t>samrådsanmälan</t>
        </is>
      </c>
      <c r="C2487" t="inlineStr">
        <is>
          <t>Skogsgödsling</t>
        </is>
      </c>
      <c r="D2487" s="1" t="n">
        <v>44642</v>
      </c>
      <c r="E2487" s="1" t="n">
        <v>46218</v>
      </c>
      <c r="F2487" t="inlineStr">
        <is>
          <t>VÄSTERNORRLANDS LÄN</t>
        </is>
      </c>
      <c r="G2487" t="inlineStr">
        <is>
          <t>ÖRNSKÖLDSVIK</t>
        </is>
      </c>
      <c r="I2487" t="n">
        <v>10.4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s="2" t="inlineStr"/>
    </row>
    <row r="2488" ht="15" customHeight="1">
      <c r="A2488" t="inlineStr">
        <is>
          <t>S 1443-2023</t>
        </is>
      </c>
      <c r="B2488" t="inlineStr">
        <is>
          <t>samrådsanmälan</t>
        </is>
      </c>
      <c r="C2488" t="inlineStr">
        <is>
          <t>Annan skogsbruksåtgärd</t>
        </is>
      </c>
      <c r="D2488" s="1" t="n">
        <v>45048</v>
      </c>
      <c r="E2488" s="1" t="n">
        <v>46218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8.9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s="2" t="inlineStr"/>
    </row>
    <row r="2489" ht="15" customHeight="1">
      <c r="A2489" t="inlineStr">
        <is>
          <t>S 4686-2022</t>
        </is>
      </c>
      <c r="B2489" t="inlineStr">
        <is>
          <t>samrådsanmälan</t>
        </is>
      </c>
      <c r="C2489" t="inlineStr">
        <is>
          <t>Skogsbilväg</t>
        </is>
      </c>
      <c r="D2489" s="1" t="n">
        <v>44796</v>
      </c>
      <c r="E2489" s="1" t="n">
        <v>46218</v>
      </c>
      <c r="F2489" t="inlineStr">
        <is>
          <t>VÄSTERNORRLANDS LÄN</t>
        </is>
      </c>
      <c r="G2489" t="inlineStr">
        <is>
          <t>ÖRNSKÖLDSVIK</t>
        </is>
      </c>
      <c r="I2489" t="n">
        <v>1.2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s="2" t="inlineStr"/>
    </row>
    <row r="2490" ht="15" customHeight="1">
      <c r="A2490" t="inlineStr">
        <is>
          <t>S 843-2025</t>
        </is>
      </c>
      <c r="B2490" t="inlineStr">
        <is>
          <t>samrådsanmälan</t>
        </is>
      </c>
      <c r="C2490" t="inlineStr">
        <is>
          <t>Skogsgödsling</t>
        </is>
      </c>
      <c r="D2490" s="1" t="n">
        <v>45733</v>
      </c>
      <c r="E2490" s="1" t="n">
        <v>46218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SCA</t>
        </is>
      </c>
      <c r="I2490" t="n">
        <v>97.8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s="2" t="inlineStr"/>
    </row>
    <row r="2491" ht="15" customHeight="1">
      <c r="A2491" t="inlineStr">
        <is>
          <t>S 839-2025</t>
        </is>
      </c>
      <c r="B2491" t="inlineStr">
        <is>
          <t>samrådsanmälan</t>
        </is>
      </c>
      <c r="C2491" t="inlineStr">
        <is>
          <t>Skogsgödsling</t>
        </is>
      </c>
      <c r="D2491" s="1" t="n">
        <v>45733</v>
      </c>
      <c r="E2491" s="1" t="n">
        <v>46218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108.5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s="2" t="inlineStr"/>
    </row>
    <row r="2492" ht="15" customHeight="1">
      <c r="A2492" t="inlineStr">
        <is>
          <t>S 1506-2025</t>
        </is>
      </c>
      <c r="B2492" t="inlineStr">
        <is>
          <t>samrådsanmälan</t>
        </is>
      </c>
      <c r="C2492" t="inlineStr">
        <is>
          <t>Skogsgödsling</t>
        </is>
      </c>
      <c r="D2492" s="1" t="n">
        <v>45790</v>
      </c>
      <c r="E2492" s="1" t="n">
        <v>46218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SCA</t>
        </is>
      </c>
      <c r="I2492" t="n">
        <v>44.7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s="2" t="inlineStr"/>
    </row>
    <row r="2493" ht="15" customHeight="1">
      <c r="A2493" t="inlineStr">
        <is>
          <t>S 979-2026</t>
        </is>
      </c>
      <c r="B2493" t="inlineStr">
        <is>
          <t>samrådsanmälan</t>
        </is>
      </c>
      <c r="C2493" t="inlineStr">
        <is>
          <t>Annan skogsbruksåtgärd</t>
        </is>
      </c>
      <c r="D2493" s="1" t="n">
        <v>46114</v>
      </c>
      <c r="E2493" s="1" t="n">
        <v>46218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3.9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s="2" t="inlineStr"/>
    </row>
    <row r="2494" ht="15" customHeight="1">
      <c r="A2494" t="inlineStr">
        <is>
          <t>S 982-2026</t>
        </is>
      </c>
      <c r="B2494" t="inlineStr">
        <is>
          <t>samrådsanmälan</t>
        </is>
      </c>
      <c r="C2494" t="inlineStr">
        <is>
          <t>Annan skogsbruksåtgärd</t>
        </is>
      </c>
      <c r="D2494" s="1" t="n">
        <v>46114</v>
      </c>
      <c r="E2494" s="1" t="n">
        <v>46218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s="2" t="inlineStr"/>
    </row>
    <row r="2495" ht="15" customHeight="1">
      <c r="A2495" t="inlineStr">
        <is>
          <t>S 980-2026</t>
        </is>
      </c>
      <c r="B2495" t="inlineStr">
        <is>
          <t>samrådsanmälan</t>
        </is>
      </c>
      <c r="C2495" t="inlineStr">
        <is>
          <t>Annan skogsbruksåtgärd</t>
        </is>
      </c>
      <c r="D2495" s="1" t="n">
        <v>46114</v>
      </c>
      <c r="E2495" s="1" t="n">
        <v>46218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0.9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s="2" t="inlineStr"/>
    </row>
    <row r="2496" ht="15" customHeight="1">
      <c r="A2496" t="inlineStr">
        <is>
          <t>S 1007-2026</t>
        </is>
      </c>
      <c r="B2496" t="inlineStr">
        <is>
          <t>samrådsanmälan</t>
        </is>
      </c>
      <c r="C2496" t="inlineStr">
        <is>
          <t>Annan skogsbruksåtgärd</t>
        </is>
      </c>
      <c r="D2496" s="1" t="n">
        <v>46120</v>
      </c>
      <c r="E2496" s="1" t="n">
        <v>46218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3.3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s="2" t="inlineStr"/>
    </row>
    <row r="2497" ht="15" customHeight="1">
      <c r="A2497" t="inlineStr">
        <is>
          <t>S 1076-2026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46128</v>
      </c>
      <c r="E2497" s="1" t="n">
        <v>46218</v>
      </c>
      <c r="F2497" t="inlineStr">
        <is>
          <t>VÄSTERNORRLANDS LÄN</t>
        </is>
      </c>
      <c r="G2497" t="inlineStr">
        <is>
          <t>ÖRNSKÖLDSVIK</t>
        </is>
      </c>
      <c r="I2497" t="n">
        <v>11.3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s="2" t="inlineStr"/>
    </row>
    <row r="2498" ht="15" customHeight="1">
      <c r="A2498" t="inlineStr">
        <is>
          <t>S 1100-2026</t>
        </is>
      </c>
      <c r="B2498" t="inlineStr">
        <is>
          <t>samrådsanmälan</t>
        </is>
      </c>
      <c r="C2498" t="inlineStr">
        <is>
          <t>Skogsgödsling</t>
        </is>
      </c>
      <c r="D2498" s="1" t="n">
        <v>46132</v>
      </c>
      <c r="E2498" s="1" t="n">
        <v>46218</v>
      </c>
      <c r="F2498" t="inlineStr">
        <is>
          <t>VÄSTERNORRLANDS LÄN</t>
        </is>
      </c>
      <c r="G2498" t="inlineStr">
        <is>
          <t>ÖRNSKÖLDSVIK</t>
        </is>
      </c>
      <c r="I2498" t="n">
        <v>28.2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s="2" t="inlineStr"/>
    </row>
    <row r="2499" ht="15" customHeight="1">
      <c r="A2499" t="inlineStr">
        <is>
          <t>S 1087-2026</t>
        </is>
      </c>
      <c r="B2499" t="inlineStr">
        <is>
          <t>samrådsanmälan</t>
        </is>
      </c>
      <c r="C2499" t="inlineStr">
        <is>
          <t>Skogsgödsling</t>
        </is>
      </c>
      <c r="D2499" s="1" t="n">
        <v>46132</v>
      </c>
      <c r="E2499" s="1" t="n">
        <v>46218</v>
      </c>
      <c r="F2499" t="inlineStr">
        <is>
          <t>VÄSTERNORRLANDS LÄN</t>
        </is>
      </c>
      <c r="G2499" t="inlineStr">
        <is>
          <t>ÖRNSKÖLDSVIK</t>
        </is>
      </c>
      <c r="I2499" t="n">
        <v>16.8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s="2" t="inlineStr"/>
    </row>
    <row r="2500" ht="15" customHeight="1">
      <c r="A2500" t="inlineStr">
        <is>
          <t>S 1101-2026</t>
        </is>
      </c>
      <c r="B2500" t="inlineStr">
        <is>
          <t>samrådsanmälan</t>
        </is>
      </c>
      <c r="C2500" t="inlineStr">
        <is>
          <t>Skogsgödsling</t>
        </is>
      </c>
      <c r="D2500" s="1" t="n">
        <v>46132</v>
      </c>
      <c r="E2500" s="1" t="n">
        <v>46218</v>
      </c>
      <c r="F2500" t="inlineStr">
        <is>
          <t>VÄSTERNORRLANDS LÄN</t>
        </is>
      </c>
      <c r="G2500" t="inlineStr">
        <is>
          <t>ÖRNSKÖLDSVIK</t>
        </is>
      </c>
      <c r="I2500" t="n">
        <v>4.7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s="2" t="inlineStr"/>
    </row>
    <row r="2501" ht="15" customHeight="1">
      <c r="A2501" t="inlineStr">
        <is>
          <t>S 1159-2026</t>
        </is>
      </c>
      <c r="B2501" t="inlineStr">
        <is>
          <t>samrådsanmälan</t>
        </is>
      </c>
      <c r="C2501" t="inlineStr">
        <is>
          <t>Skogsgödsling</t>
        </is>
      </c>
      <c r="D2501" s="1" t="n">
        <v>46134</v>
      </c>
      <c r="E2501" s="1" t="n">
        <v>46218</v>
      </c>
      <c r="F2501" t="inlineStr">
        <is>
          <t>VÄSTERNORRLANDS LÄN</t>
        </is>
      </c>
      <c r="G2501" t="inlineStr">
        <is>
          <t>ÖRNSKÖLDSVIK</t>
        </is>
      </c>
      <c r="I2501" t="n">
        <v>24.2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s="2" t="inlineStr"/>
    </row>
    <row r="2502" ht="15" customHeight="1">
      <c r="A2502" t="inlineStr">
        <is>
          <t>S 1166-2026</t>
        </is>
      </c>
      <c r="B2502" t="inlineStr">
        <is>
          <t>samrådsanmälan</t>
        </is>
      </c>
      <c r="C2502" t="inlineStr">
        <is>
          <t>Annan skogsbruksåtgärd</t>
        </is>
      </c>
      <c r="D2502" s="1" t="n">
        <v>46135</v>
      </c>
      <c r="E2502" s="1" t="n">
        <v>46218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SCA</t>
        </is>
      </c>
      <c r="I2502" t="n">
        <v>6.7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s="2" t="inlineStr"/>
    </row>
    <row r="2503" ht="15" customHeight="1">
      <c r="A2503" t="inlineStr">
        <is>
          <t>S 1753-2026</t>
        </is>
      </c>
      <c r="B2503" t="inlineStr">
        <is>
          <t>samrådsanmälan</t>
        </is>
      </c>
      <c r="C2503" t="inlineStr">
        <is>
          <t>Annan skogsbruksåtgärd</t>
        </is>
      </c>
      <c r="D2503" s="1" t="n">
        <v>46184</v>
      </c>
      <c r="E2503" s="1" t="n">
        <v>46218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SCA</t>
        </is>
      </c>
      <c r="I2503" t="n">
        <v>2.6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s="2" t="inlineStr"/>
    </row>
    <row r="2504" ht="15" customHeight="1">
      <c r="A2504" t="inlineStr">
        <is>
          <t>S 1292-2026</t>
        </is>
      </c>
      <c r="B2504" t="inlineStr">
        <is>
          <t>samrådsanmälan</t>
        </is>
      </c>
      <c r="C2504" t="inlineStr">
        <is>
          <t>Skogsgödsling</t>
        </is>
      </c>
      <c r="D2504" s="1" t="n">
        <v>46148</v>
      </c>
      <c r="E2504" s="1" t="n">
        <v>46218</v>
      </c>
      <c r="F2504" t="inlineStr">
        <is>
          <t>VÄSTERNORRLANDS LÄN</t>
        </is>
      </c>
      <c r="G2504" t="inlineStr">
        <is>
          <t>ÖRNSKÖLDSVIK</t>
        </is>
      </c>
      <c r="I2504" t="n">
        <v>11.1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s="2" t="inlineStr"/>
    </row>
    <row r="2505" ht="15" customHeight="1">
      <c r="A2505" t="inlineStr">
        <is>
          <t>S 1309-2026</t>
        </is>
      </c>
      <c r="B2505" t="inlineStr">
        <is>
          <t>samrådsanmälan</t>
        </is>
      </c>
      <c r="C2505" t="inlineStr">
        <is>
          <t>Skogsgödsling</t>
        </is>
      </c>
      <c r="D2505" s="1" t="n">
        <v>46148</v>
      </c>
      <c r="E2505" s="1" t="n">
        <v>46218</v>
      </c>
      <c r="F2505" t="inlineStr">
        <is>
          <t>VÄSTERNORRLANDS LÄN</t>
        </is>
      </c>
      <c r="G2505" t="inlineStr">
        <is>
          <t>ÖRNSKÖLDSVIK</t>
        </is>
      </c>
      <c r="I2505" t="n">
        <v>16.8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s="2" t="inlineStr"/>
    </row>
    <row r="2506" ht="15" customHeight="1">
      <c r="A2506" t="inlineStr">
        <is>
          <t>S 1720-2026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46184</v>
      </c>
      <c r="E2506" s="1" t="n">
        <v>46218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SCA</t>
        </is>
      </c>
      <c r="I2506" t="n">
        <v>2.6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s="2" t="inlineStr"/>
    </row>
    <row r="2507" ht="15" customHeight="1">
      <c r="A2507" t="inlineStr">
        <is>
          <t>S 1821-2026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46190</v>
      </c>
      <c r="E2507" s="1" t="n">
        <v>46218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SCA</t>
        </is>
      </c>
      <c r="I2507" t="n">
        <v>1.1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s="2" t="inlineStr"/>
    </row>
    <row r="2508" ht="15" customHeight="1">
      <c r="A2508" t="inlineStr">
        <is>
          <t>S 1879-2026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46197</v>
      </c>
      <c r="E2508" s="1" t="n">
        <v>46218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10.2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s="2" t="inlineStr"/>
    </row>
    <row r="2509" ht="15" customHeight="1">
      <c r="A2509" t="inlineStr">
        <is>
          <t>S 1988-2026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46206</v>
      </c>
      <c r="E2509" s="1" t="n">
        <v>46218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s="2" t="inlineStr"/>
    </row>
    <row r="2510" ht="15" customHeight="1">
      <c r="A2510" t="inlineStr">
        <is>
          <t>S 999-2026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46119</v>
      </c>
      <c r="E2510" s="1" t="n">
        <v>46218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3.9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s="2" t="inlineStr"/>
    </row>
    <row r="2511" ht="15" customHeight="1">
      <c r="A2511" t="inlineStr">
        <is>
          <t>S 1622-2026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46174</v>
      </c>
      <c r="E2511" s="1" t="n">
        <v>46218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12.2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s="2" t="inlineStr"/>
    </row>
    <row r="2512" ht="15" customHeight="1">
      <c r="A2512" t="inlineStr">
        <is>
          <t>S 2006-2026</t>
        </is>
      </c>
      <c r="B2512" t="inlineStr">
        <is>
          <t>samrådsanmälan</t>
        </is>
      </c>
      <c r="C2512" t="inlineStr">
        <is>
          <t>Annan skogsbruksåtgärd</t>
        </is>
      </c>
      <c r="D2512" s="1" t="n">
        <v>46209</v>
      </c>
      <c r="E2512" s="1" t="n">
        <v>46218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SCA</t>
        </is>
      </c>
      <c r="I2512" t="n">
        <v>7.3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s="2" t="inlineStr"/>
    </row>
    <row r="2513">
      <c r="A2513" t="inlineStr">
        <is>
          <t>S 2008-2026</t>
        </is>
      </c>
      <c r="B2513" t="inlineStr">
        <is>
          <t>samrådsanmälan</t>
        </is>
      </c>
      <c r="C2513" t="inlineStr">
        <is>
          <t>Annan skogsbruksåtgärd</t>
        </is>
      </c>
      <c r="D2513" s="1" t="n">
        <v>46209</v>
      </c>
      <c r="E2513" s="1" t="n">
        <v>46218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SCA</t>
        </is>
      </c>
      <c r="I2513" t="n">
        <v>6.8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2026-07-15T01:26:07Z</dcterms:created>
  <dcterms:modified xmlns:dcterms="http://purl.org/dc/terms/" xmlns:xsi="http://www.w3.org/2001/XMLSchema-instance" xsi:type="dcterms:W3CDTF">2026-07-15T01:26:09Z</dcterms:modified>
</cp:coreProperties>
</file>