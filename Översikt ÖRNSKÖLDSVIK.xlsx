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45260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45260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45260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45260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45260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45260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45260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16235-2022</t>
        </is>
      </c>
      <c r="B40" s="1" t="n">
        <v>44670</v>
      </c>
      <c r="C40" s="1" t="n">
        <v>45260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Kolflarnlav</t>
        </is>
      </c>
      <c r="S40">
        <f>HYPERLINK("https://klasma.github.io/Logging_2284/artfynd/A 16235-2022 artfynd.xlsx", "A 16235-2022")</f>
        <v/>
      </c>
      <c r="T40">
        <f>HYPERLINK("https://klasma.github.io/Logging_2284/kartor/A 16235-2022 karta.png", "A 16235-2022")</f>
        <v/>
      </c>
      <c r="V40">
        <f>HYPERLINK("https://klasma.github.io/Logging_2284/klagomål/A 16235-2022 FSC-klagomål.docx", "A 16235-2022")</f>
        <v/>
      </c>
      <c r="W40">
        <f>HYPERLINK("https://klasma.github.io/Logging_2284/klagomålsmail/A 16235-2022 FSC-klagomål mail.docx", "A 16235-2022")</f>
        <v/>
      </c>
      <c r="X40">
        <f>HYPERLINK("https://klasma.github.io/Logging_2284/tillsyn/A 16235-2022 tillsynsbegäran.docx", "A 16235-2022")</f>
        <v/>
      </c>
      <c r="Y40">
        <f>HYPERLINK("https://klasma.github.io/Logging_2284/tillsynsmail/A 16235-2022 tillsynsbegäran mail.docx", "A 16235-2022")</f>
        <v/>
      </c>
    </row>
    <row r="41" ht="15" customHeight="1">
      <c r="A41" t="inlineStr">
        <is>
          <t>A 49289-2022</t>
        </is>
      </c>
      <c r="B41" s="1" t="n">
        <v>44861</v>
      </c>
      <c r="C41" s="1" t="n">
        <v>45260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Dropptaggsvamp</t>
        </is>
      </c>
      <c r="S41">
        <f>HYPERLINK("https://klasma.github.io/Logging_2284/artfynd/A 49289-2022 artfynd.xlsx", "A 49289-2022")</f>
        <v/>
      </c>
      <c r="T41">
        <f>HYPERLINK("https://klasma.github.io/Logging_2284/kartor/A 49289-2022 karta.png", "A 49289-2022")</f>
        <v/>
      </c>
      <c r="V41">
        <f>HYPERLINK("https://klasma.github.io/Logging_2284/klagomål/A 49289-2022 FSC-klagomål.docx", "A 49289-2022")</f>
        <v/>
      </c>
      <c r="W41">
        <f>HYPERLINK("https://klasma.github.io/Logging_2284/klagomålsmail/A 49289-2022 FSC-klagomål mail.docx", "A 49289-2022")</f>
        <v/>
      </c>
      <c r="X41">
        <f>HYPERLINK("https://klasma.github.io/Logging_2284/tillsyn/A 49289-2022 tillsynsbegäran.docx", "A 49289-2022")</f>
        <v/>
      </c>
      <c r="Y41">
        <f>HYPERLINK("https://klasma.github.io/Logging_2284/tillsynsmail/A 49289-2022 tillsynsbegäran mail.docx", "A 49289-2022")</f>
        <v/>
      </c>
    </row>
    <row r="42" ht="15" customHeight="1">
      <c r="A42" t="inlineStr">
        <is>
          <t>A 50570-2022</t>
        </is>
      </c>
      <c r="B42" s="1" t="n">
        <v>44866</v>
      </c>
      <c r="C42" s="1" t="n">
        <v>45260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Bred paljettdykare
Bredkantad dykare</t>
        </is>
      </c>
      <c r="S42">
        <f>HYPERLINK("https://klasma.github.io/Logging_2284/artfynd/A 50570-2022 artfynd.xlsx", "A 50570-2022")</f>
        <v/>
      </c>
      <c r="T42">
        <f>HYPERLINK("https://klasma.github.io/Logging_2284/kartor/A 50570-2022 karta.png", "A 50570-2022")</f>
        <v/>
      </c>
      <c r="V42">
        <f>HYPERLINK("https://klasma.github.io/Logging_2284/klagomål/A 50570-2022 FSC-klagomål.docx", "A 50570-2022")</f>
        <v/>
      </c>
      <c r="W42">
        <f>HYPERLINK("https://klasma.github.io/Logging_2284/klagomålsmail/A 50570-2022 FSC-klagomål mail.docx", "A 50570-2022")</f>
        <v/>
      </c>
      <c r="X42">
        <f>HYPERLINK("https://klasma.github.io/Logging_2284/tillsyn/A 50570-2022 tillsynsbegäran.docx", "A 50570-2022")</f>
        <v/>
      </c>
      <c r="Y42">
        <f>HYPERLINK("https://klasma.github.io/Logging_2284/tillsynsmail/A 50570-2022 tillsynsbegäran mail.docx", "A 50570-2022")</f>
        <v/>
      </c>
    </row>
    <row r="43" ht="15" customHeight="1">
      <c r="A43" t="inlineStr">
        <is>
          <t>A 56530-2022</t>
        </is>
      </c>
      <c r="B43" s="1" t="n">
        <v>44893</v>
      </c>
      <c r="C43" s="1" t="n">
        <v>45260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Skinnlav</t>
        </is>
      </c>
      <c r="S43">
        <f>HYPERLINK("https://klasma.github.io/Logging_2284/artfynd/A 56530-2022 artfynd.xlsx", "A 56530-2022")</f>
        <v/>
      </c>
      <c r="T43">
        <f>HYPERLINK("https://klasma.github.io/Logging_2284/kartor/A 56530-2022 karta.png", "A 56530-2022")</f>
        <v/>
      </c>
      <c r="V43">
        <f>HYPERLINK("https://klasma.github.io/Logging_2284/klagomål/A 56530-2022 FSC-klagomål.docx", "A 56530-2022")</f>
        <v/>
      </c>
      <c r="W43">
        <f>HYPERLINK("https://klasma.github.io/Logging_2284/klagomålsmail/A 56530-2022 FSC-klagomål mail.docx", "A 56530-2022")</f>
        <v/>
      </c>
      <c r="X43">
        <f>HYPERLINK("https://klasma.github.io/Logging_2284/tillsyn/A 56530-2022 tillsynsbegäran.docx", "A 56530-2022")</f>
        <v/>
      </c>
      <c r="Y43">
        <f>HYPERLINK("https://klasma.github.io/Logging_2284/tillsynsmail/A 56530-2022 tillsynsbegäran mail.docx", "A 56530-2022")</f>
        <v/>
      </c>
    </row>
    <row r="44" ht="15" customHeight="1">
      <c r="A44" t="inlineStr">
        <is>
          <t>A 56962-2022</t>
        </is>
      </c>
      <c r="B44" s="1" t="n">
        <v>44894</v>
      </c>
      <c r="C44" s="1" t="n">
        <v>45260</v>
      </c>
      <c r="D44" t="inlineStr">
        <is>
          <t>VÄSTERNORRLANDS LÄN</t>
        </is>
      </c>
      <c r="E44" t="inlineStr">
        <is>
          <t>ÖRNSKÖLDSVIK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Ullticka</t>
        </is>
      </c>
      <c r="S44">
        <f>HYPERLINK("https://klasma.github.io/Logging_2284/artfynd/A 56962-2022 artfynd.xlsx", "A 56962-2022")</f>
        <v/>
      </c>
      <c r="T44">
        <f>HYPERLINK("https://klasma.github.io/Logging_2284/kartor/A 56962-2022 karta.png", "A 56962-2022")</f>
        <v/>
      </c>
      <c r="V44">
        <f>HYPERLINK("https://klasma.github.io/Logging_2284/klagomål/A 56962-2022 FSC-klagomål.docx", "A 56962-2022")</f>
        <v/>
      </c>
      <c r="W44">
        <f>HYPERLINK("https://klasma.github.io/Logging_2284/klagomålsmail/A 56962-2022 FSC-klagomål mail.docx", "A 56962-2022")</f>
        <v/>
      </c>
      <c r="X44">
        <f>HYPERLINK("https://klasma.github.io/Logging_2284/tillsyn/A 56962-2022 tillsynsbegäran.docx", "A 56962-2022")</f>
        <v/>
      </c>
      <c r="Y44">
        <f>HYPERLINK("https://klasma.github.io/Logging_2284/tillsynsmail/A 56962-2022 tillsynsbegäran mail.docx", "A 56962-2022")</f>
        <v/>
      </c>
    </row>
    <row r="45" ht="15" customHeight="1">
      <c r="A45" t="inlineStr">
        <is>
          <t>A 62256-2022</t>
        </is>
      </c>
      <c r="B45" s="1" t="n">
        <v>44922</v>
      </c>
      <c r="C45" s="1" t="n">
        <v>45260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2.4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Granticka
Tretåig hackspett</t>
        </is>
      </c>
      <c r="S45">
        <f>HYPERLINK("https://klasma.github.io/Logging_2284/artfynd/A 62256-2022 artfynd.xlsx", "A 62256-2022")</f>
        <v/>
      </c>
      <c r="T45">
        <f>HYPERLINK("https://klasma.github.io/Logging_2284/kartor/A 62256-2022 karta.png", "A 62256-2022")</f>
        <v/>
      </c>
      <c r="V45">
        <f>HYPERLINK("https://klasma.github.io/Logging_2284/klagomål/A 62256-2022 FSC-klagomål.docx", "A 62256-2022")</f>
        <v/>
      </c>
      <c r="W45">
        <f>HYPERLINK("https://klasma.github.io/Logging_2284/klagomålsmail/A 62256-2022 FSC-klagomål mail.docx", "A 62256-2022")</f>
        <v/>
      </c>
      <c r="X45">
        <f>HYPERLINK("https://klasma.github.io/Logging_2284/tillsyn/A 62256-2022 tillsynsbegäran.docx", "A 62256-2022")</f>
        <v/>
      </c>
      <c r="Y45">
        <f>HYPERLINK("https://klasma.github.io/Logging_2284/tillsynsmail/A 62256-2022 tillsynsbegäran mail.docx", "A 62256-2022")</f>
        <v/>
      </c>
    </row>
    <row r="46" ht="15" customHeight="1">
      <c r="A46" t="inlineStr">
        <is>
          <t>A 4455-2023</t>
        </is>
      </c>
      <c r="B46" s="1" t="n">
        <v>44956</v>
      </c>
      <c r="C46" s="1" t="n">
        <v>45260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Lunglav
Skrovellav</t>
        </is>
      </c>
      <c r="S46">
        <f>HYPERLINK("https://klasma.github.io/Logging_2284/artfynd/A 4455-2023 artfynd.xlsx", "A 4455-2023")</f>
        <v/>
      </c>
      <c r="T46">
        <f>HYPERLINK("https://klasma.github.io/Logging_2284/kartor/A 4455-2023 karta.png", "A 4455-2023")</f>
        <v/>
      </c>
      <c r="V46">
        <f>HYPERLINK("https://klasma.github.io/Logging_2284/klagomål/A 4455-2023 FSC-klagomål.docx", "A 4455-2023")</f>
        <v/>
      </c>
      <c r="W46">
        <f>HYPERLINK("https://klasma.github.io/Logging_2284/klagomålsmail/A 4455-2023 FSC-klagomål mail.docx", "A 4455-2023")</f>
        <v/>
      </c>
      <c r="X46">
        <f>HYPERLINK("https://klasma.github.io/Logging_2284/tillsyn/A 4455-2023 tillsynsbegäran.docx", "A 4455-2023")</f>
        <v/>
      </c>
      <c r="Y46">
        <f>HYPERLINK("https://klasma.github.io/Logging_2284/tillsynsmail/A 4455-2023 tillsynsbegäran mail.docx", "A 4455-2023")</f>
        <v/>
      </c>
    </row>
    <row r="47" ht="15" customHeight="1">
      <c r="A47" t="inlineStr">
        <is>
          <t>A 11332-2023</t>
        </is>
      </c>
      <c r="B47" s="1" t="n">
        <v>44988</v>
      </c>
      <c r="C47" s="1" t="n">
        <v>45260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Revlummer</t>
        </is>
      </c>
      <c r="S47">
        <f>HYPERLINK("https://klasma.github.io/Logging_2284/artfynd/A 11332-2023 artfynd.xlsx", "A 11332-2023")</f>
        <v/>
      </c>
      <c r="T47">
        <f>HYPERLINK("https://klasma.github.io/Logging_2284/kartor/A 11332-2023 karta.png", "A 11332-2023")</f>
        <v/>
      </c>
      <c r="V47">
        <f>HYPERLINK("https://klasma.github.io/Logging_2284/klagomål/A 11332-2023 FSC-klagomål.docx", "A 11332-2023")</f>
        <v/>
      </c>
      <c r="W47">
        <f>HYPERLINK("https://klasma.github.io/Logging_2284/klagomålsmail/A 11332-2023 FSC-klagomål mail.docx", "A 11332-2023")</f>
        <v/>
      </c>
      <c r="X47">
        <f>HYPERLINK("https://klasma.github.io/Logging_2284/tillsyn/A 11332-2023 tillsynsbegäran.docx", "A 11332-2023")</f>
        <v/>
      </c>
      <c r="Y47">
        <f>HYPERLINK("https://klasma.github.io/Logging_2284/tillsynsmail/A 11332-2023 tillsynsbegäran mail.docx", "A 11332-2023")</f>
        <v/>
      </c>
    </row>
    <row r="48" ht="15" customHeight="1">
      <c r="A48" t="inlineStr">
        <is>
          <t>A 11060-2023</t>
        </is>
      </c>
      <c r="B48" s="1" t="n">
        <v>44991</v>
      </c>
      <c r="C48" s="1" t="n">
        <v>45260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28.4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Granticka
Rödbrun blekspik</t>
        </is>
      </c>
      <c r="S48">
        <f>HYPERLINK("https://klasma.github.io/Logging_2284/artfynd/A 11060-2023 artfynd.xlsx", "A 11060-2023")</f>
        <v/>
      </c>
      <c r="T48">
        <f>HYPERLINK("https://klasma.github.io/Logging_2284/kartor/A 11060-2023 karta.png", "A 11060-2023")</f>
        <v/>
      </c>
      <c r="V48">
        <f>HYPERLINK("https://klasma.github.io/Logging_2284/klagomål/A 11060-2023 FSC-klagomål.docx", "A 11060-2023")</f>
        <v/>
      </c>
      <c r="W48">
        <f>HYPERLINK("https://klasma.github.io/Logging_2284/klagomålsmail/A 11060-2023 FSC-klagomål mail.docx", "A 11060-2023")</f>
        <v/>
      </c>
      <c r="X48">
        <f>HYPERLINK("https://klasma.github.io/Logging_2284/tillsyn/A 11060-2023 tillsynsbegäran.docx", "A 11060-2023")</f>
        <v/>
      </c>
      <c r="Y48">
        <f>HYPERLINK("https://klasma.github.io/Logging_2284/tillsynsmail/A 11060-2023 tillsynsbegäran mail.docx", "A 11060-2023")</f>
        <v/>
      </c>
    </row>
    <row r="49" ht="15" customHeight="1">
      <c r="A49" t="inlineStr">
        <is>
          <t>A 38269-2023</t>
        </is>
      </c>
      <c r="B49" s="1" t="n">
        <v>45161</v>
      </c>
      <c r="C49" s="1" t="n">
        <v>45260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HYPERLINK("https://klasma.github.io/Logging_2284/artfynd/A 38269-2023 artfynd.xlsx", "A 38269-2023")</f>
        <v/>
      </c>
      <c r="T49">
        <f>HYPERLINK("https://klasma.github.io/Logging_2284/kartor/A 38269-2023 karta.png", "A 38269-2023")</f>
        <v/>
      </c>
      <c r="V49">
        <f>HYPERLINK("https://klasma.github.io/Logging_2284/klagomål/A 38269-2023 FSC-klagomål.docx", "A 38269-2023")</f>
        <v/>
      </c>
      <c r="W49">
        <f>HYPERLINK("https://klasma.github.io/Logging_2284/klagomålsmail/A 38269-2023 FSC-klagomål mail.docx", "A 38269-2023")</f>
        <v/>
      </c>
      <c r="X49">
        <f>HYPERLINK("https://klasma.github.io/Logging_2284/tillsyn/A 38269-2023 tillsynsbegäran.docx", "A 38269-2023")</f>
        <v/>
      </c>
      <c r="Y49">
        <f>HYPERLINK("https://klasma.github.io/Logging_2284/tillsynsmail/A 38269-2023 tillsynsbegäran mail.docx", "A 38269-2023")</f>
        <v/>
      </c>
    </row>
    <row r="50" ht="15" customHeight="1">
      <c r="A50" t="inlineStr">
        <is>
          <t>A 42551-2023</t>
        </is>
      </c>
      <c r="B50" s="1" t="n">
        <v>45176</v>
      </c>
      <c r="C50" s="1" t="n">
        <v>45260</v>
      </c>
      <c r="D50" t="inlineStr">
        <is>
          <t>VÄSTERNORRLANDS LÄN</t>
        </is>
      </c>
      <c r="E50" t="inlineStr">
        <is>
          <t>ÖRNSKÖLDSVIK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Ullticka</t>
        </is>
      </c>
      <c r="S50">
        <f>HYPERLINK("https://klasma.github.io/Logging_2284/artfynd/A 42551-2023 artfynd.xlsx", "A 42551-2023")</f>
        <v/>
      </c>
      <c r="T50">
        <f>HYPERLINK("https://klasma.github.io/Logging_2284/kartor/A 42551-2023 karta.png", "A 42551-2023")</f>
        <v/>
      </c>
      <c r="V50">
        <f>HYPERLINK("https://klasma.github.io/Logging_2284/klagomål/A 42551-2023 FSC-klagomål.docx", "A 42551-2023")</f>
        <v/>
      </c>
      <c r="W50">
        <f>HYPERLINK("https://klasma.github.io/Logging_2284/klagomålsmail/A 42551-2023 FSC-klagomål mail.docx", "A 42551-2023")</f>
        <v/>
      </c>
      <c r="X50">
        <f>HYPERLINK("https://klasma.github.io/Logging_2284/tillsyn/A 42551-2023 tillsynsbegäran.docx", "A 42551-2023")</f>
        <v/>
      </c>
      <c r="Y50">
        <f>HYPERLINK("https://klasma.github.io/Logging_2284/tillsynsmail/A 42551-2023 tillsynsbegäran mail.docx", "A 42551-2023")</f>
        <v/>
      </c>
    </row>
    <row r="51" ht="15" customHeight="1">
      <c r="A51" t="inlineStr">
        <is>
          <t>A 51148-2023</t>
        </is>
      </c>
      <c r="B51" s="1" t="n">
        <v>45219</v>
      </c>
      <c r="C51" s="1" t="n">
        <v>45260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HYPERLINK("https://klasma.github.io/Logging_2284/artfynd/A 51148-2023 artfynd.xlsx", "A 51148-2023")</f>
        <v/>
      </c>
      <c r="T51">
        <f>HYPERLINK("https://klasma.github.io/Logging_2284/kartor/A 51148-2023 karta.png", "A 51148-2023")</f>
        <v/>
      </c>
      <c r="V51">
        <f>HYPERLINK("https://klasma.github.io/Logging_2284/klagomål/A 51148-2023 FSC-klagomål.docx", "A 51148-2023")</f>
        <v/>
      </c>
      <c r="W51">
        <f>HYPERLINK("https://klasma.github.io/Logging_2284/klagomålsmail/A 51148-2023 FSC-klagomål mail.docx", "A 51148-2023")</f>
        <v/>
      </c>
      <c r="X51">
        <f>HYPERLINK("https://klasma.github.io/Logging_2284/tillsyn/A 51148-2023 tillsynsbegäran.docx", "A 51148-2023")</f>
        <v/>
      </c>
      <c r="Y51">
        <f>HYPERLINK("https://klasma.github.io/Logging_2284/tillsynsmail/A 51148-2023 tillsynsbegäran mail.docx", "A 51148-2023")</f>
        <v/>
      </c>
    </row>
    <row r="52" ht="15" customHeight="1">
      <c r="A52" t="inlineStr">
        <is>
          <t>A 54155-2023</t>
        </is>
      </c>
      <c r="B52" s="1" t="n">
        <v>45232</v>
      </c>
      <c r="C52" s="1" t="n">
        <v>45260</v>
      </c>
      <c r="D52" t="inlineStr">
        <is>
          <t>VÄSTERNORRLANDS LÄN</t>
        </is>
      </c>
      <c r="E52" t="inlineStr">
        <is>
          <t>ÖRNSKÖLDSVIK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Liten hornflikmossa
Vedtrappmossa</t>
        </is>
      </c>
      <c r="S52">
        <f>HYPERLINK("https://klasma.github.io/Logging_2284/artfynd/A 54155-2023 artfynd.xlsx", "A 54155-2023")</f>
        <v/>
      </c>
      <c r="T52">
        <f>HYPERLINK("https://klasma.github.io/Logging_2284/kartor/A 54155-2023 karta.png", "A 54155-2023")</f>
        <v/>
      </c>
      <c r="V52">
        <f>HYPERLINK("https://klasma.github.io/Logging_2284/klagomål/A 54155-2023 FSC-klagomål.docx", "A 54155-2023")</f>
        <v/>
      </c>
      <c r="W52">
        <f>HYPERLINK("https://klasma.github.io/Logging_2284/klagomålsmail/A 54155-2023 FSC-klagomål mail.docx", "A 54155-2023")</f>
        <v/>
      </c>
      <c r="X52">
        <f>HYPERLINK("https://klasma.github.io/Logging_2284/tillsyn/A 54155-2023 tillsynsbegäran.docx", "A 54155-2023")</f>
        <v/>
      </c>
      <c r="Y52">
        <f>HYPERLINK("https://klasma.github.io/Logging_2284/tillsynsmail/A 54155-2023 tillsynsbegäran mail.docx", "A 54155-2023")</f>
        <v/>
      </c>
    </row>
    <row r="53" ht="15" customHeight="1">
      <c r="A53" t="inlineStr">
        <is>
          <t>A 37049-2018</t>
        </is>
      </c>
      <c r="B53" s="1" t="n">
        <v>43332</v>
      </c>
      <c r="C53" s="1" t="n">
        <v>45260</v>
      </c>
      <c r="D53" t="inlineStr">
        <is>
          <t>VÄSTERNORRLANDS LÄN</t>
        </is>
      </c>
      <c r="E53" t="inlineStr">
        <is>
          <t>ÖRNSKÖLDSVIK</t>
        </is>
      </c>
      <c r="G53" t="n">
        <v>16.5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HYPERLINK("https://klasma.github.io/Logging_2284/artfynd/A 37049-2018 artfynd.xlsx", "A 37049-2018")</f>
        <v/>
      </c>
      <c r="T53">
        <f>HYPERLINK("https://klasma.github.io/Logging_2284/kartor/A 37049-2018 karta.png", "A 37049-2018")</f>
        <v/>
      </c>
      <c r="V53">
        <f>HYPERLINK("https://klasma.github.io/Logging_2284/klagomål/A 37049-2018 FSC-klagomål.docx", "A 37049-2018")</f>
        <v/>
      </c>
      <c r="W53">
        <f>HYPERLINK("https://klasma.github.io/Logging_2284/klagomålsmail/A 37049-2018 FSC-klagomål mail.docx", "A 37049-2018")</f>
        <v/>
      </c>
      <c r="X53">
        <f>HYPERLINK("https://klasma.github.io/Logging_2284/tillsyn/A 37049-2018 tillsynsbegäran.docx", "A 37049-2018")</f>
        <v/>
      </c>
      <c r="Y53">
        <f>HYPERLINK("https://klasma.github.io/Logging_2284/tillsynsmail/A 37049-2018 tillsynsbegäran mail.docx", "A 37049-2018")</f>
        <v/>
      </c>
    </row>
    <row r="54" ht="15" customHeight="1">
      <c r="A54" t="inlineStr">
        <is>
          <t>A 51889-2018</t>
        </is>
      </c>
      <c r="B54" s="1" t="n">
        <v>43385</v>
      </c>
      <c r="C54" s="1" t="n">
        <v>45260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HYPERLINK("https://klasma.github.io/Logging_2284/artfynd/A 51889-2018 artfynd.xlsx", "A 51889-2018")</f>
        <v/>
      </c>
      <c r="T54">
        <f>HYPERLINK("https://klasma.github.io/Logging_2284/kartor/A 51889-2018 karta.png", "A 51889-2018")</f>
        <v/>
      </c>
      <c r="V54">
        <f>HYPERLINK("https://klasma.github.io/Logging_2284/klagomål/A 51889-2018 FSC-klagomål.docx", "A 51889-2018")</f>
        <v/>
      </c>
      <c r="W54">
        <f>HYPERLINK("https://klasma.github.io/Logging_2284/klagomålsmail/A 51889-2018 FSC-klagomål mail.docx", "A 51889-2018")</f>
        <v/>
      </c>
      <c r="X54">
        <f>HYPERLINK("https://klasma.github.io/Logging_2284/tillsyn/A 51889-2018 tillsynsbegäran.docx", "A 51889-2018")</f>
        <v/>
      </c>
      <c r="Y54">
        <f>HYPERLINK("https://klasma.github.io/Logging_2284/tillsynsmail/A 51889-2018 tillsynsbegäran mail.docx", "A 51889-2018")</f>
        <v/>
      </c>
    </row>
    <row r="55" ht="15" customHeight="1">
      <c r="A55" t="inlineStr">
        <is>
          <t>A 71738-2018</t>
        </is>
      </c>
      <c r="B55" s="1" t="n">
        <v>43454</v>
      </c>
      <c r="C55" s="1" t="n">
        <v>45260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HYPERLINK("https://klasma.github.io/Logging_2284/artfynd/A 71738-2018 artfynd.xlsx", "A 71738-2018")</f>
        <v/>
      </c>
      <c r="T55">
        <f>HYPERLINK("https://klasma.github.io/Logging_2284/kartor/A 71738-2018 karta.png", "A 71738-2018")</f>
        <v/>
      </c>
      <c r="V55">
        <f>HYPERLINK("https://klasma.github.io/Logging_2284/klagomål/A 71738-2018 FSC-klagomål.docx", "A 71738-2018")</f>
        <v/>
      </c>
      <c r="W55">
        <f>HYPERLINK("https://klasma.github.io/Logging_2284/klagomålsmail/A 71738-2018 FSC-klagomål mail.docx", "A 71738-2018")</f>
        <v/>
      </c>
      <c r="X55">
        <f>HYPERLINK("https://klasma.github.io/Logging_2284/tillsyn/A 71738-2018 tillsynsbegäran.docx", "A 71738-2018")</f>
        <v/>
      </c>
      <c r="Y55">
        <f>HYPERLINK("https://klasma.github.io/Logging_2284/tillsynsmail/A 71738-2018 tillsynsbegäran mail.docx", "A 71738-2018")</f>
        <v/>
      </c>
    </row>
    <row r="56" ht="15" customHeight="1">
      <c r="A56" t="inlineStr">
        <is>
          <t>A 5443-2019</t>
        </is>
      </c>
      <c r="B56" s="1" t="n">
        <v>43481</v>
      </c>
      <c r="C56" s="1" t="n">
        <v>45260</v>
      </c>
      <c r="D56" t="inlineStr">
        <is>
          <t>VÄSTERNORRLANDS LÄN</t>
        </is>
      </c>
      <c r="E56" t="inlineStr">
        <is>
          <t>ÖRNSKÖLDSVIK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Solfjäderlav</t>
        </is>
      </c>
      <c r="S56">
        <f>HYPERLINK("https://klasma.github.io/Logging_2284/artfynd/A 5443-2019 artfynd.xlsx", "A 5443-2019")</f>
        <v/>
      </c>
      <c r="T56">
        <f>HYPERLINK("https://klasma.github.io/Logging_2284/kartor/A 5443-2019 karta.png", "A 5443-2019")</f>
        <v/>
      </c>
      <c r="V56">
        <f>HYPERLINK("https://klasma.github.io/Logging_2284/klagomål/A 5443-2019 FSC-klagomål.docx", "A 5443-2019")</f>
        <v/>
      </c>
      <c r="W56">
        <f>HYPERLINK("https://klasma.github.io/Logging_2284/klagomålsmail/A 5443-2019 FSC-klagomål mail.docx", "A 5443-2019")</f>
        <v/>
      </c>
      <c r="X56">
        <f>HYPERLINK("https://klasma.github.io/Logging_2284/tillsyn/A 5443-2019 tillsynsbegäran.docx", "A 5443-2019")</f>
        <v/>
      </c>
      <c r="Y56">
        <f>HYPERLINK("https://klasma.github.io/Logging_2284/tillsynsmail/A 5443-2019 tillsynsbegäran mail.docx", "A 5443-2019")</f>
        <v/>
      </c>
    </row>
    <row r="57" ht="15" customHeight="1">
      <c r="A57" t="inlineStr">
        <is>
          <t>A 4339-2019</t>
        </is>
      </c>
      <c r="B57" s="1" t="n">
        <v>43483</v>
      </c>
      <c r="C57" s="1" t="n">
        <v>45260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HYPERLINK("https://klasma.github.io/Logging_2284/artfynd/A 4339-2019 artfynd.xlsx", "A 4339-2019")</f>
        <v/>
      </c>
      <c r="T57">
        <f>HYPERLINK("https://klasma.github.io/Logging_2284/kartor/A 4339-2019 karta.png", "A 4339-2019")</f>
        <v/>
      </c>
      <c r="V57">
        <f>HYPERLINK("https://klasma.github.io/Logging_2284/klagomål/A 4339-2019 FSC-klagomål.docx", "A 4339-2019")</f>
        <v/>
      </c>
      <c r="W57">
        <f>HYPERLINK("https://klasma.github.io/Logging_2284/klagomålsmail/A 4339-2019 FSC-klagomål mail.docx", "A 4339-2019")</f>
        <v/>
      </c>
      <c r="X57">
        <f>HYPERLINK("https://klasma.github.io/Logging_2284/tillsyn/A 4339-2019 tillsynsbegäran.docx", "A 4339-2019")</f>
        <v/>
      </c>
      <c r="Y57">
        <f>HYPERLINK("https://klasma.github.io/Logging_2284/tillsynsmail/A 4339-2019 tillsynsbegäran mail.docx", "A 4339-2019")</f>
        <v/>
      </c>
    </row>
    <row r="58" ht="15" customHeight="1">
      <c r="A58" t="inlineStr">
        <is>
          <t>A 44732-2019</t>
        </is>
      </c>
      <c r="B58" s="1" t="n">
        <v>43712</v>
      </c>
      <c r="C58" s="1" t="n">
        <v>45260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HYPERLINK("https://klasma.github.io/Logging_2284/artfynd/A 44732-2019 artfynd.xlsx", "A 44732-2019")</f>
        <v/>
      </c>
      <c r="T58">
        <f>HYPERLINK("https://klasma.github.io/Logging_2284/kartor/A 44732-2019 karta.png", "A 44732-2019")</f>
        <v/>
      </c>
      <c r="V58">
        <f>HYPERLINK("https://klasma.github.io/Logging_2284/klagomål/A 44732-2019 FSC-klagomål.docx", "A 44732-2019")</f>
        <v/>
      </c>
      <c r="W58">
        <f>HYPERLINK("https://klasma.github.io/Logging_2284/klagomålsmail/A 44732-2019 FSC-klagomål mail.docx", "A 44732-2019")</f>
        <v/>
      </c>
      <c r="X58">
        <f>HYPERLINK("https://klasma.github.io/Logging_2284/tillsyn/A 44732-2019 tillsynsbegäran.docx", "A 44732-2019")</f>
        <v/>
      </c>
      <c r="Y58">
        <f>HYPERLINK("https://klasma.github.io/Logging_2284/tillsynsmail/A 44732-2019 tillsynsbegäran mail.docx", "A 44732-2019")</f>
        <v/>
      </c>
    </row>
    <row r="59" ht="15" customHeight="1">
      <c r="A59" t="inlineStr">
        <is>
          <t>A 54148-2019</t>
        </is>
      </c>
      <c r="B59" s="1" t="n">
        <v>43753</v>
      </c>
      <c r="C59" s="1" t="n">
        <v>45260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HYPERLINK("https://klasma.github.io/Logging_2284/artfynd/A 54148-2019 artfynd.xlsx", "A 54148-2019")</f>
        <v/>
      </c>
      <c r="T59">
        <f>HYPERLINK("https://klasma.github.io/Logging_2284/kartor/A 54148-2019 karta.png", "A 54148-2019")</f>
        <v/>
      </c>
      <c r="V59">
        <f>HYPERLINK("https://klasma.github.io/Logging_2284/klagomål/A 54148-2019 FSC-klagomål.docx", "A 54148-2019")</f>
        <v/>
      </c>
      <c r="W59">
        <f>HYPERLINK("https://klasma.github.io/Logging_2284/klagomålsmail/A 54148-2019 FSC-klagomål mail.docx", "A 54148-2019")</f>
        <v/>
      </c>
      <c r="X59">
        <f>HYPERLINK("https://klasma.github.io/Logging_2284/tillsyn/A 54148-2019 tillsynsbegäran.docx", "A 54148-2019")</f>
        <v/>
      </c>
      <c r="Y59">
        <f>HYPERLINK("https://klasma.github.io/Logging_2284/tillsynsmail/A 54148-2019 tillsynsbegäran mail.docx", "A 54148-2019")</f>
        <v/>
      </c>
    </row>
    <row r="60" ht="15" customHeight="1">
      <c r="A60" t="inlineStr">
        <is>
          <t>A 55307-2019</t>
        </is>
      </c>
      <c r="B60" s="1" t="n">
        <v>43756</v>
      </c>
      <c r="C60" s="1" t="n">
        <v>45260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HYPERLINK("https://klasma.github.io/Logging_2284/artfynd/A 55307-2019 artfynd.xlsx", "A 55307-2019")</f>
        <v/>
      </c>
      <c r="T60">
        <f>HYPERLINK("https://klasma.github.io/Logging_2284/kartor/A 55307-2019 karta.png", "A 55307-2019")</f>
        <v/>
      </c>
      <c r="V60">
        <f>HYPERLINK("https://klasma.github.io/Logging_2284/klagomål/A 55307-2019 FSC-klagomål.docx", "A 55307-2019")</f>
        <v/>
      </c>
      <c r="W60">
        <f>HYPERLINK("https://klasma.github.io/Logging_2284/klagomålsmail/A 55307-2019 FSC-klagomål mail.docx", "A 55307-2019")</f>
        <v/>
      </c>
      <c r="X60">
        <f>HYPERLINK("https://klasma.github.io/Logging_2284/tillsyn/A 55307-2019 tillsynsbegäran.docx", "A 55307-2019")</f>
        <v/>
      </c>
      <c r="Y60">
        <f>HYPERLINK("https://klasma.github.io/Logging_2284/tillsynsmail/A 55307-2019 tillsynsbegäran mail.docx", "A 55307-2019")</f>
        <v/>
      </c>
    </row>
    <row r="61" ht="15" customHeight="1">
      <c r="A61" t="inlineStr">
        <is>
          <t>A 60489-2019</t>
        </is>
      </c>
      <c r="B61" s="1" t="n">
        <v>43780</v>
      </c>
      <c r="C61" s="1" t="n">
        <v>45260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HYPERLINK("https://klasma.github.io/Logging_2284/artfynd/A 60489-2019 artfynd.xlsx", "A 60489-2019")</f>
        <v/>
      </c>
      <c r="T61">
        <f>HYPERLINK("https://klasma.github.io/Logging_2284/kartor/A 60489-2019 karta.png", "A 60489-2019")</f>
        <v/>
      </c>
      <c r="V61">
        <f>HYPERLINK("https://klasma.github.io/Logging_2284/klagomål/A 60489-2019 FSC-klagomål.docx", "A 60489-2019")</f>
        <v/>
      </c>
      <c r="W61">
        <f>HYPERLINK("https://klasma.github.io/Logging_2284/klagomålsmail/A 60489-2019 FSC-klagomål mail.docx", "A 60489-2019")</f>
        <v/>
      </c>
      <c r="X61">
        <f>HYPERLINK("https://klasma.github.io/Logging_2284/tillsyn/A 60489-2019 tillsynsbegäran.docx", "A 60489-2019")</f>
        <v/>
      </c>
      <c r="Y61">
        <f>HYPERLINK("https://klasma.github.io/Logging_2284/tillsynsmail/A 60489-2019 tillsynsbegäran mail.docx", "A 60489-2019")</f>
        <v/>
      </c>
    </row>
    <row r="62" ht="15" customHeight="1">
      <c r="A62" t="inlineStr">
        <is>
          <t>A 61401-2019</t>
        </is>
      </c>
      <c r="B62" s="1" t="n">
        <v>43783</v>
      </c>
      <c r="C62" s="1" t="n">
        <v>45260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HYPERLINK("https://klasma.github.io/Logging_2284/artfynd/A 61401-2019 artfynd.xlsx", "A 61401-2019")</f>
        <v/>
      </c>
      <c r="T62">
        <f>HYPERLINK("https://klasma.github.io/Logging_2284/kartor/A 61401-2019 karta.png", "A 61401-2019")</f>
        <v/>
      </c>
      <c r="V62">
        <f>HYPERLINK("https://klasma.github.io/Logging_2284/klagomål/A 61401-2019 FSC-klagomål.docx", "A 61401-2019")</f>
        <v/>
      </c>
      <c r="W62">
        <f>HYPERLINK("https://klasma.github.io/Logging_2284/klagomålsmail/A 61401-2019 FSC-klagomål mail.docx", "A 61401-2019")</f>
        <v/>
      </c>
      <c r="X62">
        <f>HYPERLINK("https://klasma.github.io/Logging_2284/tillsyn/A 61401-2019 tillsynsbegäran.docx", "A 61401-2019")</f>
        <v/>
      </c>
      <c r="Y62">
        <f>HYPERLINK("https://klasma.github.io/Logging_2284/tillsynsmail/A 61401-2019 tillsynsbegäran mail.docx", "A 61401-2019")</f>
        <v/>
      </c>
    </row>
    <row r="63" ht="15" customHeight="1">
      <c r="A63" t="inlineStr">
        <is>
          <t>A 1431-2020</t>
        </is>
      </c>
      <c r="B63" s="1" t="n">
        <v>43843</v>
      </c>
      <c r="C63" s="1" t="n">
        <v>45260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HYPERLINK("https://klasma.github.io/Logging_2284/artfynd/A 1431-2020 artfynd.xlsx", "A 1431-2020")</f>
        <v/>
      </c>
      <c r="T63">
        <f>HYPERLINK("https://klasma.github.io/Logging_2284/kartor/A 1431-2020 karta.png", "A 1431-2020")</f>
        <v/>
      </c>
      <c r="V63">
        <f>HYPERLINK("https://klasma.github.io/Logging_2284/klagomål/A 1431-2020 FSC-klagomål.docx", "A 1431-2020")</f>
        <v/>
      </c>
      <c r="W63">
        <f>HYPERLINK("https://klasma.github.io/Logging_2284/klagomålsmail/A 1431-2020 FSC-klagomål mail.docx", "A 1431-2020")</f>
        <v/>
      </c>
      <c r="X63">
        <f>HYPERLINK("https://klasma.github.io/Logging_2284/tillsyn/A 1431-2020 tillsynsbegäran.docx", "A 1431-2020")</f>
        <v/>
      </c>
      <c r="Y63">
        <f>HYPERLINK("https://klasma.github.io/Logging_2284/tillsynsmail/A 1431-2020 tillsynsbegäran mail.docx", "A 1431-2020")</f>
        <v/>
      </c>
    </row>
    <row r="64" ht="15" customHeight="1">
      <c r="A64" t="inlineStr">
        <is>
          <t>A 3905-2020</t>
        </is>
      </c>
      <c r="B64" s="1" t="n">
        <v>43854</v>
      </c>
      <c r="C64" s="1" t="n">
        <v>45260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3905-2020 artfynd.xlsx", "A 3905-2020")</f>
        <v/>
      </c>
      <c r="T64">
        <f>HYPERLINK("https://klasma.github.io/Logging_2284/kartor/A 3905-2020 karta.png", "A 3905-2020")</f>
        <v/>
      </c>
      <c r="V64">
        <f>HYPERLINK("https://klasma.github.io/Logging_2284/klagomål/A 3905-2020 FSC-klagomål.docx", "A 3905-2020")</f>
        <v/>
      </c>
      <c r="W64">
        <f>HYPERLINK("https://klasma.github.io/Logging_2284/klagomålsmail/A 3905-2020 FSC-klagomål mail.docx", "A 3905-2020")</f>
        <v/>
      </c>
      <c r="X64">
        <f>HYPERLINK("https://klasma.github.io/Logging_2284/tillsyn/A 3905-2020 tillsynsbegäran.docx", "A 3905-2020")</f>
        <v/>
      </c>
      <c r="Y64">
        <f>HYPERLINK("https://klasma.github.io/Logging_2284/tillsynsmail/A 3905-2020 tillsynsbegäran mail.docx", "A 3905-2020")</f>
        <v/>
      </c>
    </row>
    <row r="65" ht="15" customHeight="1">
      <c r="A65" t="inlineStr">
        <is>
          <t>A 41316-2020</t>
        </is>
      </c>
      <c r="B65" s="1" t="n">
        <v>44069</v>
      </c>
      <c r="C65" s="1" t="n">
        <v>45260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Kyrkan</t>
        </is>
      </c>
      <c r="G65" t="n">
        <v>12.3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HYPERLINK("https://klasma.github.io/Logging_2284/artfynd/A 41316-2020 artfynd.xlsx", "A 41316-2020")</f>
        <v/>
      </c>
      <c r="T65">
        <f>HYPERLINK("https://klasma.github.io/Logging_2284/kartor/A 41316-2020 karta.png", "A 41316-2020")</f>
        <v/>
      </c>
      <c r="V65">
        <f>HYPERLINK("https://klasma.github.io/Logging_2284/klagomål/A 41316-2020 FSC-klagomål.docx", "A 41316-2020")</f>
        <v/>
      </c>
      <c r="W65">
        <f>HYPERLINK("https://klasma.github.io/Logging_2284/klagomålsmail/A 41316-2020 FSC-klagomål mail.docx", "A 41316-2020")</f>
        <v/>
      </c>
      <c r="X65">
        <f>HYPERLINK("https://klasma.github.io/Logging_2284/tillsyn/A 41316-2020 tillsynsbegäran.docx", "A 41316-2020")</f>
        <v/>
      </c>
      <c r="Y65">
        <f>HYPERLINK("https://klasma.github.io/Logging_2284/tillsynsmail/A 41316-2020 tillsynsbegäran mail.docx", "A 41316-2020")</f>
        <v/>
      </c>
    </row>
    <row r="66" ht="15" customHeight="1">
      <c r="A66" t="inlineStr">
        <is>
          <t>A 62020-2020</t>
        </is>
      </c>
      <c r="B66" s="1" t="n">
        <v>44159</v>
      </c>
      <c r="C66" s="1" t="n">
        <v>45260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HYPERLINK("https://klasma.github.io/Logging_2284/artfynd/A 62020-2020 artfynd.xlsx", "A 62020-2020")</f>
        <v/>
      </c>
      <c r="T66">
        <f>HYPERLINK("https://klasma.github.io/Logging_2284/kartor/A 62020-2020 karta.png", "A 62020-2020")</f>
        <v/>
      </c>
      <c r="V66">
        <f>HYPERLINK("https://klasma.github.io/Logging_2284/klagomål/A 62020-2020 FSC-klagomål.docx", "A 62020-2020")</f>
        <v/>
      </c>
      <c r="W66">
        <f>HYPERLINK("https://klasma.github.io/Logging_2284/klagomålsmail/A 62020-2020 FSC-klagomål mail.docx", "A 62020-2020")</f>
        <v/>
      </c>
      <c r="X66">
        <f>HYPERLINK("https://klasma.github.io/Logging_2284/tillsyn/A 62020-2020 tillsynsbegäran.docx", "A 62020-2020")</f>
        <v/>
      </c>
      <c r="Y66">
        <f>HYPERLINK("https://klasma.github.io/Logging_2284/tillsynsmail/A 62020-2020 tillsynsbegäran mail.docx", "A 62020-2020")</f>
        <v/>
      </c>
    </row>
    <row r="67" ht="15" customHeight="1">
      <c r="A67" t="inlineStr">
        <is>
          <t>A 64596-2020</t>
        </is>
      </c>
      <c r="B67" s="1" t="n">
        <v>44169</v>
      </c>
      <c r="C67" s="1" t="n">
        <v>45260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HYPERLINK("https://klasma.github.io/Logging_2284/artfynd/A 64596-2020 artfynd.xlsx", "A 64596-2020")</f>
        <v/>
      </c>
      <c r="T67">
        <f>HYPERLINK("https://klasma.github.io/Logging_2284/kartor/A 64596-2020 karta.png", "A 64596-2020")</f>
        <v/>
      </c>
      <c r="V67">
        <f>HYPERLINK("https://klasma.github.io/Logging_2284/klagomål/A 64596-2020 FSC-klagomål.docx", "A 64596-2020")</f>
        <v/>
      </c>
      <c r="W67">
        <f>HYPERLINK("https://klasma.github.io/Logging_2284/klagomålsmail/A 64596-2020 FSC-klagomål mail.docx", "A 64596-2020")</f>
        <v/>
      </c>
      <c r="X67">
        <f>HYPERLINK("https://klasma.github.io/Logging_2284/tillsyn/A 64596-2020 tillsynsbegäran.docx", "A 64596-2020")</f>
        <v/>
      </c>
      <c r="Y67">
        <f>HYPERLINK("https://klasma.github.io/Logging_2284/tillsynsmail/A 64596-2020 tillsynsbegäran mail.docx", "A 64596-2020")</f>
        <v/>
      </c>
    </row>
    <row r="68" ht="15" customHeight="1">
      <c r="A68" t="inlineStr">
        <is>
          <t>A 23217-2021</t>
        </is>
      </c>
      <c r="B68" s="1" t="n">
        <v>44333</v>
      </c>
      <c r="C68" s="1" t="n">
        <v>45260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HYPERLINK("https://klasma.github.io/Logging_2284/artfynd/A 23217-2021 artfynd.xlsx", "A 23217-2021")</f>
        <v/>
      </c>
      <c r="T68">
        <f>HYPERLINK("https://klasma.github.io/Logging_2284/kartor/A 23217-2021 karta.png", "A 23217-2021")</f>
        <v/>
      </c>
      <c r="V68">
        <f>HYPERLINK("https://klasma.github.io/Logging_2284/klagomål/A 23217-2021 FSC-klagomål.docx", "A 23217-2021")</f>
        <v/>
      </c>
      <c r="W68">
        <f>HYPERLINK("https://klasma.github.io/Logging_2284/klagomålsmail/A 23217-2021 FSC-klagomål mail.docx", "A 23217-2021")</f>
        <v/>
      </c>
      <c r="X68">
        <f>HYPERLINK("https://klasma.github.io/Logging_2284/tillsyn/A 23217-2021 tillsynsbegäran.docx", "A 23217-2021")</f>
        <v/>
      </c>
      <c r="Y68">
        <f>HYPERLINK("https://klasma.github.io/Logging_2284/tillsynsmail/A 23217-2021 tillsynsbegäran mail.docx", "A 23217-2021")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45260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58162-2021</t>
        </is>
      </c>
      <c r="B70" s="1" t="n">
        <v>44487</v>
      </c>
      <c r="C70" s="1" t="n">
        <v>45260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Knottblomster</t>
        </is>
      </c>
      <c r="S70">
        <f>HYPERLINK("https://klasma.github.io/Logging_2284/artfynd/A 58162-2021 artfynd.xlsx", "A 58162-2021")</f>
        <v/>
      </c>
      <c r="T70">
        <f>HYPERLINK("https://klasma.github.io/Logging_2284/kartor/A 58162-2021 karta.png", "A 58162-2021")</f>
        <v/>
      </c>
      <c r="V70">
        <f>HYPERLINK("https://klasma.github.io/Logging_2284/klagomål/A 58162-2021 FSC-klagomål.docx", "A 58162-2021")</f>
        <v/>
      </c>
      <c r="W70">
        <f>HYPERLINK("https://klasma.github.io/Logging_2284/klagomålsmail/A 58162-2021 FSC-klagomål mail.docx", "A 58162-2021")</f>
        <v/>
      </c>
      <c r="X70">
        <f>HYPERLINK("https://klasma.github.io/Logging_2284/tillsyn/A 58162-2021 tillsynsbegäran.docx", "A 58162-2021")</f>
        <v/>
      </c>
      <c r="Y70">
        <f>HYPERLINK("https://klasma.github.io/Logging_2284/tillsynsmail/A 58162-2021 tillsynsbegäran mail.docx", "A 58162-2021")</f>
        <v/>
      </c>
    </row>
    <row r="71" ht="15" customHeight="1">
      <c r="A71" t="inlineStr">
        <is>
          <t>A 58147-2021</t>
        </is>
      </c>
      <c r="B71" s="1" t="n">
        <v>44487</v>
      </c>
      <c r="C71" s="1" t="n">
        <v>45260</v>
      </c>
      <c r="D71" t="inlineStr">
        <is>
          <t>VÄSTERNORRLANDS LÄN</t>
        </is>
      </c>
      <c r="E71" t="inlineStr">
        <is>
          <t>ÖRNSKÖLDSVIK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HYPERLINK("https://klasma.github.io/Logging_2284/artfynd/A 58147-2021 artfynd.xlsx", "A 58147-2021")</f>
        <v/>
      </c>
      <c r="T71">
        <f>HYPERLINK("https://klasma.github.io/Logging_2284/kartor/A 58147-2021 karta.png", "A 58147-2021")</f>
        <v/>
      </c>
      <c r="V71">
        <f>HYPERLINK("https://klasma.github.io/Logging_2284/klagomål/A 58147-2021 FSC-klagomål.docx", "A 58147-2021")</f>
        <v/>
      </c>
      <c r="W71">
        <f>HYPERLINK("https://klasma.github.io/Logging_2284/klagomålsmail/A 58147-2021 FSC-klagomål mail.docx", "A 58147-2021")</f>
        <v/>
      </c>
      <c r="X71">
        <f>HYPERLINK("https://klasma.github.io/Logging_2284/tillsyn/A 58147-2021 tillsynsbegäran.docx", "A 58147-2021")</f>
        <v/>
      </c>
      <c r="Y71">
        <f>HYPERLINK("https://klasma.github.io/Logging_2284/tillsynsmail/A 58147-2021 tillsynsbegäran mail.docx", "A 58147-2021")</f>
        <v/>
      </c>
    </row>
    <row r="72" ht="15" customHeight="1">
      <c r="A72" t="inlineStr">
        <is>
          <t>A 60137-2021</t>
        </is>
      </c>
      <c r="B72" s="1" t="n">
        <v>44494</v>
      </c>
      <c r="C72" s="1" t="n">
        <v>45260</v>
      </c>
      <c r="D72" t="inlineStr">
        <is>
          <t>VÄSTERNORRLANDS LÄN</t>
        </is>
      </c>
      <c r="E72" t="inlineStr">
        <is>
          <t>ÖRNSKÖLDSVIK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Harticka</t>
        </is>
      </c>
      <c r="S72">
        <f>HYPERLINK("https://klasma.github.io/Logging_2284/artfynd/A 60137-2021 artfynd.xlsx", "A 60137-2021")</f>
        <v/>
      </c>
      <c r="T72">
        <f>HYPERLINK("https://klasma.github.io/Logging_2284/kartor/A 60137-2021 karta.png", "A 60137-2021")</f>
        <v/>
      </c>
      <c r="V72">
        <f>HYPERLINK("https://klasma.github.io/Logging_2284/klagomål/A 60137-2021 FSC-klagomål.docx", "A 60137-2021")</f>
        <v/>
      </c>
      <c r="W72">
        <f>HYPERLINK("https://klasma.github.io/Logging_2284/klagomålsmail/A 60137-2021 FSC-klagomål mail.docx", "A 60137-2021")</f>
        <v/>
      </c>
      <c r="X72">
        <f>HYPERLINK("https://klasma.github.io/Logging_2284/tillsyn/A 60137-2021 tillsynsbegäran.docx", "A 60137-2021")</f>
        <v/>
      </c>
      <c r="Y72">
        <f>HYPERLINK("https://klasma.github.io/Logging_2284/tillsynsmail/A 60137-2021 tillsynsbegäran mail.docx", "A 60137-2021")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45260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67492-2021</t>
        </is>
      </c>
      <c r="B74" s="1" t="n">
        <v>44524</v>
      </c>
      <c r="C74" s="1" t="n">
        <v>45260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67492-2021 artfynd.xlsx", "A 67492-2021")</f>
        <v/>
      </c>
      <c r="T74">
        <f>HYPERLINK("https://klasma.github.io/Logging_2284/kartor/A 67492-2021 karta.png", "A 67492-2021")</f>
        <v/>
      </c>
      <c r="V74">
        <f>HYPERLINK("https://klasma.github.io/Logging_2284/klagomål/A 67492-2021 FSC-klagomål.docx", "A 67492-2021")</f>
        <v/>
      </c>
      <c r="W74">
        <f>HYPERLINK("https://klasma.github.io/Logging_2284/klagomålsmail/A 67492-2021 FSC-klagomål mail.docx", "A 67492-2021")</f>
        <v/>
      </c>
      <c r="X74">
        <f>HYPERLINK("https://klasma.github.io/Logging_2284/tillsyn/A 67492-2021 tillsynsbegäran.docx", "A 67492-2021")</f>
        <v/>
      </c>
      <c r="Y74">
        <f>HYPERLINK("https://klasma.github.io/Logging_2284/tillsynsmail/A 67492-2021 tillsynsbegäran mail.docx", "A 67492-2021")</f>
        <v/>
      </c>
    </row>
    <row r="75" ht="15" customHeight="1">
      <c r="A75" t="inlineStr">
        <is>
          <t>A 23088-2022</t>
        </is>
      </c>
      <c r="B75" s="1" t="n">
        <v>44719</v>
      </c>
      <c r="C75" s="1" t="n">
        <v>45260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23088-2022 artfynd.xlsx", "A 23088-2022")</f>
        <v/>
      </c>
      <c r="T75">
        <f>HYPERLINK("https://klasma.github.io/Logging_2284/kartor/A 23088-2022 karta.png", "A 23088-2022")</f>
        <v/>
      </c>
      <c r="V75">
        <f>HYPERLINK("https://klasma.github.io/Logging_2284/klagomål/A 23088-2022 FSC-klagomål.docx", "A 23088-2022")</f>
        <v/>
      </c>
      <c r="W75">
        <f>HYPERLINK("https://klasma.github.io/Logging_2284/klagomålsmail/A 23088-2022 FSC-klagomål mail.docx", "A 23088-2022")</f>
        <v/>
      </c>
      <c r="X75">
        <f>HYPERLINK("https://klasma.github.io/Logging_2284/tillsyn/A 23088-2022 tillsynsbegäran.docx", "A 23088-2022")</f>
        <v/>
      </c>
      <c r="Y75">
        <f>HYPERLINK("https://klasma.github.io/Logging_2284/tillsynsmail/A 23088-2022 tillsynsbegäran mail.docx", "A 23088-2022")</f>
        <v/>
      </c>
    </row>
    <row r="76" ht="15" customHeight="1">
      <c r="A76" t="inlineStr">
        <is>
          <t>A 32122-2022</t>
        </is>
      </c>
      <c r="B76" s="1" t="n">
        <v>44778</v>
      </c>
      <c r="C76" s="1" t="n">
        <v>45260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HYPERLINK("https://klasma.github.io/Logging_2284/artfynd/A 32122-2022 artfynd.xlsx", "A 32122-2022")</f>
        <v/>
      </c>
      <c r="T76">
        <f>HYPERLINK("https://klasma.github.io/Logging_2284/kartor/A 32122-2022 karta.png", "A 32122-2022")</f>
        <v/>
      </c>
      <c r="V76">
        <f>HYPERLINK("https://klasma.github.io/Logging_2284/klagomål/A 32122-2022 FSC-klagomål.docx", "A 32122-2022")</f>
        <v/>
      </c>
      <c r="W76">
        <f>HYPERLINK("https://klasma.github.io/Logging_2284/klagomålsmail/A 32122-2022 FSC-klagomål mail.docx", "A 32122-2022")</f>
        <v/>
      </c>
      <c r="X76">
        <f>HYPERLINK("https://klasma.github.io/Logging_2284/tillsyn/A 32122-2022 tillsynsbegäran.docx", "A 32122-2022")</f>
        <v/>
      </c>
      <c r="Y76">
        <f>HYPERLINK("https://klasma.github.io/Logging_2284/tillsynsmail/A 32122-2022 tillsynsbegäran mail.docx", "A 32122-2022")</f>
        <v/>
      </c>
    </row>
    <row r="77" ht="15" customHeight="1">
      <c r="A77" t="inlineStr">
        <is>
          <t>A 40636-2022</t>
        </is>
      </c>
      <c r="B77" s="1" t="n">
        <v>44824</v>
      </c>
      <c r="C77" s="1" t="n">
        <v>45260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HYPERLINK("https://klasma.github.io/Logging_2284/artfynd/A 40636-2022 artfynd.xlsx", "A 40636-2022")</f>
        <v/>
      </c>
      <c r="T77">
        <f>HYPERLINK("https://klasma.github.io/Logging_2284/kartor/A 40636-2022 karta.png", "A 40636-2022")</f>
        <v/>
      </c>
      <c r="V77">
        <f>HYPERLINK("https://klasma.github.io/Logging_2284/klagomål/A 40636-2022 FSC-klagomål.docx", "A 40636-2022")</f>
        <v/>
      </c>
      <c r="W77">
        <f>HYPERLINK("https://klasma.github.io/Logging_2284/klagomålsmail/A 40636-2022 FSC-klagomål mail.docx", "A 40636-2022")</f>
        <v/>
      </c>
      <c r="X77">
        <f>HYPERLINK("https://klasma.github.io/Logging_2284/tillsyn/A 40636-2022 tillsynsbegäran.docx", "A 40636-2022")</f>
        <v/>
      </c>
      <c r="Y77">
        <f>HYPERLINK("https://klasma.github.io/Logging_2284/tillsynsmail/A 40636-2022 tillsynsbegäran mail.docx", "A 40636-2022")</f>
        <v/>
      </c>
    </row>
    <row r="78" ht="15" customHeight="1">
      <c r="A78" t="inlineStr">
        <is>
          <t>A 47067-2022</t>
        </is>
      </c>
      <c r="B78" s="1" t="n">
        <v>44852</v>
      </c>
      <c r="C78" s="1" t="n">
        <v>45260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HYPERLINK("https://klasma.github.io/Logging_2284/artfynd/A 47067-2022 artfynd.xlsx", "A 47067-2022")</f>
        <v/>
      </c>
      <c r="T78">
        <f>HYPERLINK("https://klasma.github.io/Logging_2284/kartor/A 47067-2022 karta.png", "A 47067-2022")</f>
        <v/>
      </c>
      <c r="V78">
        <f>HYPERLINK("https://klasma.github.io/Logging_2284/klagomål/A 47067-2022 FSC-klagomål.docx", "A 47067-2022")</f>
        <v/>
      </c>
      <c r="W78">
        <f>HYPERLINK("https://klasma.github.io/Logging_2284/klagomålsmail/A 47067-2022 FSC-klagomål mail.docx", "A 47067-2022")</f>
        <v/>
      </c>
      <c r="X78">
        <f>HYPERLINK("https://klasma.github.io/Logging_2284/tillsyn/A 47067-2022 tillsynsbegäran.docx", "A 47067-2022")</f>
        <v/>
      </c>
      <c r="Y78">
        <f>HYPERLINK("https://klasma.github.io/Logging_2284/tillsynsmail/A 47067-2022 tillsynsbegäran mail.docx", "A 47067-2022")</f>
        <v/>
      </c>
    </row>
    <row r="79" ht="15" customHeight="1">
      <c r="A79" t="inlineStr">
        <is>
          <t>A 51183-2022</t>
        </is>
      </c>
      <c r="B79" s="1" t="n">
        <v>44868</v>
      </c>
      <c r="C79" s="1" t="n">
        <v>45260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51183-2022 artfynd.xlsx", "A 51183-2022")</f>
        <v/>
      </c>
      <c r="T79">
        <f>HYPERLINK("https://klasma.github.io/Logging_2284/kartor/A 51183-2022 karta.png", "A 51183-2022")</f>
        <v/>
      </c>
      <c r="V79">
        <f>HYPERLINK("https://klasma.github.io/Logging_2284/klagomål/A 51183-2022 FSC-klagomål.docx", "A 51183-2022")</f>
        <v/>
      </c>
      <c r="W79">
        <f>HYPERLINK("https://klasma.github.io/Logging_2284/klagomålsmail/A 51183-2022 FSC-klagomål mail.docx", "A 51183-2022")</f>
        <v/>
      </c>
      <c r="X79">
        <f>HYPERLINK("https://klasma.github.io/Logging_2284/tillsyn/A 51183-2022 tillsynsbegäran.docx", "A 51183-2022")</f>
        <v/>
      </c>
      <c r="Y79">
        <f>HYPERLINK("https://klasma.github.io/Logging_2284/tillsynsmail/A 51183-2022 tillsynsbegäran mail.docx", "A 51183-2022")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45260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</row>
    <row r="81" ht="15" customHeight="1">
      <c r="A81" t="inlineStr">
        <is>
          <t>A 58340-2022</t>
        </is>
      </c>
      <c r="B81" s="1" t="n">
        <v>44901</v>
      </c>
      <c r="C81" s="1" t="n">
        <v>45260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HYPERLINK("https://klasma.github.io/Logging_2284/artfynd/A 58340-2022 artfynd.xlsx", "A 58340-2022")</f>
        <v/>
      </c>
      <c r="T81">
        <f>HYPERLINK("https://klasma.github.io/Logging_2284/kartor/A 58340-2022 karta.png", "A 58340-2022")</f>
        <v/>
      </c>
      <c r="V81">
        <f>HYPERLINK("https://klasma.github.io/Logging_2284/klagomål/A 58340-2022 FSC-klagomål.docx", "A 58340-2022")</f>
        <v/>
      </c>
      <c r="W81">
        <f>HYPERLINK("https://klasma.github.io/Logging_2284/klagomålsmail/A 58340-2022 FSC-klagomål mail.docx", "A 58340-2022")</f>
        <v/>
      </c>
      <c r="X81">
        <f>HYPERLINK("https://klasma.github.io/Logging_2284/tillsyn/A 58340-2022 tillsynsbegäran.docx", "A 58340-2022")</f>
        <v/>
      </c>
      <c r="Y81">
        <f>HYPERLINK("https://klasma.github.io/Logging_2284/tillsynsmail/A 58340-2022 tillsynsbegäran mail.docx", "A 58340-2022")</f>
        <v/>
      </c>
    </row>
    <row r="82" ht="15" customHeight="1">
      <c r="A82" t="inlineStr">
        <is>
          <t>A 61109-2022</t>
        </is>
      </c>
      <c r="B82" s="1" t="n">
        <v>44908</v>
      </c>
      <c r="C82" s="1" t="n">
        <v>45260</v>
      </c>
      <c r="D82" t="inlineStr">
        <is>
          <t>VÄSTERNORRLANDS LÄN</t>
        </is>
      </c>
      <c r="E82" t="inlineStr">
        <is>
          <t>ÖRNSKÖLDSVIK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Storspov</t>
        </is>
      </c>
      <c r="S82">
        <f>HYPERLINK("https://klasma.github.io/Logging_2284/artfynd/A 61109-2022 artfynd.xlsx", "A 61109-2022")</f>
        <v/>
      </c>
      <c r="T82">
        <f>HYPERLINK("https://klasma.github.io/Logging_2284/kartor/A 61109-2022 karta.png", "A 61109-2022")</f>
        <v/>
      </c>
      <c r="V82">
        <f>HYPERLINK("https://klasma.github.io/Logging_2284/klagomål/A 61109-2022 FSC-klagomål.docx", "A 61109-2022")</f>
        <v/>
      </c>
      <c r="W82">
        <f>HYPERLINK("https://klasma.github.io/Logging_2284/klagomålsmail/A 61109-2022 FSC-klagomål mail.docx", "A 61109-2022")</f>
        <v/>
      </c>
      <c r="X82">
        <f>HYPERLINK("https://klasma.github.io/Logging_2284/tillsyn/A 61109-2022 tillsynsbegäran.docx", "A 61109-2022")</f>
        <v/>
      </c>
      <c r="Y82">
        <f>HYPERLINK("https://klasma.github.io/Logging_2284/tillsynsmail/A 61109-2022 tillsynsbegäran mail.docx", "A 61109-2022")</f>
        <v/>
      </c>
    </row>
    <row r="83" ht="15" customHeight="1">
      <c r="A83" t="inlineStr">
        <is>
          <t>A 61234-2022</t>
        </is>
      </c>
      <c r="B83" s="1" t="n">
        <v>44915</v>
      </c>
      <c r="C83" s="1" t="n">
        <v>45260</v>
      </c>
      <c r="D83" t="inlineStr">
        <is>
          <t>VÄSTERNORRLANDS LÄN</t>
        </is>
      </c>
      <c r="E83" t="inlineStr">
        <is>
          <t>ÖRNSKÖLDSVIK</t>
        </is>
      </c>
      <c r="G83" t="n">
        <v>1.3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HYPERLINK("https://klasma.github.io/Logging_2284/artfynd/A 61234-2022 artfynd.xlsx", "A 61234-2022")</f>
        <v/>
      </c>
      <c r="T83">
        <f>HYPERLINK("https://klasma.github.io/Logging_2284/kartor/A 61234-2022 karta.png", "A 61234-2022")</f>
        <v/>
      </c>
      <c r="V83">
        <f>HYPERLINK("https://klasma.github.io/Logging_2284/klagomål/A 61234-2022 FSC-klagomål.docx", "A 61234-2022")</f>
        <v/>
      </c>
      <c r="W83">
        <f>HYPERLINK("https://klasma.github.io/Logging_2284/klagomålsmail/A 61234-2022 FSC-klagomål mail.docx", "A 61234-2022")</f>
        <v/>
      </c>
      <c r="X83">
        <f>HYPERLINK("https://klasma.github.io/Logging_2284/tillsyn/A 61234-2022 tillsynsbegäran.docx", "A 61234-2022")</f>
        <v/>
      </c>
      <c r="Y83">
        <f>HYPERLINK("https://klasma.github.io/Logging_2284/tillsynsmail/A 61234-2022 tillsynsbegäran mail.docx", "A 61234-2022")</f>
        <v/>
      </c>
    </row>
    <row r="84" ht="15" customHeight="1">
      <c r="A84" t="inlineStr">
        <is>
          <t>A 62080-2022</t>
        </is>
      </c>
      <c r="B84" s="1" t="n">
        <v>44918</v>
      </c>
      <c r="C84" s="1" t="n">
        <v>45260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</row>
    <row r="85" ht="15" customHeight="1">
      <c r="A85" t="inlineStr">
        <is>
          <t>A 7323-2023</t>
        </is>
      </c>
      <c r="B85" s="1" t="n">
        <v>44970</v>
      </c>
      <c r="C85" s="1" t="n">
        <v>45260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7323-2023 artfynd.xlsx", "A 7323-2023")</f>
        <v/>
      </c>
      <c r="T85">
        <f>HYPERLINK("https://klasma.github.io/Logging_2284/kartor/A 7323-2023 karta.png", "A 7323-2023")</f>
        <v/>
      </c>
      <c r="V85">
        <f>HYPERLINK("https://klasma.github.io/Logging_2284/klagomål/A 7323-2023 FSC-klagomål.docx", "A 7323-2023")</f>
        <v/>
      </c>
      <c r="W85">
        <f>HYPERLINK("https://klasma.github.io/Logging_2284/klagomålsmail/A 7323-2023 FSC-klagomål mail.docx", "A 7323-2023")</f>
        <v/>
      </c>
      <c r="X85">
        <f>HYPERLINK("https://klasma.github.io/Logging_2284/tillsyn/A 7323-2023 tillsynsbegäran.docx", "A 7323-2023")</f>
        <v/>
      </c>
      <c r="Y85">
        <f>HYPERLINK("https://klasma.github.io/Logging_2284/tillsynsmail/A 7323-2023 tillsynsbegäran mail.docx", "A 7323-2023")</f>
        <v/>
      </c>
    </row>
    <row r="86" ht="15" customHeight="1">
      <c r="A86" t="inlineStr">
        <is>
          <t>A 8677-2023</t>
        </is>
      </c>
      <c r="B86" s="1" t="n">
        <v>44977</v>
      </c>
      <c r="C86" s="1" t="n">
        <v>45260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8677-2023 artfynd.xlsx", "A 8677-2023")</f>
        <v/>
      </c>
      <c r="T86">
        <f>HYPERLINK("https://klasma.github.io/Logging_2284/kartor/A 8677-2023 karta.png", "A 8677-2023")</f>
        <v/>
      </c>
      <c r="V86">
        <f>HYPERLINK("https://klasma.github.io/Logging_2284/klagomål/A 8677-2023 FSC-klagomål.docx", "A 8677-2023")</f>
        <v/>
      </c>
      <c r="W86">
        <f>HYPERLINK("https://klasma.github.io/Logging_2284/klagomålsmail/A 8677-2023 FSC-klagomål mail.docx", "A 8677-2023")</f>
        <v/>
      </c>
      <c r="X86">
        <f>HYPERLINK("https://klasma.github.io/Logging_2284/tillsyn/A 8677-2023 tillsynsbegäran.docx", "A 8677-2023")</f>
        <v/>
      </c>
      <c r="Y86">
        <f>HYPERLINK("https://klasma.github.io/Logging_2284/tillsynsmail/A 8677-2023 tillsynsbegäran mail.docx", "A 8677-2023")</f>
        <v/>
      </c>
    </row>
    <row r="87" ht="15" customHeight="1">
      <c r="A87" t="inlineStr">
        <is>
          <t>A 12352-2023</t>
        </is>
      </c>
      <c r="B87" s="1" t="n">
        <v>44998</v>
      </c>
      <c r="C87" s="1" t="n">
        <v>45260</v>
      </c>
      <c r="D87" t="inlineStr">
        <is>
          <t>VÄSTERNORRLANDS LÄN</t>
        </is>
      </c>
      <c r="E87" t="inlineStr">
        <is>
          <t>ÖRNSKÖLDSVIK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HYPERLINK("https://klasma.github.io/Logging_2284/artfynd/A 12352-2023 artfynd.xlsx", "A 12352-2023")</f>
        <v/>
      </c>
      <c r="T87">
        <f>HYPERLINK("https://klasma.github.io/Logging_2284/kartor/A 12352-2023 karta.png", "A 12352-2023")</f>
        <v/>
      </c>
      <c r="V87">
        <f>HYPERLINK("https://klasma.github.io/Logging_2284/klagomål/A 12352-2023 FSC-klagomål.docx", "A 12352-2023")</f>
        <v/>
      </c>
      <c r="W87">
        <f>HYPERLINK("https://klasma.github.io/Logging_2284/klagomålsmail/A 12352-2023 FSC-klagomål mail.docx", "A 12352-2023")</f>
        <v/>
      </c>
      <c r="X87">
        <f>HYPERLINK("https://klasma.github.io/Logging_2284/tillsyn/A 12352-2023 tillsynsbegäran.docx", "A 12352-2023")</f>
        <v/>
      </c>
      <c r="Y87">
        <f>HYPERLINK("https://klasma.github.io/Logging_2284/tillsynsmail/A 12352-2023 tillsynsbegäran mail.docx", "A 12352-2023")</f>
        <v/>
      </c>
    </row>
    <row r="88" ht="15" customHeight="1">
      <c r="A88" t="inlineStr">
        <is>
          <t>A 13220-2023</t>
        </is>
      </c>
      <c r="B88" s="1" t="n">
        <v>45002</v>
      </c>
      <c r="C88" s="1" t="n">
        <v>45260</v>
      </c>
      <c r="D88" t="inlineStr">
        <is>
          <t>VÄSTERNORRLANDS LÄN</t>
        </is>
      </c>
      <c r="E88" t="inlineStr">
        <is>
          <t>ÖRNSKÖLDSVIK</t>
        </is>
      </c>
      <c r="G88" t="n">
        <v>7.8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13220-2023 artfynd.xlsx", "A 13220-2023")</f>
        <v/>
      </c>
      <c r="T88">
        <f>HYPERLINK("https://klasma.github.io/Logging_2284/kartor/A 13220-2023 karta.png", "A 13220-2023")</f>
        <v/>
      </c>
      <c r="V88">
        <f>HYPERLINK("https://klasma.github.io/Logging_2284/klagomål/A 13220-2023 FSC-klagomål.docx", "A 13220-2023")</f>
        <v/>
      </c>
      <c r="W88">
        <f>HYPERLINK("https://klasma.github.io/Logging_2284/klagomålsmail/A 13220-2023 FSC-klagomål mail.docx", "A 13220-2023")</f>
        <v/>
      </c>
      <c r="X88">
        <f>HYPERLINK("https://klasma.github.io/Logging_2284/tillsyn/A 13220-2023 tillsynsbegäran.docx", "A 13220-2023")</f>
        <v/>
      </c>
      <c r="Y88">
        <f>HYPERLINK("https://klasma.github.io/Logging_2284/tillsynsmail/A 13220-2023 tillsynsbegäran mail.docx", "A 13220-2023")</f>
        <v/>
      </c>
    </row>
    <row r="89" ht="15" customHeight="1">
      <c r="A89" t="inlineStr">
        <is>
          <t>A 25153-2023</t>
        </is>
      </c>
      <c r="B89" s="1" t="n">
        <v>45086</v>
      </c>
      <c r="C89" s="1" t="n">
        <v>45260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36.1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HYPERLINK("https://klasma.github.io/Logging_2284/artfynd/A 25153-2023 artfynd.xlsx", "A 25153-2023")</f>
        <v/>
      </c>
      <c r="T89">
        <f>HYPERLINK("https://klasma.github.io/Logging_2284/kartor/A 25153-2023 karta.png", "A 25153-2023")</f>
        <v/>
      </c>
      <c r="V89">
        <f>HYPERLINK("https://klasma.github.io/Logging_2284/klagomål/A 25153-2023 FSC-klagomål.docx", "A 25153-2023")</f>
        <v/>
      </c>
      <c r="W89">
        <f>HYPERLINK("https://klasma.github.io/Logging_2284/klagomålsmail/A 25153-2023 FSC-klagomål mail.docx", "A 25153-2023")</f>
        <v/>
      </c>
      <c r="X89">
        <f>HYPERLINK("https://klasma.github.io/Logging_2284/tillsyn/A 25153-2023 tillsynsbegäran.docx", "A 25153-2023")</f>
        <v/>
      </c>
      <c r="Y89">
        <f>HYPERLINK("https://klasma.github.io/Logging_2284/tillsynsmail/A 25153-2023 tillsynsbegäran mail.docx", "A 25153-2023")</f>
        <v/>
      </c>
    </row>
    <row r="90" ht="15" customHeight="1">
      <c r="A90" t="inlineStr">
        <is>
          <t>A 25587-2023</t>
        </is>
      </c>
      <c r="B90" s="1" t="n">
        <v>45089</v>
      </c>
      <c r="C90" s="1" t="n">
        <v>45260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25587-2023 artfynd.xlsx", "A 25587-2023")</f>
        <v/>
      </c>
      <c r="T90">
        <f>HYPERLINK("https://klasma.github.io/Logging_2284/kartor/A 25587-2023 karta.png", "A 25587-2023")</f>
        <v/>
      </c>
      <c r="V90">
        <f>HYPERLINK("https://klasma.github.io/Logging_2284/klagomål/A 25587-2023 FSC-klagomål.docx", "A 25587-2023")</f>
        <v/>
      </c>
      <c r="W90">
        <f>HYPERLINK("https://klasma.github.io/Logging_2284/klagomålsmail/A 25587-2023 FSC-klagomål mail.docx", "A 25587-2023")</f>
        <v/>
      </c>
      <c r="X90">
        <f>HYPERLINK("https://klasma.github.io/Logging_2284/tillsyn/A 25587-2023 tillsynsbegäran.docx", "A 25587-2023")</f>
        <v/>
      </c>
      <c r="Y90">
        <f>HYPERLINK("https://klasma.github.io/Logging_2284/tillsynsmail/A 25587-2023 tillsynsbegäran mail.docx", "A 25587-2023")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45260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</row>
    <row r="92" ht="15" customHeight="1">
      <c r="A92" t="inlineStr">
        <is>
          <t>A 33003-2023</t>
        </is>
      </c>
      <c r="B92" s="1" t="n">
        <v>45113</v>
      </c>
      <c r="C92" s="1" t="n">
        <v>45260</v>
      </c>
      <c r="D92" t="inlineStr">
        <is>
          <t>VÄSTERNORRLANDS LÄN</t>
        </is>
      </c>
      <c r="E92" t="inlineStr">
        <is>
          <t>ÖRNSKÖLDSVIK</t>
        </is>
      </c>
      <c r="G92" t="n">
        <v>4.6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33003-2023 artfynd.xlsx", "A 33003-2023")</f>
        <v/>
      </c>
      <c r="T92">
        <f>HYPERLINK("https://klasma.github.io/Logging_2284/kartor/A 33003-2023 karta.png", "A 33003-2023")</f>
        <v/>
      </c>
      <c r="V92">
        <f>HYPERLINK("https://klasma.github.io/Logging_2284/klagomål/A 33003-2023 FSC-klagomål.docx", "A 33003-2023")</f>
        <v/>
      </c>
      <c r="W92">
        <f>HYPERLINK("https://klasma.github.io/Logging_2284/klagomålsmail/A 33003-2023 FSC-klagomål mail.docx", "A 33003-2023")</f>
        <v/>
      </c>
      <c r="X92">
        <f>HYPERLINK("https://klasma.github.io/Logging_2284/tillsyn/A 33003-2023 tillsynsbegäran.docx", "A 33003-2023")</f>
        <v/>
      </c>
      <c r="Y92">
        <f>HYPERLINK("https://klasma.github.io/Logging_2284/tillsynsmail/A 33003-2023 tillsynsbegäran mail.docx", "A 33003-2023")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45260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47839-2023</t>
        </is>
      </c>
      <c r="B94" s="1" t="n">
        <v>45204</v>
      </c>
      <c r="C94" s="1" t="n">
        <v>45260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47839-2023 artfynd.xlsx", "A 47839-2023")</f>
        <v/>
      </c>
      <c r="T94">
        <f>HYPERLINK("https://klasma.github.io/Logging_2284/kartor/A 47839-2023 karta.png", "A 47839-2023")</f>
        <v/>
      </c>
      <c r="V94">
        <f>HYPERLINK("https://klasma.github.io/Logging_2284/klagomål/A 47839-2023 FSC-klagomål.docx", "A 47839-2023")</f>
        <v/>
      </c>
      <c r="W94">
        <f>HYPERLINK("https://klasma.github.io/Logging_2284/klagomålsmail/A 47839-2023 FSC-klagomål mail.docx", "A 47839-2023")</f>
        <v/>
      </c>
      <c r="X94">
        <f>HYPERLINK("https://klasma.github.io/Logging_2284/tillsyn/A 47839-2023 tillsynsbegäran.docx", "A 47839-2023")</f>
        <v/>
      </c>
      <c r="Y94">
        <f>HYPERLINK("https://klasma.github.io/Logging_2284/tillsynsmail/A 47839-2023 tillsynsbegäran mail.docx", "A 47839-2023")</f>
        <v/>
      </c>
    </row>
    <row r="95" ht="15" customHeight="1">
      <c r="A95" t="inlineStr">
        <is>
          <t>A 49058-2023</t>
        </is>
      </c>
      <c r="B95" s="1" t="n">
        <v>45204</v>
      </c>
      <c r="C95" s="1" t="n">
        <v>45260</v>
      </c>
      <c r="D95" t="inlineStr">
        <is>
          <t>VÄSTERNORRLANDS LÄN</t>
        </is>
      </c>
      <c r="E95" t="inlineStr">
        <is>
          <t>ÖRNSKÖLDSVIK</t>
        </is>
      </c>
      <c r="G95" t="n">
        <v>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49058-2023 artfynd.xlsx", "A 49058-2023")</f>
        <v/>
      </c>
      <c r="T95">
        <f>HYPERLINK("https://klasma.github.io/Logging_2284/kartor/A 49058-2023 karta.png", "A 49058-2023")</f>
        <v/>
      </c>
      <c r="V95">
        <f>HYPERLINK("https://klasma.github.io/Logging_2284/klagomål/A 49058-2023 FSC-klagomål.docx", "A 49058-2023")</f>
        <v/>
      </c>
      <c r="W95">
        <f>HYPERLINK("https://klasma.github.io/Logging_2284/klagomålsmail/A 49058-2023 FSC-klagomål mail.docx", "A 49058-2023")</f>
        <v/>
      </c>
      <c r="X95">
        <f>HYPERLINK("https://klasma.github.io/Logging_2284/tillsyn/A 49058-2023 tillsynsbegäran.docx", "A 49058-2023")</f>
        <v/>
      </c>
      <c r="Y95">
        <f>HYPERLINK("https://klasma.github.io/Logging_2284/tillsynsmail/A 49058-2023 tillsynsbegäran mail.docx", "A 49058-2023")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45260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58802-2023</t>
        </is>
      </c>
      <c r="B97" s="1" t="n">
        <v>45247</v>
      </c>
      <c r="C97" s="1" t="n">
        <v>45260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Kommuner</t>
        </is>
      </c>
      <c r="G97" t="n">
        <v>3.4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HYPERLINK("https://klasma.github.io/Logging_2284/artfynd/A 58802-2023 artfynd.xlsx", "A 58802-2023")</f>
        <v/>
      </c>
      <c r="T97">
        <f>HYPERLINK("https://klasma.github.io/Logging_2284/kartor/A 58802-2023 karta.png", "A 58802-2023")</f>
        <v/>
      </c>
      <c r="V97">
        <f>HYPERLINK("https://klasma.github.io/Logging_2284/klagomål/A 58802-2023 FSC-klagomål.docx", "A 58802-2023")</f>
        <v/>
      </c>
      <c r="W97">
        <f>HYPERLINK("https://klasma.github.io/Logging_2284/klagomålsmail/A 58802-2023 FSC-klagomål mail.docx", "A 58802-2023")</f>
        <v/>
      </c>
      <c r="X97">
        <f>HYPERLINK("https://klasma.github.io/Logging_2284/tillsyn/A 58802-2023 tillsynsbegäran.docx", "A 58802-2023")</f>
        <v/>
      </c>
      <c r="Y97">
        <f>HYPERLINK("https://klasma.github.io/Logging_2284/tillsynsmail/A 58802-2023 tillsynsbegäran mail.docx", "A 58802-2023")</f>
        <v/>
      </c>
    </row>
    <row r="98" ht="15" customHeight="1">
      <c r="A98" t="inlineStr">
        <is>
          <t>A 59187-2023</t>
        </is>
      </c>
      <c r="B98" s="1" t="n">
        <v>45253</v>
      </c>
      <c r="C98" s="1" t="n">
        <v>45260</v>
      </c>
      <c r="D98" t="inlineStr">
        <is>
          <t>VÄSTERNORRLANDS LÄN</t>
        </is>
      </c>
      <c r="E98" t="inlineStr">
        <is>
          <t>ÖRNSKÖLDSVIK</t>
        </is>
      </c>
      <c r="G98" t="n">
        <v>35.7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59187-2023 artfynd.xlsx", "A 59187-2023")</f>
        <v/>
      </c>
      <c r="T98">
        <f>HYPERLINK("https://klasma.github.io/Logging_2284/kartor/A 59187-2023 karta.png", "A 59187-2023")</f>
        <v/>
      </c>
      <c r="V98">
        <f>HYPERLINK("https://klasma.github.io/Logging_2284/klagomål/A 59187-2023 FSC-klagomål.docx", "A 59187-2023")</f>
        <v/>
      </c>
      <c r="W98">
        <f>HYPERLINK("https://klasma.github.io/Logging_2284/klagomålsmail/A 59187-2023 FSC-klagomål mail.docx", "A 59187-2023")</f>
        <v/>
      </c>
      <c r="X98">
        <f>HYPERLINK("https://klasma.github.io/Logging_2284/tillsyn/A 59187-2023 tillsynsbegäran.docx", "A 59187-2023")</f>
        <v/>
      </c>
      <c r="Y98">
        <f>HYPERLINK("https://klasma.github.io/Logging_2284/tillsynsmail/A 59187-2023 tillsynsbegäran mail.docx", "A 59187-2023")</f>
        <v/>
      </c>
    </row>
    <row r="99" ht="15" customHeight="1">
      <c r="A99" t="inlineStr">
        <is>
          <t>A 33961-2018</t>
        </is>
      </c>
      <c r="B99" s="1" t="n">
        <v>43314</v>
      </c>
      <c r="C99" s="1" t="n">
        <v>45260</v>
      </c>
      <c r="D99" t="inlineStr">
        <is>
          <t>VÄSTERNORRLANDS LÄN</t>
        </is>
      </c>
      <c r="E99" t="inlineStr">
        <is>
          <t>ÖRNSKÖLDSVIK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34266-2018</t>
        </is>
      </c>
      <c r="B100" s="1" t="n">
        <v>43318</v>
      </c>
      <c r="C100" s="1" t="n">
        <v>45260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34940-2018</t>
        </is>
      </c>
      <c r="B101" s="1" t="n">
        <v>43321</v>
      </c>
      <c r="C101" s="1" t="n">
        <v>45260</v>
      </c>
      <c r="D101" t="inlineStr">
        <is>
          <t>VÄSTERNORRLANDS LÄN</t>
        </is>
      </c>
      <c r="E101" t="inlineStr">
        <is>
          <t>ÖRNSKÖLDSVIK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34928-2018</t>
        </is>
      </c>
      <c r="B102" s="1" t="n">
        <v>43321</v>
      </c>
      <c r="C102" s="1" t="n">
        <v>45260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35116-2018</t>
        </is>
      </c>
      <c r="B103" s="1" t="n">
        <v>43322</v>
      </c>
      <c r="C103" s="1" t="n">
        <v>45260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35973-2018</t>
        </is>
      </c>
      <c r="B104" s="1" t="n">
        <v>43326</v>
      </c>
      <c r="C104" s="1" t="n">
        <v>45260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36360-2018</t>
        </is>
      </c>
      <c r="B105" s="1" t="n">
        <v>43328</v>
      </c>
      <c r="C105" s="1" t="n">
        <v>45260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36362-2018</t>
        </is>
      </c>
      <c r="B106" s="1" t="n">
        <v>43328</v>
      </c>
      <c r="C106" s="1" t="n">
        <v>45260</v>
      </c>
      <c r="D106" t="inlineStr">
        <is>
          <t>VÄSTERNORRLANDS LÄN</t>
        </is>
      </c>
      <c r="E106" t="inlineStr">
        <is>
          <t>ÖRNSKÖLDSVIK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36744-2018</t>
        </is>
      </c>
      <c r="B107" s="1" t="n">
        <v>43329</v>
      </c>
      <c r="C107" s="1" t="n">
        <v>45260</v>
      </c>
      <c r="D107" t="inlineStr">
        <is>
          <t>VÄSTERNORRLANDS LÄN</t>
        </is>
      </c>
      <c r="E107" t="inlineStr">
        <is>
          <t>ÖRNSKÖLDSVIK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37715-2018</t>
        </is>
      </c>
      <c r="B108" s="1" t="n">
        <v>43334</v>
      </c>
      <c r="C108" s="1" t="n">
        <v>45260</v>
      </c>
      <c r="D108" t="inlineStr">
        <is>
          <t>VÄSTERNORRLANDS LÄN</t>
        </is>
      </c>
      <c r="E108" t="inlineStr">
        <is>
          <t>ÖRNSKÖLDSVIK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40146-2018</t>
        </is>
      </c>
      <c r="B109" s="1" t="n">
        <v>43342</v>
      </c>
      <c r="C109" s="1" t="n">
        <v>45260</v>
      </c>
      <c r="D109" t="inlineStr">
        <is>
          <t>VÄSTERNORRLANDS LÄN</t>
        </is>
      </c>
      <c r="E109" t="inlineStr">
        <is>
          <t>ÖRNSKÖLDSVIK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40500-2018</t>
        </is>
      </c>
      <c r="B110" s="1" t="n">
        <v>43342</v>
      </c>
      <c r="C110" s="1" t="n">
        <v>45260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40486-2018</t>
        </is>
      </c>
      <c r="B111" s="1" t="n">
        <v>43342</v>
      </c>
      <c r="C111" s="1" t="n">
        <v>45260</v>
      </c>
      <c r="D111" t="inlineStr">
        <is>
          <t>VÄSTERNORRLANDS LÄN</t>
        </is>
      </c>
      <c r="E111" t="inlineStr">
        <is>
          <t>ÖRNSKÖLDSVIK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41521-2018</t>
        </is>
      </c>
      <c r="B112" s="1" t="n">
        <v>43347</v>
      </c>
      <c r="C112" s="1" t="n">
        <v>45260</v>
      </c>
      <c r="D112" t="inlineStr">
        <is>
          <t>VÄSTERNORRLANDS LÄN</t>
        </is>
      </c>
      <c r="E112" t="inlineStr">
        <is>
          <t>ÖRNSKÖLDSVIK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42695-2018</t>
        </is>
      </c>
      <c r="B113" s="1" t="n">
        <v>43350</v>
      </c>
      <c r="C113" s="1" t="n">
        <v>45260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43410-2018</t>
        </is>
      </c>
      <c r="B114" s="1" t="n">
        <v>43354</v>
      </c>
      <c r="C114" s="1" t="n">
        <v>45260</v>
      </c>
      <c r="D114" t="inlineStr">
        <is>
          <t>VÄSTERNORRLANDS LÄN</t>
        </is>
      </c>
      <c r="E114" t="inlineStr">
        <is>
          <t>ÖRNSKÖLDSVIK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44154-2018</t>
        </is>
      </c>
      <c r="B115" s="1" t="n">
        <v>43355</v>
      </c>
      <c r="C115" s="1" t="n">
        <v>45260</v>
      </c>
      <c r="D115" t="inlineStr">
        <is>
          <t>VÄSTERNORRLANDS LÄN</t>
        </is>
      </c>
      <c r="E115" t="inlineStr">
        <is>
          <t>ÖRNSKÖLDSVIK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44148-2018</t>
        </is>
      </c>
      <c r="B116" s="1" t="n">
        <v>43355</v>
      </c>
      <c r="C116" s="1" t="n">
        <v>45260</v>
      </c>
      <c r="D116" t="inlineStr">
        <is>
          <t>VÄSTERNORRLANDS LÄN</t>
        </is>
      </c>
      <c r="E116" t="inlineStr">
        <is>
          <t>ÖRNSKÖLDSVIK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43417-2018</t>
        </is>
      </c>
      <c r="B117" s="1" t="n">
        <v>43356</v>
      </c>
      <c r="C117" s="1" t="n">
        <v>45260</v>
      </c>
      <c r="D117" t="inlineStr">
        <is>
          <t>VÄSTERNORRLANDS LÄN</t>
        </is>
      </c>
      <c r="E117" t="inlineStr">
        <is>
          <t>ÖRNSKÖLDSVIK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44508-2018</t>
        </is>
      </c>
      <c r="B118" s="1" t="n">
        <v>43361</v>
      </c>
      <c r="C118" s="1" t="n">
        <v>45260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45379-2018</t>
        </is>
      </c>
      <c r="B119" s="1" t="n">
        <v>43361</v>
      </c>
      <c r="C119" s="1" t="n">
        <v>45260</v>
      </c>
      <c r="D119" t="inlineStr">
        <is>
          <t>VÄSTERNORRLANDS LÄN</t>
        </is>
      </c>
      <c r="E119" t="inlineStr">
        <is>
          <t>ÖRNSKÖLDSVIK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44875-2018</t>
        </is>
      </c>
      <c r="B120" s="1" t="n">
        <v>43362</v>
      </c>
      <c r="C120" s="1" t="n">
        <v>45260</v>
      </c>
      <c r="D120" t="inlineStr">
        <is>
          <t>VÄSTERNORRLANDS LÄN</t>
        </is>
      </c>
      <c r="E120" t="inlineStr">
        <is>
          <t>ÖRNSKÖLDSVIK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45074-2018</t>
        </is>
      </c>
      <c r="B121" s="1" t="n">
        <v>43362</v>
      </c>
      <c r="C121" s="1" t="n">
        <v>45260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45727-2018</t>
        </is>
      </c>
      <c r="B122" s="1" t="n">
        <v>43364</v>
      </c>
      <c r="C122" s="1" t="n">
        <v>45260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46105-2018</t>
        </is>
      </c>
      <c r="B123" s="1" t="n">
        <v>43367</v>
      </c>
      <c r="C123" s="1" t="n">
        <v>45260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48748-2018</t>
        </is>
      </c>
      <c r="B124" s="1" t="n">
        <v>43371</v>
      </c>
      <c r="C124" s="1" t="n">
        <v>45260</v>
      </c>
      <c r="D124" t="inlineStr">
        <is>
          <t>VÄSTERNORRLANDS LÄN</t>
        </is>
      </c>
      <c r="E124" t="inlineStr">
        <is>
          <t>ÖRNSKÖLDSVIK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49700-2018</t>
        </is>
      </c>
      <c r="B125" s="1" t="n">
        <v>43374</v>
      </c>
      <c r="C125" s="1" t="n">
        <v>45260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49699-2018</t>
        </is>
      </c>
      <c r="B126" s="1" t="n">
        <v>43374</v>
      </c>
      <c r="C126" s="1" t="n">
        <v>45260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49683-2018</t>
        </is>
      </c>
      <c r="B127" s="1" t="n">
        <v>43377</v>
      </c>
      <c r="C127" s="1" t="n">
        <v>45260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51064-2018</t>
        </is>
      </c>
      <c r="B128" s="1" t="n">
        <v>43377</v>
      </c>
      <c r="C128" s="1" t="n">
        <v>45260</v>
      </c>
      <c r="D128" t="inlineStr">
        <is>
          <t>VÄSTERNORRLANDS LÄN</t>
        </is>
      </c>
      <c r="E128" t="inlineStr">
        <is>
          <t>ÖRNSKÖLDSVIK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50911-2018</t>
        </is>
      </c>
      <c r="B129" s="1" t="n">
        <v>43382</v>
      </c>
      <c r="C129" s="1" t="n">
        <v>45260</v>
      </c>
      <c r="D129" t="inlineStr">
        <is>
          <t>VÄSTERNORRLANDS LÄN</t>
        </is>
      </c>
      <c r="E129" t="inlineStr">
        <is>
          <t>ÖRNSKÖLDSVIK</t>
        </is>
      </c>
      <c r="G129" t="n">
        <v>22.3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51975-2018</t>
        </is>
      </c>
      <c r="B130" s="1" t="n">
        <v>43382</v>
      </c>
      <c r="C130" s="1" t="n">
        <v>45260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51439-2018</t>
        </is>
      </c>
      <c r="B131" s="1" t="n">
        <v>43383</v>
      </c>
      <c r="C131" s="1" t="n">
        <v>45260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53633-2018</t>
        </is>
      </c>
      <c r="B132" s="1" t="n">
        <v>43388</v>
      </c>
      <c r="C132" s="1" t="n">
        <v>45260</v>
      </c>
      <c r="D132" t="inlineStr">
        <is>
          <t>VÄSTERNORRLANDS LÄN</t>
        </is>
      </c>
      <c r="E132" t="inlineStr">
        <is>
          <t>ÖRNSKÖLDSVIK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52456-2018</t>
        </is>
      </c>
      <c r="B133" s="1" t="n">
        <v>43388</v>
      </c>
      <c r="C133" s="1" t="n">
        <v>45260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54518-2018</t>
        </is>
      </c>
      <c r="B134" s="1" t="n">
        <v>43389</v>
      </c>
      <c r="C134" s="1" t="n">
        <v>45260</v>
      </c>
      <c r="D134" t="inlineStr">
        <is>
          <t>VÄSTERNORRLANDS LÄN</t>
        </is>
      </c>
      <c r="E134" t="inlineStr">
        <is>
          <t>ÖRNSKÖLDSVIK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54936-2018</t>
        </is>
      </c>
      <c r="B135" s="1" t="n">
        <v>43391</v>
      </c>
      <c r="C135" s="1" t="n">
        <v>45260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55453-2018</t>
        </is>
      </c>
      <c r="B136" s="1" t="n">
        <v>43391</v>
      </c>
      <c r="C136" s="1" t="n">
        <v>45260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55476-2018</t>
        </is>
      </c>
      <c r="B137" s="1" t="n">
        <v>43391</v>
      </c>
      <c r="C137" s="1" t="n">
        <v>45260</v>
      </c>
      <c r="D137" t="inlineStr">
        <is>
          <t>VÄSTERNORRLANDS LÄN</t>
        </is>
      </c>
      <c r="E137" t="inlineStr">
        <is>
          <t>ÖRNSKÖLDSVIK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55445-2018</t>
        </is>
      </c>
      <c r="B138" s="1" t="n">
        <v>43392</v>
      </c>
      <c r="C138" s="1" t="n">
        <v>45260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55497-2018</t>
        </is>
      </c>
      <c r="B139" s="1" t="n">
        <v>43392</v>
      </c>
      <c r="C139" s="1" t="n">
        <v>45260</v>
      </c>
      <c r="D139" t="inlineStr">
        <is>
          <t>VÄSTERNORRLANDS LÄN</t>
        </is>
      </c>
      <c r="E139" t="inlineStr">
        <is>
          <t>ÖRNSKÖLDSVIK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55499-2018</t>
        </is>
      </c>
      <c r="B140" s="1" t="n">
        <v>43392</v>
      </c>
      <c r="C140" s="1" t="n">
        <v>45260</v>
      </c>
      <c r="D140" t="inlineStr">
        <is>
          <t>VÄSTERNORRLANDS LÄN</t>
        </is>
      </c>
      <c r="E140" t="inlineStr">
        <is>
          <t>ÖRNSKÖLDSVIK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55490-2018</t>
        </is>
      </c>
      <c r="B141" s="1" t="n">
        <v>43392</v>
      </c>
      <c r="C141" s="1" t="n">
        <v>45260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54487-2018</t>
        </is>
      </c>
      <c r="B142" s="1" t="n">
        <v>43395</v>
      </c>
      <c r="C142" s="1" t="n">
        <v>45260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55667-2018</t>
        </is>
      </c>
      <c r="B143" s="1" t="n">
        <v>43395</v>
      </c>
      <c r="C143" s="1" t="n">
        <v>45260</v>
      </c>
      <c r="D143" t="inlineStr">
        <is>
          <t>VÄSTERNORRLANDS LÄN</t>
        </is>
      </c>
      <c r="E143" t="inlineStr">
        <is>
          <t>ÖRNSKÖLDSVIK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54818-2018</t>
        </is>
      </c>
      <c r="B144" s="1" t="n">
        <v>43396</v>
      </c>
      <c r="C144" s="1" t="n">
        <v>45260</v>
      </c>
      <c r="D144" t="inlineStr">
        <is>
          <t>VÄSTERNORRLANDS LÄN</t>
        </is>
      </c>
      <c r="E144" t="inlineStr">
        <is>
          <t>ÖRNSKÖLDSVIK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55322-2018</t>
        </is>
      </c>
      <c r="B145" s="1" t="n">
        <v>43397</v>
      </c>
      <c r="C145" s="1" t="n">
        <v>45260</v>
      </c>
      <c r="D145" t="inlineStr">
        <is>
          <t>VÄSTERNORRLANDS LÄN</t>
        </is>
      </c>
      <c r="E145" t="inlineStr">
        <is>
          <t>ÖRNSKÖLDSVIK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57891-2018</t>
        </is>
      </c>
      <c r="B146" s="1" t="n">
        <v>43397</v>
      </c>
      <c r="C146" s="1" t="n">
        <v>45260</v>
      </c>
      <c r="D146" t="inlineStr">
        <is>
          <t>VÄSTERNORRLANDS LÄN</t>
        </is>
      </c>
      <c r="E146" t="inlineStr">
        <is>
          <t>ÖRNSKÖLDSVIK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58390-2018</t>
        </is>
      </c>
      <c r="B147" s="1" t="n">
        <v>43398</v>
      </c>
      <c r="C147" s="1" t="n">
        <v>45260</v>
      </c>
      <c r="D147" t="inlineStr">
        <is>
          <t>VÄSTERNORRLANDS LÄN</t>
        </is>
      </c>
      <c r="E147" t="inlineStr">
        <is>
          <t>ÖRNSKÖLDSVIK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56170-2018</t>
        </is>
      </c>
      <c r="B148" s="1" t="n">
        <v>43399</v>
      </c>
      <c r="C148" s="1" t="n">
        <v>45260</v>
      </c>
      <c r="D148" t="inlineStr">
        <is>
          <t>VÄSTERNORRLANDS LÄN</t>
        </is>
      </c>
      <c r="E148" t="inlineStr">
        <is>
          <t>ÖRNSKÖLDSVIK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58711-2018</t>
        </is>
      </c>
      <c r="B149" s="1" t="n">
        <v>43399</v>
      </c>
      <c r="C149" s="1" t="n">
        <v>45260</v>
      </c>
      <c r="D149" t="inlineStr">
        <is>
          <t>VÄSTERNORRLANDS LÄN</t>
        </is>
      </c>
      <c r="E149" t="inlineStr">
        <is>
          <t>ÖRNSKÖLDSVIK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56420-2018</t>
        </is>
      </c>
      <c r="B150" s="1" t="n">
        <v>43399</v>
      </c>
      <c r="C150" s="1" t="n">
        <v>45260</v>
      </c>
      <c r="D150" t="inlineStr">
        <is>
          <t>VÄSTERNORRLANDS LÄN</t>
        </is>
      </c>
      <c r="E150" t="inlineStr">
        <is>
          <t>ÖRNSKÖLDSVIK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58728-2018</t>
        </is>
      </c>
      <c r="B151" s="1" t="n">
        <v>43399</v>
      </c>
      <c r="C151" s="1" t="n">
        <v>45260</v>
      </c>
      <c r="D151" t="inlineStr">
        <is>
          <t>VÄSTERNORRLANDS LÄN</t>
        </is>
      </c>
      <c r="E151" t="inlineStr">
        <is>
          <t>ÖRNSKÖLDSVIK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58726-2018</t>
        </is>
      </c>
      <c r="B152" s="1" t="n">
        <v>43399</v>
      </c>
      <c r="C152" s="1" t="n">
        <v>45260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56182-2018</t>
        </is>
      </c>
      <c r="B153" s="1" t="n">
        <v>43399</v>
      </c>
      <c r="C153" s="1" t="n">
        <v>45260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59058-2018</t>
        </is>
      </c>
      <c r="B154" s="1" t="n">
        <v>43403</v>
      </c>
      <c r="C154" s="1" t="n">
        <v>45260</v>
      </c>
      <c r="D154" t="inlineStr">
        <is>
          <t>VÄSTERNORRLANDS LÄN</t>
        </is>
      </c>
      <c r="E154" t="inlineStr">
        <is>
          <t>ÖRNSKÖLDSVIK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59061-2018</t>
        </is>
      </c>
      <c r="B155" s="1" t="n">
        <v>43403</v>
      </c>
      <c r="C155" s="1" t="n">
        <v>45260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59202-2018</t>
        </is>
      </c>
      <c r="B156" s="1" t="n">
        <v>43403</v>
      </c>
      <c r="C156" s="1" t="n">
        <v>45260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59201-2018</t>
        </is>
      </c>
      <c r="B157" s="1" t="n">
        <v>43403</v>
      </c>
      <c r="C157" s="1" t="n">
        <v>45260</v>
      </c>
      <c r="D157" t="inlineStr">
        <is>
          <t>VÄSTERNORRLANDS LÄN</t>
        </is>
      </c>
      <c r="E157" t="inlineStr">
        <is>
          <t>ÖRNSKÖLDSVIK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59203-2018</t>
        </is>
      </c>
      <c r="B158" s="1" t="n">
        <v>43403</v>
      </c>
      <c r="C158" s="1" t="n">
        <v>45260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57727-2018</t>
        </is>
      </c>
      <c r="B159" s="1" t="n">
        <v>43405</v>
      </c>
      <c r="C159" s="1" t="n">
        <v>45260</v>
      </c>
      <c r="D159" t="inlineStr">
        <is>
          <t>VÄSTERNORRLANDS LÄN</t>
        </is>
      </c>
      <c r="E159" t="inlineStr">
        <is>
          <t>ÖRNSKÖLDSVIK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60467-2018</t>
        </is>
      </c>
      <c r="B160" s="1" t="n">
        <v>43405</v>
      </c>
      <c r="C160" s="1" t="n">
        <v>45260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58828-2018</t>
        </is>
      </c>
      <c r="B161" s="1" t="n">
        <v>43410</v>
      </c>
      <c r="C161" s="1" t="n">
        <v>45260</v>
      </c>
      <c r="D161" t="inlineStr">
        <is>
          <t>VÄSTERNORRLANDS LÄN</t>
        </is>
      </c>
      <c r="E161" t="inlineStr">
        <is>
          <t>ÖRNSKÖLDSVIK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59695-2018</t>
        </is>
      </c>
      <c r="B162" s="1" t="n">
        <v>43411</v>
      </c>
      <c r="C162" s="1" t="n">
        <v>45260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59320-2018</t>
        </is>
      </c>
      <c r="B163" s="1" t="n">
        <v>43411</v>
      </c>
      <c r="C163" s="1" t="n">
        <v>45260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60119-2018</t>
        </is>
      </c>
      <c r="B164" s="1" t="n">
        <v>43412</v>
      </c>
      <c r="C164" s="1" t="n">
        <v>45260</v>
      </c>
      <c r="D164" t="inlineStr">
        <is>
          <t>VÄSTERNORRLANDS LÄN</t>
        </is>
      </c>
      <c r="E164" t="inlineStr">
        <is>
          <t>ÖRNSKÖLDSVIK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64851-2018</t>
        </is>
      </c>
      <c r="B165" s="1" t="n">
        <v>43412</v>
      </c>
      <c r="C165" s="1" t="n">
        <v>45260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60283-2018</t>
        </is>
      </c>
      <c r="B166" s="1" t="n">
        <v>43413</v>
      </c>
      <c r="C166" s="1" t="n">
        <v>45260</v>
      </c>
      <c r="D166" t="inlineStr">
        <is>
          <t>VÄSTERNORRLANDS LÄN</t>
        </is>
      </c>
      <c r="E166" t="inlineStr">
        <is>
          <t>ÖRNSKÖLDSVIK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62444-2018</t>
        </is>
      </c>
      <c r="B167" s="1" t="n">
        <v>43415</v>
      </c>
      <c r="C167" s="1" t="n">
        <v>45260</v>
      </c>
      <c r="D167" t="inlineStr">
        <is>
          <t>VÄSTERNORRLANDS LÄN</t>
        </is>
      </c>
      <c r="E167" t="inlineStr">
        <is>
          <t>ÖRNSKÖLDSVIK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59357-2018</t>
        </is>
      </c>
      <c r="B168" s="1" t="n">
        <v>43418</v>
      </c>
      <c r="C168" s="1" t="n">
        <v>45260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59349-2018</t>
        </is>
      </c>
      <c r="B169" s="1" t="n">
        <v>43418</v>
      </c>
      <c r="C169" s="1" t="n">
        <v>45260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59495-2018</t>
        </is>
      </c>
      <c r="B170" s="1" t="n">
        <v>43419</v>
      </c>
      <c r="C170" s="1" t="n">
        <v>45260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64279-2018</t>
        </is>
      </c>
      <c r="B171" s="1" t="n">
        <v>43419</v>
      </c>
      <c r="C171" s="1" t="n">
        <v>45260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64266-2018</t>
        </is>
      </c>
      <c r="B172" s="1" t="n">
        <v>43419</v>
      </c>
      <c r="C172" s="1" t="n">
        <v>45260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59954-2018</t>
        </is>
      </c>
      <c r="B173" s="1" t="n">
        <v>43419</v>
      </c>
      <c r="C173" s="1" t="n">
        <v>45260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60350-2018</t>
        </is>
      </c>
      <c r="B174" s="1" t="n">
        <v>43420</v>
      </c>
      <c r="C174" s="1" t="n">
        <v>45260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65189-2018</t>
        </is>
      </c>
      <c r="B175" s="1" t="n">
        <v>43420</v>
      </c>
      <c r="C175" s="1" t="n">
        <v>45260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65181-2018</t>
        </is>
      </c>
      <c r="B176" s="1" t="n">
        <v>43420</v>
      </c>
      <c r="C176" s="1" t="n">
        <v>45260</v>
      </c>
      <c r="D176" t="inlineStr">
        <is>
          <t>VÄSTERNORRLANDS LÄN</t>
        </is>
      </c>
      <c r="E176" t="inlineStr">
        <is>
          <t>ÖRNSKÖLDSVIK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61207-2018</t>
        </is>
      </c>
      <c r="B177" s="1" t="n">
        <v>43423</v>
      </c>
      <c r="C177" s="1" t="n">
        <v>45260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65259-2018</t>
        </is>
      </c>
      <c r="B178" s="1" t="n">
        <v>43423</v>
      </c>
      <c r="C178" s="1" t="n">
        <v>45260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61226-2018</t>
        </is>
      </c>
      <c r="B179" s="1" t="n">
        <v>43423</v>
      </c>
      <c r="C179" s="1" t="n">
        <v>45260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61108-2018</t>
        </is>
      </c>
      <c r="B180" s="1" t="n">
        <v>43423</v>
      </c>
      <c r="C180" s="1" t="n">
        <v>45260</v>
      </c>
      <c r="D180" t="inlineStr">
        <is>
          <t>VÄSTERNORRLANDS LÄN</t>
        </is>
      </c>
      <c r="E180" t="inlineStr">
        <is>
          <t>ÖRNSKÖLDSVIK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61936-2018</t>
        </is>
      </c>
      <c r="B181" s="1" t="n">
        <v>43425</v>
      </c>
      <c r="C181" s="1" t="n">
        <v>45260</v>
      </c>
      <c r="D181" t="inlineStr">
        <is>
          <t>VÄSTERNORRLANDS LÄN</t>
        </is>
      </c>
      <c r="E181" t="inlineStr">
        <is>
          <t>ÖRNSKÖLDSVIK</t>
        </is>
      </c>
      <c r="G181" t="n">
        <v>27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66239-2018</t>
        </is>
      </c>
      <c r="B182" s="1" t="n">
        <v>43426</v>
      </c>
      <c r="C182" s="1" t="n">
        <v>45260</v>
      </c>
      <c r="D182" t="inlineStr">
        <is>
          <t>VÄSTERNORRLANDS LÄN</t>
        </is>
      </c>
      <c r="E182" t="inlineStr">
        <is>
          <t>ÖRNSKÖLDSVIK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63821-2018</t>
        </is>
      </c>
      <c r="B183" s="1" t="n">
        <v>43429</v>
      </c>
      <c r="C183" s="1" t="n">
        <v>45260</v>
      </c>
      <c r="D183" t="inlineStr">
        <is>
          <t>VÄSTERNORRLANDS LÄN</t>
        </is>
      </c>
      <c r="E183" t="inlineStr">
        <is>
          <t>ÖRNSKÖLDSVIK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64406-2018</t>
        </is>
      </c>
      <c r="B184" s="1" t="n">
        <v>43430</v>
      </c>
      <c r="C184" s="1" t="n">
        <v>45260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SCA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65933-2018</t>
        </is>
      </c>
      <c r="B185" s="1" t="n">
        <v>43430</v>
      </c>
      <c r="C185" s="1" t="n">
        <v>45260</v>
      </c>
      <c r="D185" t="inlineStr">
        <is>
          <t>VÄSTERNORRLANDS LÄN</t>
        </is>
      </c>
      <c r="E185" t="inlineStr">
        <is>
          <t>ÖRNSKÖLDSVIK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64711-2018</t>
        </is>
      </c>
      <c r="B186" s="1" t="n">
        <v>43431</v>
      </c>
      <c r="C186" s="1" t="n">
        <v>45260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64993-2018</t>
        </is>
      </c>
      <c r="B187" s="1" t="n">
        <v>43432</v>
      </c>
      <c r="C187" s="1" t="n">
        <v>45260</v>
      </c>
      <c r="D187" t="inlineStr">
        <is>
          <t>VÄSTERNORRLANDS LÄN</t>
        </is>
      </c>
      <c r="E187" t="inlineStr">
        <is>
          <t>ÖRNSKÖLDSVIK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65006-2018</t>
        </is>
      </c>
      <c r="B188" s="1" t="n">
        <v>43432</v>
      </c>
      <c r="C188" s="1" t="n">
        <v>45260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67345-2018</t>
        </is>
      </c>
      <c r="B189" s="1" t="n">
        <v>43432</v>
      </c>
      <c r="C189" s="1" t="n">
        <v>45260</v>
      </c>
      <c r="D189" t="inlineStr">
        <is>
          <t>VÄSTERNORRLANDS LÄN</t>
        </is>
      </c>
      <c r="E189" t="inlineStr">
        <is>
          <t>ÖRNSKÖLDSVIK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65017-2018</t>
        </is>
      </c>
      <c r="B190" s="1" t="n">
        <v>43432</v>
      </c>
      <c r="C190" s="1" t="n">
        <v>45260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67340-2018</t>
        </is>
      </c>
      <c r="B191" s="1" t="n">
        <v>43432</v>
      </c>
      <c r="C191" s="1" t="n">
        <v>45260</v>
      </c>
      <c r="D191" t="inlineStr">
        <is>
          <t>VÄSTERNORRLANDS LÄN</t>
        </is>
      </c>
      <c r="E191" t="inlineStr">
        <is>
          <t>ÖRNSKÖLDSVIK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65773-2018</t>
        </is>
      </c>
      <c r="B192" s="1" t="n">
        <v>43433</v>
      </c>
      <c r="C192" s="1" t="n">
        <v>45260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65736-2018</t>
        </is>
      </c>
      <c r="B193" s="1" t="n">
        <v>43433</v>
      </c>
      <c r="C193" s="1" t="n">
        <v>45260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65793-2018</t>
        </is>
      </c>
      <c r="B194" s="1" t="n">
        <v>43433</v>
      </c>
      <c r="C194" s="1" t="n">
        <v>45260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65749-2018</t>
        </is>
      </c>
      <c r="B195" s="1" t="n">
        <v>43433</v>
      </c>
      <c r="C195" s="1" t="n">
        <v>45260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67760-2018</t>
        </is>
      </c>
      <c r="B196" s="1" t="n">
        <v>43434</v>
      </c>
      <c r="C196" s="1" t="n">
        <v>45260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65912-2018</t>
        </is>
      </c>
      <c r="B197" s="1" t="n">
        <v>43434</v>
      </c>
      <c r="C197" s="1" t="n">
        <v>45260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66611-2018</t>
        </is>
      </c>
      <c r="B198" s="1" t="n">
        <v>43437</v>
      </c>
      <c r="C198" s="1" t="n">
        <v>45260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66774-2018</t>
        </is>
      </c>
      <c r="B199" s="1" t="n">
        <v>43437</v>
      </c>
      <c r="C199" s="1" t="n">
        <v>45260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66643-2018</t>
        </is>
      </c>
      <c r="B200" s="1" t="n">
        <v>43437</v>
      </c>
      <c r="C200" s="1" t="n">
        <v>45260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66728-2018</t>
        </is>
      </c>
      <c r="B201" s="1" t="n">
        <v>43437</v>
      </c>
      <c r="C201" s="1" t="n">
        <v>45260</v>
      </c>
      <c r="D201" t="inlineStr">
        <is>
          <t>VÄSTERNORRLANDS LÄN</t>
        </is>
      </c>
      <c r="E201" t="inlineStr">
        <is>
          <t>ÖRNSKÖLDSVIK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66872-2018</t>
        </is>
      </c>
      <c r="B202" s="1" t="n">
        <v>43438</v>
      </c>
      <c r="C202" s="1" t="n">
        <v>45260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68441-2018</t>
        </is>
      </c>
      <c r="B203" s="1" t="n">
        <v>43438</v>
      </c>
      <c r="C203" s="1" t="n">
        <v>45260</v>
      </c>
      <c r="D203" t="inlineStr">
        <is>
          <t>VÄSTERNORRLANDS LÄN</t>
        </is>
      </c>
      <c r="E203" t="inlineStr">
        <is>
          <t>ÖRNSKÖLDSVIK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66849-2018</t>
        </is>
      </c>
      <c r="B204" s="1" t="n">
        <v>43438</v>
      </c>
      <c r="C204" s="1" t="n">
        <v>45260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68273-2018</t>
        </is>
      </c>
      <c r="B205" s="1" t="n">
        <v>43441</v>
      </c>
      <c r="C205" s="1" t="n">
        <v>45260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68319-2018</t>
        </is>
      </c>
      <c r="B206" s="1" t="n">
        <v>43441</v>
      </c>
      <c r="C206" s="1" t="n">
        <v>45260</v>
      </c>
      <c r="D206" t="inlineStr">
        <is>
          <t>VÄSTERNORRLANDS LÄN</t>
        </is>
      </c>
      <c r="E206" t="inlineStr">
        <is>
          <t>ÖRNSKÖLDSVIK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69303-2018</t>
        </is>
      </c>
      <c r="B207" s="1" t="n">
        <v>43441</v>
      </c>
      <c r="C207" s="1" t="n">
        <v>45260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68685-2018</t>
        </is>
      </c>
      <c r="B208" s="1" t="n">
        <v>43444</v>
      </c>
      <c r="C208" s="1" t="n">
        <v>45260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68809-2018</t>
        </is>
      </c>
      <c r="B209" s="1" t="n">
        <v>43444</v>
      </c>
      <c r="C209" s="1" t="n">
        <v>45260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68977-2018</t>
        </is>
      </c>
      <c r="B210" s="1" t="n">
        <v>43445</v>
      </c>
      <c r="C210" s="1" t="n">
        <v>45260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69281-2018</t>
        </is>
      </c>
      <c r="B211" s="1" t="n">
        <v>43445</v>
      </c>
      <c r="C211" s="1" t="n">
        <v>45260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69132-2018</t>
        </is>
      </c>
      <c r="B212" s="1" t="n">
        <v>43445</v>
      </c>
      <c r="C212" s="1" t="n">
        <v>45260</v>
      </c>
      <c r="D212" t="inlineStr">
        <is>
          <t>VÄSTERNORRLANDS LÄN</t>
        </is>
      </c>
      <c r="E212" t="inlineStr">
        <is>
          <t>ÖRNSKÖLDSVIK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70390-2018</t>
        </is>
      </c>
      <c r="B213" s="1" t="n">
        <v>43446</v>
      </c>
      <c r="C213" s="1" t="n">
        <v>45260</v>
      </c>
      <c r="D213" t="inlineStr">
        <is>
          <t>VÄSTERNORRLANDS LÄN</t>
        </is>
      </c>
      <c r="E213" t="inlineStr">
        <is>
          <t>ÖRNSKÖLDSVIK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69956-2018</t>
        </is>
      </c>
      <c r="B214" s="1" t="n">
        <v>43447</v>
      </c>
      <c r="C214" s="1" t="n">
        <v>45260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69957-2018</t>
        </is>
      </c>
      <c r="B215" s="1" t="n">
        <v>43447</v>
      </c>
      <c r="C215" s="1" t="n">
        <v>45260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70125-2018</t>
        </is>
      </c>
      <c r="B216" s="1" t="n">
        <v>43448</v>
      </c>
      <c r="C216" s="1" t="n">
        <v>45260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70999-2018</t>
        </is>
      </c>
      <c r="B217" s="1" t="n">
        <v>43448</v>
      </c>
      <c r="C217" s="1" t="n">
        <v>45260</v>
      </c>
      <c r="D217" t="inlineStr">
        <is>
          <t>VÄSTERNORRLANDS LÄN</t>
        </is>
      </c>
      <c r="E217" t="inlineStr">
        <is>
          <t>ÖRNSKÖLDSVIK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70405-2018</t>
        </is>
      </c>
      <c r="B218" s="1" t="n">
        <v>43450</v>
      </c>
      <c r="C218" s="1" t="n">
        <v>45260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70527-2018</t>
        </is>
      </c>
      <c r="B219" s="1" t="n">
        <v>43451</v>
      </c>
      <c r="C219" s="1" t="n">
        <v>45260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70533-2018</t>
        </is>
      </c>
      <c r="B220" s="1" t="n">
        <v>43451</v>
      </c>
      <c r="C220" s="1" t="n">
        <v>45260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71719-2018</t>
        </is>
      </c>
      <c r="B221" s="1" t="n">
        <v>43451</v>
      </c>
      <c r="C221" s="1" t="n">
        <v>45260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71273-2018</t>
        </is>
      </c>
      <c r="B222" s="1" t="n">
        <v>43451</v>
      </c>
      <c r="C222" s="1" t="n">
        <v>45260</v>
      </c>
      <c r="D222" t="inlineStr">
        <is>
          <t>VÄSTERNORRLANDS LÄN</t>
        </is>
      </c>
      <c r="E222" t="inlineStr">
        <is>
          <t>ÖRNSKÖLDSVIK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70960-2018</t>
        </is>
      </c>
      <c r="B223" s="1" t="n">
        <v>43452</v>
      </c>
      <c r="C223" s="1" t="n">
        <v>45260</v>
      </c>
      <c r="D223" t="inlineStr">
        <is>
          <t>VÄSTERNORRLANDS LÄN</t>
        </is>
      </c>
      <c r="E223" t="inlineStr">
        <is>
          <t>ÖRNSKÖLDSVIK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71038-2018</t>
        </is>
      </c>
      <c r="B224" s="1" t="n">
        <v>43452</v>
      </c>
      <c r="C224" s="1" t="n">
        <v>45260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71389-2018</t>
        </is>
      </c>
      <c r="B225" s="1" t="n">
        <v>43453</v>
      </c>
      <c r="C225" s="1" t="n">
        <v>45260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71481-2018</t>
        </is>
      </c>
      <c r="B226" s="1" t="n">
        <v>43453</v>
      </c>
      <c r="C226" s="1" t="n">
        <v>45260</v>
      </c>
      <c r="D226" t="inlineStr">
        <is>
          <t>VÄSTERNORRLANDS LÄN</t>
        </is>
      </c>
      <c r="E226" t="inlineStr">
        <is>
          <t>ÖRNSKÖLDSVIK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71566-2018</t>
        </is>
      </c>
      <c r="B227" s="1" t="n">
        <v>43454</v>
      </c>
      <c r="C227" s="1" t="n">
        <v>45260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151-2019</t>
        </is>
      </c>
      <c r="B228" s="1" t="n">
        <v>43454</v>
      </c>
      <c r="C228" s="1" t="n">
        <v>45260</v>
      </c>
      <c r="D228" t="inlineStr">
        <is>
          <t>VÄSTERNORRLANDS LÄN</t>
        </is>
      </c>
      <c r="E228" t="inlineStr">
        <is>
          <t>ÖRNSKÖLDSVIK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71824-2018</t>
        </is>
      </c>
      <c r="B229" s="1" t="n">
        <v>43454</v>
      </c>
      <c r="C229" s="1" t="n">
        <v>45260</v>
      </c>
      <c r="D229" t="inlineStr">
        <is>
          <t>VÄSTERNORRLANDS LÄN</t>
        </is>
      </c>
      <c r="E229" t="inlineStr">
        <is>
          <t>ÖRNSKÖLDSVIK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72028-2018</t>
        </is>
      </c>
      <c r="B230" s="1" t="n">
        <v>43455</v>
      </c>
      <c r="C230" s="1" t="n">
        <v>45260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72392-2018</t>
        </is>
      </c>
      <c r="B231" s="1" t="n">
        <v>43461</v>
      </c>
      <c r="C231" s="1" t="n">
        <v>45260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975-2019</t>
        </is>
      </c>
      <c r="B232" s="1" t="n">
        <v>43461</v>
      </c>
      <c r="C232" s="1" t="n">
        <v>45260</v>
      </c>
      <c r="D232" t="inlineStr">
        <is>
          <t>VÄSTERNORRLANDS LÄN</t>
        </is>
      </c>
      <c r="E232" t="inlineStr">
        <is>
          <t>ÖRNSKÖLDSVIK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2050-2019</t>
        </is>
      </c>
      <c r="B233" s="1" t="n">
        <v>43467</v>
      </c>
      <c r="C233" s="1" t="n">
        <v>45260</v>
      </c>
      <c r="D233" t="inlineStr">
        <is>
          <t>VÄSTERNORRLANDS LÄN</t>
        </is>
      </c>
      <c r="E233" t="inlineStr">
        <is>
          <t>ÖRNSKÖLDSVIK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457-2019</t>
        </is>
      </c>
      <c r="B234" s="1" t="n">
        <v>43468</v>
      </c>
      <c r="C234" s="1" t="n">
        <v>45260</v>
      </c>
      <c r="D234" t="inlineStr">
        <is>
          <t>VÄSTERNORRLANDS LÄN</t>
        </is>
      </c>
      <c r="E234" t="inlineStr">
        <is>
          <t>ÖRNSKÖLDSVIK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268-2019</t>
        </is>
      </c>
      <c r="B235" s="1" t="n">
        <v>43468</v>
      </c>
      <c r="C235" s="1" t="n">
        <v>45260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456-2019</t>
        </is>
      </c>
      <c r="B236" s="1" t="n">
        <v>43468</v>
      </c>
      <c r="C236" s="1" t="n">
        <v>45260</v>
      </c>
      <c r="D236" t="inlineStr">
        <is>
          <t>VÄSTERNORRLANDS LÄN</t>
        </is>
      </c>
      <c r="E236" t="inlineStr">
        <is>
          <t>ÖRNSKÖLDSVIK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2816-2019</t>
        </is>
      </c>
      <c r="B237" s="1" t="n">
        <v>43469</v>
      </c>
      <c r="C237" s="1" t="n">
        <v>45260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1010-2019</t>
        </is>
      </c>
      <c r="B238" s="1" t="n">
        <v>43472</v>
      </c>
      <c r="C238" s="1" t="n">
        <v>45260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2982-2019</t>
        </is>
      </c>
      <c r="B239" s="1" t="n">
        <v>43472</v>
      </c>
      <c r="C239" s="1" t="n">
        <v>45260</v>
      </c>
      <c r="D239" t="inlineStr">
        <is>
          <t>VÄSTERNORRLANDS LÄN</t>
        </is>
      </c>
      <c r="E239" t="inlineStr">
        <is>
          <t>ÖRNSKÖLDSVIK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2977-2019</t>
        </is>
      </c>
      <c r="B240" s="1" t="n">
        <v>43472</v>
      </c>
      <c r="C240" s="1" t="n">
        <v>45260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1958-2019</t>
        </is>
      </c>
      <c r="B241" s="1" t="n">
        <v>43475</v>
      </c>
      <c r="C241" s="1" t="n">
        <v>45260</v>
      </c>
      <c r="D241" t="inlineStr">
        <is>
          <t>VÄSTERNORRLANDS LÄN</t>
        </is>
      </c>
      <c r="E241" t="inlineStr">
        <is>
          <t>ÖRNSKÖLDSVIK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4018-2019</t>
        </is>
      </c>
      <c r="B242" s="1" t="n">
        <v>43475</v>
      </c>
      <c r="C242" s="1" t="n">
        <v>45260</v>
      </c>
      <c r="D242" t="inlineStr">
        <is>
          <t>VÄSTERNORRLANDS LÄN</t>
        </is>
      </c>
      <c r="E242" t="inlineStr">
        <is>
          <t>ÖRNSKÖLDSVIK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1946-2019</t>
        </is>
      </c>
      <c r="B243" s="1" t="n">
        <v>43475</v>
      </c>
      <c r="C243" s="1" t="n">
        <v>45260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2439-2019</t>
        </is>
      </c>
      <c r="B244" s="1" t="n">
        <v>43476</v>
      </c>
      <c r="C244" s="1" t="n">
        <v>45260</v>
      </c>
      <c r="D244" t="inlineStr">
        <is>
          <t>VÄSTERNORRLANDS LÄN</t>
        </is>
      </c>
      <c r="E244" t="inlineStr">
        <is>
          <t>ÖRNSKÖLDSVIK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2501-2019</t>
        </is>
      </c>
      <c r="B245" s="1" t="n">
        <v>43476</v>
      </c>
      <c r="C245" s="1" t="n">
        <v>45260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2781-2019</t>
        </is>
      </c>
      <c r="B246" s="1" t="n">
        <v>43479</v>
      </c>
      <c r="C246" s="1" t="n">
        <v>45260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5005-2019</t>
        </is>
      </c>
      <c r="B247" s="1" t="n">
        <v>43479</v>
      </c>
      <c r="C247" s="1" t="n">
        <v>45260</v>
      </c>
      <c r="D247" t="inlineStr">
        <is>
          <t>VÄSTERNORRLANDS LÄN</t>
        </is>
      </c>
      <c r="E247" t="inlineStr">
        <is>
          <t>ÖRNSKÖLDSVIK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5142-2019</t>
        </is>
      </c>
      <c r="B248" s="1" t="n">
        <v>43480</v>
      </c>
      <c r="C248" s="1" t="n">
        <v>45260</v>
      </c>
      <c r="D248" t="inlineStr">
        <is>
          <t>VÄSTERNORRLANDS LÄN</t>
        </is>
      </c>
      <c r="E248" t="inlineStr">
        <is>
          <t>ÖRNSKÖLDSVIK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5356-2019</t>
        </is>
      </c>
      <c r="B249" s="1" t="n">
        <v>43481</v>
      </c>
      <c r="C249" s="1" t="n">
        <v>45260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5449-2019</t>
        </is>
      </c>
      <c r="B250" s="1" t="n">
        <v>43481</v>
      </c>
      <c r="C250" s="1" t="n">
        <v>45260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5724-2019</t>
        </is>
      </c>
      <c r="B251" s="1" t="n">
        <v>43482</v>
      </c>
      <c r="C251" s="1" t="n">
        <v>45260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4165-2019</t>
        </is>
      </c>
      <c r="B252" s="1" t="n">
        <v>43483</v>
      </c>
      <c r="C252" s="1" t="n">
        <v>45260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4920-2019</t>
        </is>
      </c>
      <c r="B253" s="1" t="n">
        <v>43487</v>
      </c>
      <c r="C253" s="1" t="n">
        <v>45260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6321-2019</t>
        </is>
      </c>
      <c r="B254" s="1" t="n">
        <v>43493</v>
      </c>
      <c r="C254" s="1" t="n">
        <v>45260</v>
      </c>
      <c r="D254" t="inlineStr">
        <is>
          <t>VÄSTERNORRLANDS LÄN</t>
        </is>
      </c>
      <c r="E254" t="inlineStr">
        <is>
          <t>ÖRNSKÖLDSVIK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6309-2019</t>
        </is>
      </c>
      <c r="B255" s="1" t="n">
        <v>43493</v>
      </c>
      <c r="C255" s="1" t="n">
        <v>45260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8178-2019</t>
        </is>
      </c>
      <c r="B256" s="1" t="n">
        <v>43496</v>
      </c>
      <c r="C256" s="1" t="n">
        <v>45260</v>
      </c>
      <c r="D256" t="inlineStr">
        <is>
          <t>VÄSTERNORRLANDS LÄN</t>
        </is>
      </c>
      <c r="E256" t="inlineStr">
        <is>
          <t>ÖRNSKÖLDSVIK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7797-2019</t>
        </is>
      </c>
      <c r="B257" s="1" t="n">
        <v>43496</v>
      </c>
      <c r="C257" s="1" t="n">
        <v>45260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8416-2019</t>
        </is>
      </c>
      <c r="B258" s="1" t="n">
        <v>43497</v>
      </c>
      <c r="C258" s="1" t="n">
        <v>45260</v>
      </c>
      <c r="D258" t="inlineStr">
        <is>
          <t>VÄSTERNORRLANDS LÄN</t>
        </is>
      </c>
      <c r="E258" t="inlineStr">
        <is>
          <t>ÖRNSKÖLDSVIK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7588-2019</t>
        </is>
      </c>
      <c r="B259" s="1" t="n">
        <v>43498</v>
      </c>
      <c r="C259" s="1" t="n">
        <v>45260</v>
      </c>
      <c r="D259" t="inlineStr">
        <is>
          <t>VÄSTERNORRLANDS LÄN</t>
        </is>
      </c>
      <c r="E259" t="inlineStr">
        <is>
          <t>ÖRNSKÖLDSVIK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8741-2019</t>
        </is>
      </c>
      <c r="B260" s="1" t="n">
        <v>43501</v>
      </c>
      <c r="C260" s="1" t="n">
        <v>45260</v>
      </c>
      <c r="D260" t="inlineStr">
        <is>
          <t>VÄSTERNORRLANDS LÄN</t>
        </is>
      </c>
      <c r="E260" t="inlineStr">
        <is>
          <t>ÖRNSKÖLDSVIK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8743-2019</t>
        </is>
      </c>
      <c r="B261" s="1" t="n">
        <v>43501</v>
      </c>
      <c r="C261" s="1" t="n">
        <v>45260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8913-2019</t>
        </is>
      </c>
      <c r="B262" s="1" t="n">
        <v>43503</v>
      </c>
      <c r="C262" s="1" t="n">
        <v>45260</v>
      </c>
      <c r="D262" t="inlineStr">
        <is>
          <t>VÄSTERNORRLANDS LÄN</t>
        </is>
      </c>
      <c r="E262" t="inlineStr">
        <is>
          <t>ÖRNSKÖLDSVIK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8933-2019</t>
        </is>
      </c>
      <c r="B263" s="1" t="n">
        <v>43503</v>
      </c>
      <c r="C263" s="1" t="n">
        <v>45260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8899-2019</t>
        </is>
      </c>
      <c r="B264" s="1" t="n">
        <v>43503</v>
      </c>
      <c r="C264" s="1" t="n">
        <v>45260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8935-2019</t>
        </is>
      </c>
      <c r="B265" s="1" t="n">
        <v>43503</v>
      </c>
      <c r="C265" s="1" t="n">
        <v>45260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8978-2019</t>
        </is>
      </c>
      <c r="B266" s="1" t="n">
        <v>43504</v>
      </c>
      <c r="C266" s="1" t="n">
        <v>45260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9530-2019</t>
        </is>
      </c>
      <c r="B267" s="1" t="n">
        <v>43508</v>
      </c>
      <c r="C267" s="1" t="n">
        <v>45260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9754-2019</t>
        </is>
      </c>
      <c r="B268" s="1" t="n">
        <v>43509</v>
      </c>
      <c r="C268" s="1" t="n">
        <v>45260</v>
      </c>
      <c r="D268" t="inlineStr">
        <is>
          <t>VÄSTERNORRLANDS LÄN</t>
        </is>
      </c>
      <c r="E268" t="inlineStr">
        <is>
          <t>ÖRNSKÖLDSVIK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10193-2019</t>
        </is>
      </c>
      <c r="B269" s="1" t="n">
        <v>43510</v>
      </c>
      <c r="C269" s="1" t="n">
        <v>45260</v>
      </c>
      <c r="D269" t="inlineStr">
        <is>
          <t>VÄSTERNORRLANDS LÄN</t>
        </is>
      </c>
      <c r="E269" t="inlineStr">
        <is>
          <t>ÖRNSKÖLDSVIK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10194-2019</t>
        </is>
      </c>
      <c r="B270" s="1" t="n">
        <v>43510</v>
      </c>
      <c r="C270" s="1" t="n">
        <v>45260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10066-2019</t>
        </is>
      </c>
      <c r="B271" s="1" t="n">
        <v>43510</v>
      </c>
      <c r="C271" s="1" t="n">
        <v>45260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10239-2019</t>
        </is>
      </c>
      <c r="B272" s="1" t="n">
        <v>43510</v>
      </c>
      <c r="C272" s="1" t="n">
        <v>45260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10206-2019</t>
        </is>
      </c>
      <c r="B273" s="1" t="n">
        <v>43510</v>
      </c>
      <c r="C273" s="1" t="n">
        <v>45260</v>
      </c>
      <c r="D273" t="inlineStr">
        <is>
          <t>VÄSTERNORRLANDS LÄN</t>
        </is>
      </c>
      <c r="E273" t="inlineStr">
        <is>
          <t>ÖRNSKÖLDSVIK</t>
        </is>
      </c>
      <c r="G273" t="n">
        <v>118.6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10197-2019</t>
        </is>
      </c>
      <c r="B274" s="1" t="n">
        <v>43510</v>
      </c>
      <c r="C274" s="1" t="n">
        <v>45260</v>
      </c>
      <c r="D274" t="inlineStr">
        <is>
          <t>VÄSTERNORRLANDS LÄN</t>
        </is>
      </c>
      <c r="E274" t="inlineStr">
        <is>
          <t>ÖRNSKÖLDSVIK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12458-2019</t>
        </is>
      </c>
      <c r="B275" s="1" t="n">
        <v>43523</v>
      </c>
      <c r="C275" s="1" t="n">
        <v>45260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12666-2019</t>
        </is>
      </c>
      <c r="B276" s="1" t="n">
        <v>43524</v>
      </c>
      <c r="C276" s="1" t="n">
        <v>45260</v>
      </c>
      <c r="D276" t="inlineStr">
        <is>
          <t>VÄSTERNORRLANDS LÄN</t>
        </is>
      </c>
      <c r="E276" t="inlineStr">
        <is>
          <t>ÖRNSKÖLDSVIK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13677-2019</t>
        </is>
      </c>
      <c r="B277" s="1" t="n">
        <v>43530</v>
      </c>
      <c r="C277" s="1" t="n">
        <v>45260</v>
      </c>
      <c r="D277" t="inlineStr">
        <is>
          <t>VÄSTERNORRLANDS LÄN</t>
        </is>
      </c>
      <c r="E277" t="inlineStr">
        <is>
          <t>ÖRNSKÖLDSVIK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13696-2019</t>
        </is>
      </c>
      <c r="B278" s="1" t="n">
        <v>43530</v>
      </c>
      <c r="C278" s="1" t="n">
        <v>45260</v>
      </c>
      <c r="D278" t="inlineStr">
        <is>
          <t>VÄSTERNORRLANDS LÄN</t>
        </is>
      </c>
      <c r="E278" t="inlineStr">
        <is>
          <t>ÖRNSKÖLDSVIK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13860-2019</t>
        </is>
      </c>
      <c r="B279" s="1" t="n">
        <v>43531</v>
      </c>
      <c r="C279" s="1" t="n">
        <v>45260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14824-2019</t>
        </is>
      </c>
      <c r="B280" s="1" t="n">
        <v>43538</v>
      </c>
      <c r="C280" s="1" t="n">
        <v>45260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16416-2019</t>
        </is>
      </c>
      <c r="B281" s="1" t="n">
        <v>43546</v>
      </c>
      <c r="C281" s="1" t="n">
        <v>45260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16732-2019</t>
        </is>
      </c>
      <c r="B282" s="1" t="n">
        <v>43549</v>
      </c>
      <c r="C282" s="1" t="n">
        <v>45260</v>
      </c>
      <c r="D282" t="inlineStr">
        <is>
          <t>VÄSTERNORRLANDS LÄN</t>
        </is>
      </c>
      <c r="E282" t="inlineStr">
        <is>
          <t>ÖRNSKÖLDSVIK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16825-2019</t>
        </is>
      </c>
      <c r="B283" s="1" t="n">
        <v>43549</v>
      </c>
      <c r="C283" s="1" t="n">
        <v>45260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16891-2019</t>
        </is>
      </c>
      <c r="B284" s="1" t="n">
        <v>43549</v>
      </c>
      <c r="C284" s="1" t="n">
        <v>45260</v>
      </c>
      <c r="D284" t="inlineStr">
        <is>
          <t>VÄSTERNORRLANDS LÄN</t>
        </is>
      </c>
      <c r="E284" t="inlineStr">
        <is>
          <t>ÖRNSKÖLDSVIK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16896-2019</t>
        </is>
      </c>
      <c r="B285" s="1" t="n">
        <v>43549</v>
      </c>
      <c r="C285" s="1" t="n">
        <v>45260</v>
      </c>
      <c r="D285" t="inlineStr">
        <is>
          <t>VÄSTERNORRLANDS LÄN</t>
        </is>
      </c>
      <c r="E285" t="inlineStr">
        <is>
          <t>ÖRNSKÖLDSVIK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16727-2019</t>
        </is>
      </c>
      <c r="B286" s="1" t="n">
        <v>43549</v>
      </c>
      <c r="C286" s="1" t="n">
        <v>45260</v>
      </c>
      <c r="D286" t="inlineStr">
        <is>
          <t>VÄSTERNORRLANDS LÄN</t>
        </is>
      </c>
      <c r="E286" t="inlineStr">
        <is>
          <t>ÖRNSKÖLDSVIK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16735-2019</t>
        </is>
      </c>
      <c r="B287" s="1" t="n">
        <v>43549</v>
      </c>
      <c r="C287" s="1" t="n">
        <v>45260</v>
      </c>
      <c r="D287" t="inlineStr">
        <is>
          <t>VÄSTERNORRLANDS LÄN</t>
        </is>
      </c>
      <c r="E287" t="inlineStr">
        <is>
          <t>ÖRNSKÖLDSVIK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16771-2019</t>
        </is>
      </c>
      <c r="B288" s="1" t="n">
        <v>43549</v>
      </c>
      <c r="C288" s="1" t="n">
        <v>45260</v>
      </c>
      <c r="D288" t="inlineStr">
        <is>
          <t>VÄSTERNORRLANDS LÄN</t>
        </is>
      </c>
      <c r="E288" t="inlineStr">
        <is>
          <t>ÖRNSKÖLDSVIK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16895-2019</t>
        </is>
      </c>
      <c r="B289" s="1" t="n">
        <v>43549</v>
      </c>
      <c r="C289" s="1" t="n">
        <v>45260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17803-2019</t>
        </is>
      </c>
      <c r="B290" s="1" t="n">
        <v>43552</v>
      </c>
      <c r="C290" s="1" t="n">
        <v>45260</v>
      </c>
      <c r="D290" t="inlineStr">
        <is>
          <t>VÄSTERNORRLANDS LÄN</t>
        </is>
      </c>
      <c r="E290" t="inlineStr">
        <is>
          <t>ÖRNSKÖLDSVIK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17774-2019</t>
        </is>
      </c>
      <c r="B291" s="1" t="n">
        <v>43552</v>
      </c>
      <c r="C291" s="1" t="n">
        <v>45260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17679-2019</t>
        </is>
      </c>
      <c r="B292" s="1" t="n">
        <v>43552</v>
      </c>
      <c r="C292" s="1" t="n">
        <v>45260</v>
      </c>
      <c r="D292" t="inlineStr">
        <is>
          <t>VÄSTERNORRLANDS LÄN</t>
        </is>
      </c>
      <c r="E292" t="inlineStr">
        <is>
          <t>ÖRNSKÖLDSVIK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17543-2019</t>
        </is>
      </c>
      <c r="B293" s="1" t="n">
        <v>43553</v>
      </c>
      <c r="C293" s="1" t="n">
        <v>45260</v>
      </c>
      <c r="D293" t="inlineStr">
        <is>
          <t>VÄSTERNORRLANDS LÄN</t>
        </is>
      </c>
      <c r="E293" t="inlineStr">
        <is>
          <t>ÖRNSKÖLDSVIK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17742-2019</t>
        </is>
      </c>
      <c r="B294" s="1" t="n">
        <v>43556</v>
      </c>
      <c r="C294" s="1" t="n">
        <v>45260</v>
      </c>
      <c r="D294" t="inlineStr">
        <is>
          <t>VÄSTERNORRLANDS LÄN</t>
        </is>
      </c>
      <c r="E294" t="inlineStr">
        <is>
          <t>ÖRNSKÖLDSVIK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18019-2019</t>
        </is>
      </c>
      <c r="B295" s="1" t="n">
        <v>43556</v>
      </c>
      <c r="C295" s="1" t="n">
        <v>45260</v>
      </c>
      <c r="D295" t="inlineStr">
        <is>
          <t>VÄSTERNORRLANDS LÄN</t>
        </is>
      </c>
      <c r="E295" t="inlineStr">
        <is>
          <t>ÖRNSKÖLDSVIK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18171-2019</t>
        </is>
      </c>
      <c r="B296" s="1" t="n">
        <v>43556</v>
      </c>
      <c r="C296" s="1" t="n">
        <v>45260</v>
      </c>
      <c r="D296" t="inlineStr">
        <is>
          <t>VÄSTERNORRLANDS LÄN</t>
        </is>
      </c>
      <c r="E296" t="inlineStr">
        <is>
          <t>ÖRNSKÖLDSVIK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18026-2019</t>
        </is>
      </c>
      <c r="B297" s="1" t="n">
        <v>43557</v>
      </c>
      <c r="C297" s="1" t="n">
        <v>45260</v>
      </c>
      <c r="D297" t="inlineStr">
        <is>
          <t>VÄSTERNORRLANDS LÄN</t>
        </is>
      </c>
      <c r="E297" t="inlineStr">
        <is>
          <t>ÖRNSKÖLDSVIK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18687-2019</t>
        </is>
      </c>
      <c r="B298" s="1" t="n">
        <v>43559</v>
      </c>
      <c r="C298" s="1" t="n">
        <v>45260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18683-2019</t>
        </is>
      </c>
      <c r="B299" s="1" t="n">
        <v>43559</v>
      </c>
      <c r="C299" s="1" t="n">
        <v>45260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18643-2019</t>
        </is>
      </c>
      <c r="B300" s="1" t="n">
        <v>43560</v>
      </c>
      <c r="C300" s="1" t="n">
        <v>45260</v>
      </c>
      <c r="D300" t="inlineStr">
        <is>
          <t>VÄSTERNORRLANDS LÄN</t>
        </is>
      </c>
      <c r="E300" t="inlineStr">
        <is>
          <t>ÖRNSKÖLDSVIK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18789-2019</t>
        </is>
      </c>
      <c r="B301" s="1" t="n">
        <v>43562</v>
      </c>
      <c r="C301" s="1" t="n">
        <v>45260</v>
      </c>
      <c r="D301" t="inlineStr">
        <is>
          <t>VÄSTERNORRLANDS LÄN</t>
        </is>
      </c>
      <c r="E301" t="inlineStr">
        <is>
          <t>ÖRNSKÖLDSVIK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19580-2019</t>
        </is>
      </c>
      <c r="B302" s="1" t="n">
        <v>43565</v>
      </c>
      <c r="C302" s="1" t="n">
        <v>45260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19667-2019</t>
        </is>
      </c>
      <c r="B303" s="1" t="n">
        <v>43565</v>
      </c>
      <c r="C303" s="1" t="n">
        <v>45260</v>
      </c>
      <c r="D303" t="inlineStr">
        <is>
          <t>VÄSTERNORRLANDS LÄN</t>
        </is>
      </c>
      <c r="E303" t="inlineStr">
        <is>
          <t>ÖRNSKÖLDSVIK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20439-2019</t>
        </is>
      </c>
      <c r="B304" s="1" t="n">
        <v>43571</v>
      </c>
      <c r="C304" s="1" t="n">
        <v>45260</v>
      </c>
      <c r="D304" t="inlineStr">
        <is>
          <t>VÄSTERNORRLANDS LÄN</t>
        </is>
      </c>
      <c r="E304" t="inlineStr">
        <is>
          <t>ÖRNSKÖLDSVIK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21533-2019</t>
        </is>
      </c>
      <c r="B305" s="1" t="n">
        <v>43578</v>
      </c>
      <c r="C305" s="1" t="n">
        <v>45260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21570-2019</t>
        </is>
      </c>
      <c r="B306" s="1" t="n">
        <v>43580</v>
      </c>
      <c r="C306" s="1" t="n">
        <v>45260</v>
      </c>
      <c r="D306" t="inlineStr">
        <is>
          <t>VÄSTERNORRLANDS LÄN</t>
        </is>
      </c>
      <c r="E306" t="inlineStr">
        <is>
          <t>ÖRNSKÖLDSVIK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22394-2019</t>
        </is>
      </c>
      <c r="B307" s="1" t="n">
        <v>43587</v>
      </c>
      <c r="C307" s="1" t="n">
        <v>45260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22520-2019</t>
        </is>
      </c>
      <c r="B308" s="1" t="n">
        <v>43587</v>
      </c>
      <c r="C308" s="1" t="n">
        <v>45260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22484-2019</t>
        </is>
      </c>
      <c r="B309" s="1" t="n">
        <v>43587</v>
      </c>
      <c r="C309" s="1" t="n">
        <v>45260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23300-2019</t>
        </is>
      </c>
      <c r="B310" s="1" t="n">
        <v>43591</v>
      </c>
      <c r="C310" s="1" t="n">
        <v>45260</v>
      </c>
      <c r="D310" t="inlineStr">
        <is>
          <t>VÄSTERNORRLANDS LÄN</t>
        </is>
      </c>
      <c r="E310" t="inlineStr">
        <is>
          <t>ÖRNSKÖLDSVIK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23299-2019</t>
        </is>
      </c>
      <c r="B311" s="1" t="n">
        <v>43591</v>
      </c>
      <c r="C311" s="1" t="n">
        <v>45260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23193-2019</t>
        </is>
      </c>
      <c r="B312" s="1" t="n">
        <v>43592</v>
      </c>
      <c r="C312" s="1" t="n">
        <v>45260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23199-2019</t>
        </is>
      </c>
      <c r="B313" s="1" t="n">
        <v>43592</v>
      </c>
      <c r="C313" s="1" t="n">
        <v>45260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23214-2019</t>
        </is>
      </c>
      <c r="B314" s="1" t="n">
        <v>43592</v>
      </c>
      <c r="C314" s="1" t="n">
        <v>45260</v>
      </c>
      <c r="D314" t="inlineStr">
        <is>
          <t>VÄSTERNORRLANDS LÄN</t>
        </is>
      </c>
      <c r="E314" t="inlineStr">
        <is>
          <t>ÖRNSKÖLDSVIK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23406-2019</t>
        </is>
      </c>
      <c r="B315" s="1" t="n">
        <v>43592</v>
      </c>
      <c r="C315" s="1" t="n">
        <v>45260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23398-2019</t>
        </is>
      </c>
      <c r="B316" s="1" t="n">
        <v>43592</v>
      </c>
      <c r="C316" s="1" t="n">
        <v>45260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23294-2019</t>
        </is>
      </c>
      <c r="B317" s="1" t="n">
        <v>43593</v>
      </c>
      <c r="C317" s="1" t="n">
        <v>45260</v>
      </c>
      <c r="D317" t="inlineStr">
        <is>
          <t>VÄSTERNORRLANDS LÄN</t>
        </is>
      </c>
      <c r="E317" t="inlineStr">
        <is>
          <t>ÖRNSKÖLDSVIK</t>
        </is>
      </c>
      <c r="G317" t="n">
        <v>27.6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23309-2019</t>
        </is>
      </c>
      <c r="B318" s="1" t="n">
        <v>43593</v>
      </c>
      <c r="C318" s="1" t="n">
        <v>45260</v>
      </c>
      <c r="D318" t="inlineStr">
        <is>
          <t>VÄSTERNORRLANDS LÄN</t>
        </is>
      </c>
      <c r="E318" t="inlineStr">
        <is>
          <t>ÖRNSKÖLDSVIK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23284-2019</t>
        </is>
      </c>
      <c r="B319" s="1" t="n">
        <v>43593</v>
      </c>
      <c r="C319" s="1" t="n">
        <v>45260</v>
      </c>
      <c r="D319" t="inlineStr">
        <is>
          <t>VÄSTERNORRLANDS LÄN</t>
        </is>
      </c>
      <c r="E319" t="inlineStr">
        <is>
          <t>ÖRNSKÖLDSVIK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23626-2019</t>
        </is>
      </c>
      <c r="B320" s="1" t="n">
        <v>43593</v>
      </c>
      <c r="C320" s="1" t="n">
        <v>45260</v>
      </c>
      <c r="D320" t="inlineStr">
        <is>
          <t>VÄSTERNORRLANDS LÄN</t>
        </is>
      </c>
      <c r="E320" t="inlineStr">
        <is>
          <t>ÖRNSKÖLDSVIK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24227-2019</t>
        </is>
      </c>
      <c r="B321" s="1" t="n">
        <v>43595</v>
      </c>
      <c r="C321" s="1" t="n">
        <v>45260</v>
      </c>
      <c r="D321" t="inlineStr">
        <is>
          <t>VÄSTERNORRLANDS LÄN</t>
        </is>
      </c>
      <c r="E321" t="inlineStr">
        <is>
          <t>ÖRNSKÖLDSVIK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23877-2019</t>
        </is>
      </c>
      <c r="B322" s="1" t="n">
        <v>43595</v>
      </c>
      <c r="C322" s="1" t="n">
        <v>45260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24307-2019</t>
        </is>
      </c>
      <c r="B323" s="1" t="n">
        <v>43599</v>
      </c>
      <c r="C323" s="1" t="n">
        <v>45260</v>
      </c>
      <c r="D323" t="inlineStr">
        <is>
          <t>VÄSTERNORRLANDS LÄN</t>
        </is>
      </c>
      <c r="E323" t="inlineStr">
        <is>
          <t>ÖRNSKÖLDSVIK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25601-2019</t>
        </is>
      </c>
      <c r="B324" s="1" t="n">
        <v>43601</v>
      </c>
      <c r="C324" s="1" t="n">
        <v>45260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26498-2019</t>
        </is>
      </c>
      <c r="B325" s="1" t="n">
        <v>43606</v>
      </c>
      <c r="C325" s="1" t="n">
        <v>45260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25565-2019</t>
        </is>
      </c>
      <c r="B326" s="1" t="n">
        <v>43607</v>
      </c>
      <c r="C326" s="1" t="n">
        <v>45260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26922-2019</t>
        </is>
      </c>
      <c r="B327" s="1" t="n">
        <v>43608</v>
      </c>
      <c r="C327" s="1" t="n">
        <v>45260</v>
      </c>
      <c r="D327" t="inlineStr">
        <is>
          <t>VÄSTERNORRLANDS LÄN</t>
        </is>
      </c>
      <c r="E327" t="inlineStr">
        <is>
          <t>ÖRNSKÖLDSVIK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26968-2019</t>
        </is>
      </c>
      <c r="B328" s="1" t="n">
        <v>43609</v>
      </c>
      <c r="C328" s="1" t="n">
        <v>45260</v>
      </c>
      <c r="D328" t="inlineStr">
        <is>
          <t>VÄSTERNORRLANDS LÄN</t>
        </is>
      </c>
      <c r="E328" t="inlineStr">
        <is>
          <t>ÖRNSKÖLDSVIK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26970-2019</t>
        </is>
      </c>
      <c r="B329" s="1" t="n">
        <v>43609</v>
      </c>
      <c r="C329" s="1" t="n">
        <v>45260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26994-2019</t>
        </is>
      </c>
      <c r="B330" s="1" t="n">
        <v>43609</v>
      </c>
      <c r="C330" s="1" t="n">
        <v>45260</v>
      </c>
      <c r="D330" t="inlineStr">
        <is>
          <t>VÄSTERNORRLANDS LÄN</t>
        </is>
      </c>
      <c r="E330" t="inlineStr">
        <is>
          <t>ÖRNSKÖLDSVIK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26091-2019</t>
        </is>
      </c>
      <c r="B331" s="1" t="n">
        <v>43609</v>
      </c>
      <c r="C331" s="1" t="n">
        <v>45260</v>
      </c>
      <c r="D331" t="inlineStr">
        <is>
          <t>VÄSTERNORRLANDS LÄN</t>
        </is>
      </c>
      <c r="E331" t="inlineStr">
        <is>
          <t>ÖRNSKÖLDSVIK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26993-2019</t>
        </is>
      </c>
      <c r="B332" s="1" t="n">
        <v>43609</v>
      </c>
      <c r="C332" s="1" t="n">
        <v>45260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26495-2019</t>
        </is>
      </c>
      <c r="B333" s="1" t="n">
        <v>43612</v>
      </c>
      <c r="C333" s="1" t="n">
        <v>45260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26646-2019</t>
        </is>
      </c>
      <c r="B334" s="1" t="n">
        <v>43613</v>
      </c>
      <c r="C334" s="1" t="n">
        <v>45260</v>
      </c>
      <c r="D334" t="inlineStr">
        <is>
          <t>VÄSTERNORRLANDS LÄN</t>
        </is>
      </c>
      <c r="E334" t="inlineStr">
        <is>
          <t>ÖRNSKÖLDSVIK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28714-2019</t>
        </is>
      </c>
      <c r="B335" s="1" t="n">
        <v>43614</v>
      </c>
      <c r="C335" s="1" t="n">
        <v>45260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27435-2019</t>
        </is>
      </c>
      <c r="B336" s="1" t="n">
        <v>43617</v>
      </c>
      <c r="C336" s="1" t="n">
        <v>45260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27924-2019</t>
        </is>
      </c>
      <c r="B337" s="1" t="n">
        <v>43620</v>
      </c>
      <c r="C337" s="1" t="n">
        <v>45260</v>
      </c>
      <c r="D337" t="inlineStr">
        <is>
          <t>VÄSTERNORRLANDS LÄN</t>
        </is>
      </c>
      <c r="E337" t="inlineStr">
        <is>
          <t>ÖRNSKÖLDSVIK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28186-2019</t>
        </is>
      </c>
      <c r="B338" s="1" t="n">
        <v>43621</v>
      </c>
      <c r="C338" s="1" t="n">
        <v>45260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29501-2019</t>
        </is>
      </c>
      <c r="B339" s="1" t="n">
        <v>43621</v>
      </c>
      <c r="C339" s="1" t="n">
        <v>45260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29104-2019</t>
        </is>
      </c>
      <c r="B340" s="1" t="n">
        <v>43621</v>
      </c>
      <c r="C340" s="1" t="n">
        <v>45260</v>
      </c>
      <c r="D340" t="inlineStr">
        <is>
          <t>VÄSTERNORRLANDS LÄN</t>
        </is>
      </c>
      <c r="E340" t="inlineStr">
        <is>
          <t>ÖRNSKÖLDSVIK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29107-2019</t>
        </is>
      </c>
      <c r="B341" s="1" t="n">
        <v>43621</v>
      </c>
      <c r="C341" s="1" t="n">
        <v>45260</v>
      </c>
      <c r="D341" t="inlineStr">
        <is>
          <t>VÄSTERNORRLANDS LÄN</t>
        </is>
      </c>
      <c r="E341" t="inlineStr">
        <is>
          <t>ÖRNSKÖLDSVIK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28425-2019</t>
        </is>
      </c>
      <c r="B342" s="1" t="n">
        <v>43626</v>
      </c>
      <c r="C342" s="1" t="n">
        <v>45260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29393-2019</t>
        </is>
      </c>
      <c r="B343" s="1" t="n">
        <v>43627</v>
      </c>
      <c r="C343" s="1" t="n">
        <v>45260</v>
      </c>
      <c r="D343" t="inlineStr">
        <is>
          <t>VÄSTERNORRLANDS LÄN</t>
        </is>
      </c>
      <c r="E343" t="inlineStr">
        <is>
          <t>ÖRNSKÖLDSVIK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29551-2019</t>
        </is>
      </c>
      <c r="B344" s="1" t="n">
        <v>43627</v>
      </c>
      <c r="C344" s="1" t="n">
        <v>45260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29625-2019</t>
        </is>
      </c>
      <c r="B345" s="1" t="n">
        <v>43628</v>
      </c>
      <c r="C345" s="1" t="n">
        <v>45260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29829-2019</t>
        </is>
      </c>
      <c r="B346" s="1" t="n">
        <v>43629</v>
      </c>
      <c r="C346" s="1" t="n">
        <v>45260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29838-2019</t>
        </is>
      </c>
      <c r="B347" s="1" t="n">
        <v>43629</v>
      </c>
      <c r="C347" s="1" t="n">
        <v>45260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29587-2019</t>
        </is>
      </c>
      <c r="B348" s="1" t="n">
        <v>43630</v>
      </c>
      <c r="C348" s="1" t="n">
        <v>45260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29772-2019</t>
        </is>
      </c>
      <c r="B349" s="1" t="n">
        <v>43632</v>
      </c>
      <c r="C349" s="1" t="n">
        <v>45260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30423-2019</t>
        </is>
      </c>
      <c r="B350" s="1" t="n">
        <v>43633</v>
      </c>
      <c r="C350" s="1" t="n">
        <v>45260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30427-2019</t>
        </is>
      </c>
      <c r="B351" s="1" t="n">
        <v>43633</v>
      </c>
      <c r="C351" s="1" t="n">
        <v>45260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31217-2019</t>
        </is>
      </c>
      <c r="B352" s="1" t="n">
        <v>43635</v>
      </c>
      <c r="C352" s="1" t="n">
        <v>45260</v>
      </c>
      <c r="D352" t="inlineStr">
        <is>
          <t>VÄSTERNORRLANDS LÄN</t>
        </is>
      </c>
      <c r="E352" t="inlineStr">
        <is>
          <t>ÖRNSKÖLDSVIK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31214-2019</t>
        </is>
      </c>
      <c r="B353" s="1" t="n">
        <v>43635</v>
      </c>
      <c r="C353" s="1" t="n">
        <v>45260</v>
      </c>
      <c r="D353" t="inlineStr">
        <is>
          <t>VÄSTERNORRLANDS LÄN</t>
        </is>
      </c>
      <c r="E353" t="inlineStr">
        <is>
          <t>ÖRNSKÖLDSVIK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30704-2019</t>
        </is>
      </c>
      <c r="B354" s="1" t="n">
        <v>43636</v>
      </c>
      <c r="C354" s="1" t="n">
        <v>45260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30952-2019</t>
        </is>
      </c>
      <c r="B355" s="1" t="n">
        <v>43637</v>
      </c>
      <c r="C355" s="1" t="n">
        <v>45260</v>
      </c>
      <c r="D355" t="inlineStr">
        <is>
          <t>VÄSTERNORRLANDS LÄN</t>
        </is>
      </c>
      <c r="E355" t="inlineStr">
        <is>
          <t>ÖRNSKÖLDSVIK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31042-2019</t>
        </is>
      </c>
      <c r="B356" s="1" t="n">
        <v>43640</v>
      </c>
      <c r="C356" s="1" t="n">
        <v>45260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31369-2019</t>
        </is>
      </c>
      <c r="B357" s="1" t="n">
        <v>43641</v>
      </c>
      <c r="C357" s="1" t="n">
        <v>45260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31944-2019</t>
        </is>
      </c>
      <c r="B358" s="1" t="n">
        <v>43643</v>
      </c>
      <c r="C358" s="1" t="n">
        <v>45260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31940-2019</t>
        </is>
      </c>
      <c r="B359" s="1" t="n">
        <v>43643</v>
      </c>
      <c r="C359" s="1" t="n">
        <v>45260</v>
      </c>
      <c r="D359" t="inlineStr">
        <is>
          <t>VÄSTERNORRLANDS LÄN</t>
        </is>
      </c>
      <c r="E359" t="inlineStr">
        <is>
          <t>ÖRNSKÖLDSVIK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33257-2019</t>
        </is>
      </c>
      <c r="B360" s="1" t="n">
        <v>43643</v>
      </c>
      <c r="C360" s="1" t="n">
        <v>45260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33237-2019</t>
        </is>
      </c>
      <c r="B361" s="1" t="n">
        <v>43643</v>
      </c>
      <c r="C361" s="1" t="n">
        <v>45260</v>
      </c>
      <c r="D361" t="inlineStr">
        <is>
          <t>VÄSTERNORRLANDS LÄN</t>
        </is>
      </c>
      <c r="E361" t="inlineStr">
        <is>
          <t>ÖRNSKÖLDSVIK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32774-2019</t>
        </is>
      </c>
      <c r="B362" s="1" t="n">
        <v>43643</v>
      </c>
      <c r="C362" s="1" t="n">
        <v>45260</v>
      </c>
      <c r="D362" t="inlineStr">
        <is>
          <t>VÄSTERNORRLANDS LÄN</t>
        </is>
      </c>
      <c r="E362" t="inlineStr">
        <is>
          <t>ÖRNSKÖLDSVIK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32184-2019</t>
        </is>
      </c>
      <c r="B363" s="1" t="n">
        <v>43643</v>
      </c>
      <c r="C363" s="1" t="n">
        <v>45260</v>
      </c>
      <c r="D363" t="inlineStr">
        <is>
          <t>VÄSTERNORRLANDS LÄN</t>
        </is>
      </c>
      <c r="E363" t="inlineStr">
        <is>
          <t>ÖRNSKÖLDSVIK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32252-2019</t>
        </is>
      </c>
      <c r="B364" s="1" t="n">
        <v>43644</v>
      </c>
      <c r="C364" s="1" t="n">
        <v>45260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32249-2019</t>
        </is>
      </c>
      <c r="B365" s="1" t="n">
        <v>43644</v>
      </c>
      <c r="C365" s="1" t="n">
        <v>45260</v>
      </c>
      <c r="D365" t="inlineStr">
        <is>
          <t>VÄSTERNORRLANDS LÄN</t>
        </is>
      </c>
      <c r="E365" t="inlineStr">
        <is>
          <t>ÖRNSKÖLDSVIK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32331-2019</t>
        </is>
      </c>
      <c r="B366" s="1" t="n">
        <v>43644</v>
      </c>
      <c r="C366" s="1" t="n">
        <v>45260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32466-2019</t>
        </is>
      </c>
      <c r="B367" s="1" t="n">
        <v>43644</v>
      </c>
      <c r="C367" s="1" t="n">
        <v>45260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28804-2019</t>
        </is>
      </c>
      <c r="B368" s="1" t="n">
        <v>43647</v>
      </c>
      <c r="C368" s="1" t="n">
        <v>45260</v>
      </c>
      <c r="D368" t="inlineStr">
        <is>
          <t>VÄSTERNORRLANDS LÄN</t>
        </is>
      </c>
      <c r="E368" t="inlineStr">
        <is>
          <t>ÖRNSKÖLDSVIK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34846-2019</t>
        </is>
      </c>
      <c r="B369" s="1" t="n">
        <v>43648</v>
      </c>
      <c r="C369" s="1" t="n">
        <v>45260</v>
      </c>
      <c r="D369" t="inlineStr">
        <is>
          <t>VÄSTERNORRLANDS LÄN</t>
        </is>
      </c>
      <c r="E369" t="inlineStr">
        <is>
          <t>ÖRNSKÖLDSVIK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34863-2019</t>
        </is>
      </c>
      <c r="B370" s="1" t="n">
        <v>43649</v>
      </c>
      <c r="C370" s="1" t="n">
        <v>45260</v>
      </c>
      <c r="D370" t="inlineStr">
        <is>
          <t>VÄSTERNORRLANDS LÄN</t>
        </is>
      </c>
      <c r="E370" t="inlineStr">
        <is>
          <t>ÖRNSKÖLDSVIK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33160-2019</t>
        </is>
      </c>
      <c r="B371" s="1" t="n">
        <v>43649</v>
      </c>
      <c r="C371" s="1" t="n">
        <v>45260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33072-2019</t>
        </is>
      </c>
      <c r="B372" s="1" t="n">
        <v>43649</v>
      </c>
      <c r="C372" s="1" t="n">
        <v>45260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33253-2019</t>
        </is>
      </c>
      <c r="B373" s="1" t="n">
        <v>43650</v>
      </c>
      <c r="C373" s="1" t="n">
        <v>45260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33799-2019</t>
        </is>
      </c>
      <c r="B374" s="1" t="n">
        <v>43651</v>
      </c>
      <c r="C374" s="1" t="n">
        <v>45260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35401-2019</t>
        </is>
      </c>
      <c r="B375" s="1" t="n">
        <v>43651</v>
      </c>
      <c r="C375" s="1" t="n">
        <v>45260</v>
      </c>
      <c r="D375" t="inlineStr">
        <is>
          <t>VÄSTERNORRLANDS LÄN</t>
        </is>
      </c>
      <c r="E375" t="inlineStr">
        <is>
          <t>ÖRNSKÖLDSVIK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35449-2019</t>
        </is>
      </c>
      <c r="B376" s="1" t="n">
        <v>43651</v>
      </c>
      <c r="C376" s="1" t="n">
        <v>45260</v>
      </c>
      <c r="D376" t="inlineStr">
        <is>
          <t>VÄSTERNORRLANDS LÄN</t>
        </is>
      </c>
      <c r="E376" t="inlineStr">
        <is>
          <t>ÖRNSKÖLDSVIK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33872-2019</t>
        </is>
      </c>
      <c r="B377" s="1" t="n">
        <v>43652</v>
      </c>
      <c r="C377" s="1" t="n">
        <v>45260</v>
      </c>
      <c r="D377" t="inlineStr">
        <is>
          <t>VÄSTERNORRLANDS LÄN</t>
        </is>
      </c>
      <c r="E377" t="inlineStr">
        <is>
          <t>ÖRNSKÖLDSVIK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34317-2019</t>
        </is>
      </c>
      <c r="B378" s="1" t="n">
        <v>43656</v>
      </c>
      <c r="C378" s="1" t="n">
        <v>45260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34684-2019</t>
        </is>
      </c>
      <c r="B379" s="1" t="n">
        <v>43657</v>
      </c>
      <c r="C379" s="1" t="n">
        <v>45260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36278-2019</t>
        </is>
      </c>
      <c r="B380" s="1" t="n">
        <v>43661</v>
      </c>
      <c r="C380" s="1" t="n">
        <v>45260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35671-2019</t>
        </is>
      </c>
      <c r="B381" s="1" t="n">
        <v>43664</v>
      </c>
      <c r="C381" s="1" t="n">
        <v>45260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35907-2019</t>
        </is>
      </c>
      <c r="B382" s="1" t="n">
        <v>43665</v>
      </c>
      <c r="C382" s="1" t="n">
        <v>45260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36631-2019</t>
        </is>
      </c>
      <c r="B383" s="1" t="n">
        <v>43671</v>
      </c>
      <c r="C383" s="1" t="n">
        <v>45260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37070-2019</t>
        </is>
      </c>
      <c r="B384" s="1" t="n">
        <v>43675</v>
      </c>
      <c r="C384" s="1" t="n">
        <v>45260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37203-2019</t>
        </is>
      </c>
      <c r="B385" s="1" t="n">
        <v>43677</v>
      </c>
      <c r="C385" s="1" t="n">
        <v>45260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37211-2019</t>
        </is>
      </c>
      <c r="B386" s="1" t="n">
        <v>43677</v>
      </c>
      <c r="C386" s="1" t="n">
        <v>45260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37201-2019</t>
        </is>
      </c>
      <c r="B387" s="1" t="n">
        <v>43677</v>
      </c>
      <c r="C387" s="1" t="n">
        <v>45260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37210-2019</t>
        </is>
      </c>
      <c r="B388" s="1" t="n">
        <v>43677</v>
      </c>
      <c r="C388" s="1" t="n">
        <v>45260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37202-2019</t>
        </is>
      </c>
      <c r="B389" s="1" t="n">
        <v>43677</v>
      </c>
      <c r="C389" s="1" t="n">
        <v>45260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37718-2019</t>
        </is>
      </c>
      <c r="B390" s="1" t="n">
        <v>43679</v>
      </c>
      <c r="C390" s="1" t="n">
        <v>45260</v>
      </c>
      <c r="D390" t="inlineStr">
        <is>
          <t>VÄSTERNORRLANDS LÄN</t>
        </is>
      </c>
      <c r="E390" t="inlineStr">
        <is>
          <t>ÖRNSKÖLDSVIK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37721-2019</t>
        </is>
      </c>
      <c r="B391" s="1" t="n">
        <v>43679</v>
      </c>
      <c r="C391" s="1" t="n">
        <v>45260</v>
      </c>
      <c r="D391" t="inlineStr">
        <is>
          <t>VÄSTERNORRLANDS LÄN</t>
        </is>
      </c>
      <c r="E391" t="inlineStr">
        <is>
          <t>ÖRNSKÖLDSVIK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38175-2019</t>
        </is>
      </c>
      <c r="B392" s="1" t="n">
        <v>43684</v>
      </c>
      <c r="C392" s="1" t="n">
        <v>45260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44.3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38813-2019</t>
        </is>
      </c>
      <c r="B393" s="1" t="n">
        <v>43689</v>
      </c>
      <c r="C393" s="1" t="n">
        <v>45260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39046-2019</t>
        </is>
      </c>
      <c r="B394" s="1" t="n">
        <v>43689</v>
      </c>
      <c r="C394" s="1" t="n">
        <v>45260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39858-2019</t>
        </is>
      </c>
      <c r="B395" s="1" t="n">
        <v>43689</v>
      </c>
      <c r="C395" s="1" t="n">
        <v>45260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39048-2019</t>
        </is>
      </c>
      <c r="B396" s="1" t="n">
        <v>43689</v>
      </c>
      <c r="C396" s="1" t="n">
        <v>45260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39857-2019</t>
        </is>
      </c>
      <c r="B397" s="1" t="n">
        <v>43689</v>
      </c>
      <c r="C397" s="1" t="n">
        <v>45260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40294-2019</t>
        </is>
      </c>
      <c r="B398" s="1" t="n">
        <v>43690</v>
      </c>
      <c r="C398" s="1" t="n">
        <v>45260</v>
      </c>
      <c r="D398" t="inlineStr">
        <is>
          <t>VÄSTERNORRLANDS LÄN</t>
        </is>
      </c>
      <c r="E398" t="inlineStr">
        <is>
          <t>ÖRNSKÖLDSVIK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40421-2019</t>
        </is>
      </c>
      <c r="B399" s="1" t="n">
        <v>43690</v>
      </c>
      <c r="C399" s="1" t="n">
        <v>45260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39439-2019</t>
        </is>
      </c>
      <c r="B400" s="1" t="n">
        <v>43691</v>
      </c>
      <c r="C400" s="1" t="n">
        <v>45260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40213-2019</t>
        </is>
      </c>
      <c r="B401" s="1" t="n">
        <v>43693</v>
      </c>
      <c r="C401" s="1" t="n">
        <v>45260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41346-2019</t>
        </is>
      </c>
      <c r="B402" s="1" t="n">
        <v>43695</v>
      </c>
      <c r="C402" s="1" t="n">
        <v>45260</v>
      </c>
      <c r="D402" t="inlineStr">
        <is>
          <t>VÄSTERNORRLANDS LÄN</t>
        </is>
      </c>
      <c r="E402" t="inlineStr">
        <is>
          <t>ÖRNSKÖLDSVIK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41340-2019</t>
        </is>
      </c>
      <c r="B403" s="1" t="n">
        <v>43695</v>
      </c>
      <c r="C403" s="1" t="n">
        <v>45260</v>
      </c>
      <c r="D403" t="inlineStr">
        <is>
          <t>VÄSTERNORRLANDS LÄN</t>
        </is>
      </c>
      <c r="E403" t="inlineStr">
        <is>
          <t>ÖRNSKÖLDSVIK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41296-2019</t>
        </is>
      </c>
      <c r="B404" s="1" t="n">
        <v>43695</v>
      </c>
      <c r="C404" s="1" t="n">
        <v>45260</v>
      </c>
      <c r="D404" t="inlineStr">
        <is>
          <t>VÄSTERNORRLANDS LÄN</t>
        </is>
      </c>
      <c r="E404" t="inlineStr">
        <is>
          <t>ÖRNSKÖLDSVIK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41331-2019</t>
        </is>
      </c>
      <c r="B405" s="1" t="n">
        <v>43695</v>
      </c>
      <c r="C405" s="1" t="n">
        <v>45260</v>
      </c>
      <c r="D405" t="inlineStr">
        <is>
          <t>VÄSTERNORRLANDS LÄN</t>
        </is>
      </c>
      <c r="E405" t="inlineStr">
        <is>
          <t>ÖRNSKÖLDSVIK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40417-2019</t>
        </is>
      </c>
      <c r="B406" s="1" t="n">
        <v>43696</v>
      </c>
      <c r="C406" s="1" t="n">
        <v>45260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41480-2019</t>
        </is>
      </c>
      <c r="B407" s="1" t="n">
        <v>43696</v>
      </c>
      <c r="C407" s="1" t="n">
        <v>45260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Kyrkan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40544-2019</t>
        </is>
      </c>
      <c r="B408" s="1" t="n">
        <v>43696</v>
      </c>
      <c r="C408" s="1" t="n">
        <v>45260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40619-2019</t>
        </is>
      </c>
      <c r="B409" s="1" t="n">
        <v>43696</v>
      </c>
      <c r="C409" s="1" t="n">
        <v>45260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41828-2019</t>
        </is>
      </c>
      <c r="B410" s="1" t="n">
        <v>43697</v>
      </c>
      <c r="C410" s="1" t="n">
        <v>45260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41861-2019</t>
        </is>
      </c>
      <c r="B411" s="1" t="n">
        <v>43697</v>
      </c>
      <c r="C411" s="1" t="n">
        <v>45260</v>
      </c>
      <c r="D411" t="inlineStr">
        <is>
          <t>VÄSTERNORRLANDS LÄN</t>
        </is>
      </c>
      <c r="E411" t="inlineStr">
        <is>
          <t>ÖRNSKÖLDSVIK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41862-2019</t>
        </is>
      </c>
      <c r="B412" s="1" t="n">
        <v>43697</v>
      </c>
      <c r="C412" s="1" t="n">
        <v>45260</v>
      </c>
      <c r="D412" t="inlineStr">
        <is>
          <t>VÄSTERNORRLANDS LÄN</t>
        </is>
      </c>
      <c r="E412" t="inlineStr">
        <is>
          <t>ÖRNSKÖLDSVIK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41075-2019</t>
        </is>
      </c>
      <c r="B413" s="1" t="n">
        <v>43698</v>
      </c>
      <c r="C413" s="1" t="n">
        <v>45260</v>
      </c>
      <c r="D413" t="inlineStr">
        <is>
          <t>VÄSTERNORRLANDS LÄN</t>
        </is>
      </c>
      <c r="E413" t="inlineStr">
        <is>
          <t>ÖRNSKÖLDSVIK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41172-2019</t>
        </is>
      </c>
      <c r="B414" s="1" t="n">
        <v>43698</v>
      </c>
      <c r="C414" s="1" t="n">
        <v>45260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41136-2019</t>
        </is>
      </c>
      <c r="B415" s="1" t="n">
        <v>43698</v>
      </c>
      <c r="C415" s="1" t="n">
        <v>45260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42507-2019</t>
        </is>
      </c>
      <c r="B416" s="1" t="n">
        <v>43699</v>
      </c>
      <c r="C416" s="1" t="n">
        <v>45260</v>
      </c>
      <c r="D416" t="inlineStr">
        <is>
          <t>VÄSTERNORRLANDS LÄN</t>
        </is>
      </c>
      <c r="E416" t="inlineStr">
        <is>
          <t>ÖRNSKÖLDSVIK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42453-2019</t>
        </is>
      </c>
      <c r="B417" s="1" t="n">
        <v>43699</v>
      </c>
      <c r="C417" s="1" t="n">
        <v>45260</v>
      </c>
      <c r="D417" t="inlineStr">
        <is>
          <t>VÄSTERNORRLANDS LÄN</t>
        </is>
      </c>
      <c r="E417" t="inlineStr">
        <is>
          <t>ÖRNSKÖLDSVIK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41901-2019</t>
        </is>
      </c>
      <c r="B418" s="1" t="n">
        <v>43700</v>
      </c>
      <c r="C418" s="1" t="n">
        <v>45260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43769-2019</t>
        </is>
      </c>
      <c r="B419" s="1" t="n">
        <v>43707</v>
      </c>
      <c r="C419" s="1" t="n">
        <v>45260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45012-2019</t>
        </is>
      </c>
      <c r="B420" s="1" t="n">
        <v>43707</v>
      </c>
      <c r="C420" s="1" t="n">
        <v>45260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45040-2019</t>
        </is>
      </c>
      <c r="B421" s="1" t="n">
        <v>43707</v>
      </c>
      <c r="C421" s="1" t="n">
        <v>45260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45018-2019</t>
        </is>
      </c>
      <c r="B422" s="1" t="n">
        <v>43707</v>
      </c>
      <c r="C422" s="1" t="n">
        <v>45260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44232-2019</t>
        </is>
      </c>
      <c r="B423" s="1" t="n">
        <v>43710</v>
      </c>
      <c r="C423" s="1" t="n">
        <v>45260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44246-2019</t>
        </is>
      </c>
      <c r="B424" s="1" t="n">
        <v>43710</v>
      </c>
      <c r="C424" s="1" t="n">
        <v>45260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44726-2019</t>
        </is>
      </c>
      <c r="B425" s="1" t="n">
        <v>43712</v>
      </c>
      <c r="C425" s="1" t="n">
        <v>45260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44728-2019</t>
        </is>
      </c>
      <c r="B426" s="1" t="n">
        <v>43712</v>
      </c>
      <c r="C426" s="1" t="n">
        <v>45260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46195-2019</t>
        </is>
      </c>
      <c r="B427" s="1" t="n">
        <v>43712</v>
      </c>
      <c r="C427" s="1" t="n">
        <v>45260</v>
      </c>
      <c r="D427" t="inlineStr">
        <is>
          <t>VÄSTERNORRLANDS LÄN</t>
        </is>
      </c>
      <c r="E427" t="inlineStr">
        <is>
          <t>ÖRNSKÖLDSVIK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45952-2019</t>
        </is>
      </c>
      <c r="B428" s="1" t="n">
        <v>43712</v>
      </c>
      <c r="C428" s="1" t="n">
        <v>45260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44734-2019</t>
        </is>
      </c>
      <c r="B429" s="1" t="n">
        <v>43712</v>
      </c>
      <c r="C429" s="1" t="n">
        <v>45260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45034-2019</t>
        </is>
      </c>
      <c r="B430" s="1" t="n">
        <v>43713</v>
      </c>
      <c r="C430" s="1" t="n">
        <v>45260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46033-2019</t>
        </is>
      </c>
      <c r="B431" s="1" t="n">
        <v>43713</v>
      </c>
      <c r="C431" s="1" t="n">
        <v>45260</v>
      </c>
      <c r="D431" t="inlineStr">
        <is>
          <t>VÄSTERNORRLANDS LÄN</t>
        </is>
      </c>
      <c r="E431" t="inlineStr">
        <is>
          <t>ÖRNSKÖLDSVIK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45074-2019</t>
        </is>
      </c>
      <c r="B432" s="1" t="n">
        <v>43713</v>
      </c>
      <c r="C432" s="1" t="n">
        <v>45260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45281-2019</t>
        </is>
      </c>
      <c r="B433" s="1" t="n">
        <v>43714</v>
      </c>
      <c r="C433" s="1" t="n">
        <v>45260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45280-2019</t>
        </is>
      </c>
      <c r="B434" s="1" t="n">
        <v>43714</v>
      </c>
      <c r="C434" s="1" t="n">
        <v>45260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45288-2019</t>
        </is>
      </c>
      <c r="B435" s="1" t="n">
        <v>43714</v>
      </c>
      <c r="C435" s="1" t="n">
        <v>45260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45286-2019</t>
        </is>
      </c>
      <c r="B436" s="1" t="n">
        <v>43714</v>
      </c>
      <c r="C436" s="1" t="n">
        <v>45260</v>
      </c>
      <c r="D436" t="inlineStr">
        <is>
          <t>VÄSTERNORRLANDS LÄN</t>
        </is>
      </c>
      <c r="E436" t="inlineStr">
        <is>
          <t>ÖRNSKÖLDSVIK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45278-2019</t>
        </is>
      </c>
      <c r="B437" s="1" t="n">
        <v>43714</v>
      </c>
      <c r="C437" s="1" t="n">
        <v>45260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45285-2019</t>
        </is>
      </c>
      <c r="B438" s="1" t="n">
        <v>43714</v>
      </c>
      <c r="C438" s="1" t="n">
        <v>45260</v>
      </c>
      <c r="D438" t="inlineStr">
        <is>
          <t>VÄSTERNORRLANDS LÄN</t>
        </is>
      </c>
      <c r="E438" t="inlineStr">
        <is>
          <t>ÖRNSKÖLDSVIK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46560-2019</t>
        </is>
      </c>
      <c r="B439" s="1" t="n">
        <v>43717</v>
      </c>
      <c r="C439" s="1" t="n">
        <v>45260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46114-2019</t>
        </is>
      </c>
      <c r="B440" s="1" t="n">
        <v>43718</v>
      </c>
      <c r="C440" s="1" t="n">
        <v>45260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46063-2019</t>
        </is>
      </c>
      <c r="B441" s="1" t="n">
        <v>43718</v>
      </c>
      <c r="C441" s="1" t="n">
        <v>45260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47151-2019</t>
        </is>
      </c>
      <c r="B442" s="1" t="n">
        <v>43720</v>
      </c>
      <c r="C442" s="1" t="n">
        <v>45260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47198-2019</t>
        </is>
      </c>
      <c r="B443" s="1" t="n">
        <v>43721</v>
      </c>
      <c r="C443" s="1" t="n">
        <v>45260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47235-2019</t>
        </is>
      </c>
      <c r="B444" s="1" t="n">
        <v>43721</v>
      </c>
      <c r="C444" s="1" t="n">
        <v>45260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47709-2019</t>
        </is>
      </c>
      <c r="B445" s="1" t="n">
        <v>43724</v>
      </c>
      <c r="C445" s="1" t="n">
        <v>45260</v>
      </c>
      <c r="D445" t="inlineStr">
        <is>
          <t>VÄSTERNORRLANDS LÄN</t>
        </is>
      </c>
      <c r="E445" t="inlineStr">
        <is>
          <t>ÖRNSKÖLDSVIK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48187-2019</t>
        </is>
      </c>
      <c r="B446" s="1" t="n">
        <v>43725</v>
      </c>
      <c r="C446" s="1" t="n">
        <v>45260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48165-2019</t>
        </is>
      </c>
      <c r="B447" s="1" t="n">
        <v>43726</v>
      </c>
      <c r="C447" s="1" t="n">
        <v>45260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48420-2019</t>
        </is>
      </c>
      <c r="B448" s="1" t="n">
        <v>43726</v>
      </c>
      <c r="C448" s="1" t="n">
        <v>45260</v>
      </c>
      <c r="D448" t="inlineStr">
        <is>
          <t>VÄSTERNORRLANDS LÄN</t>
        </is>
      </c>
      <c r="E448" t="inlineStr">
        <is>
          <t>ÖRNSKÖLDSVIK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48350-2019</t>
        </is>
      </c>
      <c r="B449" s="1" t="n">
        <v>43726</v>
      </c>
      <c r="C449" s="1" t="n">
        <v>45260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48340-2019</t>
        </is>
      </c>
      <c r="B450" s="1" t="n">
        <v>43726</v>
      </c>
      <c r="C450" s="1" t="n">
        <v>45260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48531-2019</t>
        </is>
      </c>
      <c r="B451" s="1" t="n">
        <v>43727</v>
      </c>
      <c r="C451" s="1" t="n">
        <v>45260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48751-2019</t>
        </is>
      </c>
      <c r="B452" s="1" t="n">
        <v>43727</v>
      </c>
      <c r="C452" s="1" t="n">
        <v>45260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48783-2019</t>
        </is>
      </c>
      <c r="B453" s="1" t="n">
        <v>43727</v>
      </c>
      <c r="C453" s="1" t="n">
        <v>45260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48855-2019</t>
        </is>
      </c>
      <c r="B454" s="1" t="n">
        <v>43728</v>
      </c>
      <c r="C454" s="1" t="n">
        <v>45260</v>
      </c>
      <c r="D454" t="inlineStr">
        <is>
          <t>VÄSTERNORRLANDS LÄN</t>
        </is>
      </c>
      <c r="E454" t="inlineStr">
        <is>
          <t>ÖRNSKÖLDSVIK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49054-2019</t>
        </is>
      </c>
      <c r="B455" s="1" t="n">
        <v>43731</v>
      </c>
      <c r="C455" s="1" t="n">
        <v>45260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51028-2019</t>
        </is>
      </c>
      <c r="B456" s="1" t="n">
        <v>43732</v>
      </c>
      <c r="C456" s="1" t="n">
        <v>45260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50042-2019</t>
        </is>
      </c>
      <c r="B457" s="1" t="n">
        <v>43734</v>
      </c>
      <c r="C457" s="1" t="n">
        <v>45260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50054-2019</t>
        </is>
      </c>
      <c r="B458" s="1" t="n">
        <v>43734</v>
      </c>
      <c r="C458" s="1" t="n">
        <v>45260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50068-2019</t>
        </is>
      </c>
      <c r="B459" s="1" t="n">
        <v>43734</v>
      </c>
      <c r="C459" s="1" t="n">
        <v>45260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50555-2019</t>
        </is>
      </c>
      <c r="B460" s="1" t="n">
        <v>43735</v>
      </c>
      <c r="C460" s="1" t="n">
        <v>45260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50552-2019</t>
        </is>
      </c>
      <c r="B461" s="1" t="n">
        <v>43735</v>
      </c>
      <c r="C461" s="1" t="n">
        <v>45260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50742-2019</t>
        </is>
      </c>
      <c r="B462" s="1" t="n">
        <v>43738</v>
      </c>
      <c r="C462" s="1" t="n">
        <v>45260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51064-2019</t>
        </is>
      </c>
      <c r="B463" s="1" t="n">
        <v>43739</v>
      </c>
      <c r="C463" s="1" t="n">
        <v>45260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51053-2019</t>
        </is>
      </c>
      <c r="B464" s="1" t="n">
        <v>43739</v>
      </c>
      <c r="C464" s="1" t="n">
        <v>45260</v>
      </c>
      <c r="D464" t="inlineStr">
        <is>
          <t>VÄSTERNORRLANDS LÄN</t>
        </is>
      </c>
      <c r="E464" t="inlineStr">
        <is>
          <t>ÖRNSKÖLDSVIK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51565-2019</t>
        </is>
      </c>
      <c r="B465" s="1" t="n">
        <v>43740</v>
      </c>
      <c r="C465" s="1" t="n">
        <v>45260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53390-2019</t>
        </is>
      </c>
      <c r="B466" s="1" t="n">
        <v>43740</v>
      </c>
      <c r="C466" s="1" t="n">
        <v>45260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53935-2019</t>
        </is>
      </c>
      <c r="B467" s="1" t="n">
        <v>43742</v>
      </c>
      <c r="C467" s="1" t="n">
        <v>45260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54067-2019</t>
        </is>
      </c>
      <c r="B468" s="1" t="n">
        <v>43742</v>
      </c>
      <c r="C468" s="1" t="n">
        <v>45260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54065-2019</t>
        </is>
      </c>
      <c r="B469" s="1" t="n">
        <v>43742</v>
      </c>
      <c r="C469" s="1" t="n">
        <v>45260</v>
      </c>
      <c r="D469" t="inlineStr">
        <is>
          <t>VÄSTERNORRLANDS LÄN</t>
        </is>
      </c>
      <c r="E469" t="inlineStr">
        <is>
          <t>ÖRNSKÖLDSVIK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52278-2019</t>
        </is>
      </c>
      <c r="B470" s="1" t="n">
        <v>43744</v>
      </c>
      <c r="C470" s="1" t="n">
        <v>45260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54282-2019</t>
        </is>
      </c>
      <c r="B471" s="1" t="n">
        <v>43745</v>
      </c>
      <c r="C471" s="1" t="n">
        <v>45260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54473-2019</t>
        </is>
      </c>
      <c r="B472" s="1" t="n">
        <v>43747</v>
      </c>
      <c r="C472" s="1" t="n">
        <v>45260</v>
      </c>
      <c r="D472" t="inlineStr">
        <is>
          <t>VÄSTERNORRLANDS LÄN</t>
        </is>
      </c>
      <c r="E472" t="inlineStr">
        <is>
          <t>ÖRNSKÖLDSVIK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53318-2019</t>
        </is>
      </c>
      <c r="B473" s="1" t="n">
        <v>43748</v>
      </c>
      <c r="C473" s="1" t="n">
        <v>45260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54739-2019</t>
        </is>
      </c>
      <c r="B474" s="1" t="n">
        <v>43748</v>
      </c>
      <c r="C474" s="1" t="n">
        <v>45260</v>
      </c>
      <c r="D474" t="inlineStr">
        <is>
          <t>VÄSTERNORRLANDS LÄN</t>
        </is>
      </c>
      <c r="E474" t="inlineStr">
        <is>
          <t>ÖRNSKÖLDSVIK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53528-2019</t>
        </is>
      </c>
      <c r="B475" s="1" t="n">
        <v>43749</v>
      </c>
      <c r="C475" s="1" t="n">
        <v>45260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53544-2019</t>
        </is>
      </c>
      <c r="B476" s="1" t="n">
        <v>43749</v>
      </c>
      <c r="C476" s="1" t="n">
        <v>45260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54128-2019</t>
        </is>
      </c>
      <c r="B477" s="1" t="n">
        <v>43752</v>
      </c>
      <c r="C477" s="1" t="n">
        <v>45260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55056-2019</t>
        </is>
      </c>
      <c r="B478" s="1" t="n">
        <v>43752</v>
      </c>
      <c r="C478" s="1" t="n">
        <v>45260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55069-2019</t>
        </is>
      </c>
      <c r="B479" s="1" t="n">
        <v>43752</v>
      </c>
      <c r="C479" s="1" t="n">
        <v>45260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Övriga Aktiebolag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55095-2019</t>
        </is>
      </c>
      <c r="B480" s="1" t="n">
        <v>43752</v>
      </c>
      <c r="C480" s="1" t="n">
        <v>45260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55049-2019</t>
        </is>
      </c>
      <c r="B481" s="1" t="n">
        <v>43752</v>
      </c>
      <c r="C481" s="1" t="n">
        <v>45260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54179-2019</t>
        </is>
      </c>
      <c r="B482" s="1" t="n">
        <v>43753</v>
      </c>
      <c r="C482" s="1" t="n">
        <v>45260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54789-2019</t>
        </is>
      </c>
      <c r="B483" s="1" t="n">
        <v>43755</v>
      </c>
      <c r="C483" s="1" t="n">
        <v>45260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54692-2019</t>
        </is>
      </c>
      <c r="B484" s="1" t="n">
        <v>43755</v>
      </c>
      <c r="C484" s="1" t="n">
        <v>45260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55252-2019</t>
        </is>
      </c>
      <c r="B485" s="1" t="n">
        <v>43756</v>
      </c>
      <c r="C485" s="1" t="n">
        <v>45260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55174-2019</t>
        </is>
      </c>
      <c r="B486" s="1" t="n">
        <v>43756</v>
      </c>
      <c r="C486" s="1" t="n">
        <v>45260</v>
      </c>
      <c r="D486" t="inlineStr">
        <is>
          <t>VÄSTERNORRLANDS LÄN</t>
        </is>
      </c>
      <c r="E486" t="inlineStr">
        <is>
          <t>ÖRNSKÖLDSVIK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57247-2019</t>
        </is>
      </c>
      <c r="B487" s="1" t="n">
        <v>43759</v>
      </c>
      <c r="C487" s="1" t="n">
        <v>45260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57288-2019</t>
        </is>
      </c>
      <c r="B488" s="1" t="n">
        <v>43759</v>
      </c>
      <c r="C488" s="1" t="n">
        <v>45260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57271-2019</t>
        </is>
      </c>
      <c r="B489" s="1" t="n">
        <v>43759</v>
      </c>
      <c r="C489" s="1" t="n">
        <v>45260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55447-2019</t>
        </is>
      </c>
      <c r="B490" s="1" t="n">
        <v>43760</v>
      </c>
      <c r="C490" s="1" t="n">
        <v>45260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57420-2019</t>
        </is>
      </c>
      <c r="B491" s="1" t="n">
        <v>43760</v>
      </c>
      <c r="C491" s="1" t="n">
        <v>45260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57424-2019</t>
        </is>
      </c>
      <c r="B492" s="1" t="n">
        <v>43760</v>
      </c>
      <c r="C492" s="1" t="n">
        <v>45260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57370-2019</t>
        </is>
      </c>
      <c r="B493" s="1" t="n">
        <v>43760</v>
      </c>
      <c r="C493" s="1" t="n">
        <v>45260</v>
      </c>
      <c r="D493" t="inlineStr">
        <is>
          <t>VÄSTERNORRLANDS LÄN</t>
        </is>
      </c>
      <c r="E493" t="inlineStr">
        <is>
          <t>ÖRNSKÖLDSVIK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56162-2019</t>
        </is>
      </c>
      <c r="B494" s="1" t="n">
        <v>43761</v>
      </c>
      <c r="C494" s="1" t="n">
        <v>45260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56550-2019</t>
        </is>
      </c>
      <c r="B495" s="1" t="n">
        <v>43763</v>
      </c>
      <c r="C495" s="1" t="n">
        <v>45260</v>
      </c>
      <c r="D495" t="inlineStr">
        <is>
          <t>VÄSTERNORRLANDS LÄN</t>
        </is>
      </c>
      <c r="E495" t="inlineStr">
        <is>
          <t>ÖRNSKÖLDSVIK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56614-2019</t>
        </is>
      </c>
      <c r="B496" s="1" t="n">
        <v>43763</v>
      </c>
      <c r="C496" s="1" t="n">
        <v>45260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56552-2019</t>
        </is>
      </c>
      <c r="B497" s="1" t="n">
        <v>43763</v>
      </c>
      <c r="C497" s="1" t="n">
        <v>45260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58060-2019</t>
        </is>
      </c>
      <c r="B498" s="1" t="n">
        <v>43763</v>
      </c>
      <c r="C498" s="1" t="n">
        <v>45260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56665-2019</t>
        </is>
      </c>
      <c r="B499" s="1" t="n">
        <v>43763</v>
      </c>
      <c r="C499" s="1" t="n">
        <v>45260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58066-2019</t>
        </is>
      </c>
      <c r="B500" s="1" t="n">
        <v>43763</v>
      </c>
      <c r="C500" s="1" t="n">
        <v>45260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57222-2019</t>
        </is>
      </c>
      <c r="B501" s="1" t="n">
        <v>43767</v>
      </c>
      <c r="C501" s="1" t="n">
        <v>45260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57296-2019</t>
        </is>
      </c>
      <c r="B502" s="1" t="n">
        <v>43767</v>
      </c>
      <c r="C502" s="1" t="n">
        <v>45260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58614-2019</t>
        </is>
      </c>
      <c r="B503" s="1" t="n">
        <v>43767</v>
      </c>
      <c r="C503" s="1" t="n">
        <v>45260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57445-2019</t>
        </is>
      </c>
      <c r="B504" s="1" t="n">
        <v>43767</v>
      </c>
      <c r="C504" s="1" t="n">
        <v>45260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58619-2019</t>
        </is>
      </c>
      <c r="B505" s="1" t="n">
        <v>43767</v>
      </c>
      <c r="C505" s="1" t="n">
        <v>45260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57403-2019</t>
        </is>
      </c>
      <c r="B506" s="1" t="n">
        <v>43767</v>
      </c>
      <c r="C506" s="1" t="n">
        <v>45260</v>
      </c>
      <c r="D506" t="inlineStr">
        <is>
          <t>VÄSTERNORRLANDS LÄN</t>
        </is>
      </c>
      <c r="E506" t="inlineStr">
        <is>
          <t>ÖRNSKÖLDSVIK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57298-2019</t>
        </is>
      </c>
      <c r="B507" s="1" t="n">
        <v>43767</v>
      </c>
      <c r="C507" s="1" t="n">
        <v>45260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57941-2019</t>
        </is>
      </c>
      <c r="B508" s="1" t="n">
        <v>43769</v>
      </c>
      <c r="C508" s="1" t="n">
        <v>45260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58715-2019</t>
        </is>
      </c>
      <c r="B509" s="1" t="n">
        <v>43773</v>
      </c>
      <c r="C509" s="1" t="n">
        <v>45260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59500-2019</t>
        </is>
      </c>
      <c r="B510" s="1" t="n">
        <v>43773</v>
      </c>
      <c r="C510" s="1" t="n">
        <v>45260</v>
      </c>
      <c r="D510" t="inlineStr">
        <is>
          <t>VÄSTERNORRLANDS LÄN</t>
        </is>
      </c>
      <c r="E510" t="inlineStr">
        <is>
          <t>ÖRNSKÖLDSVIK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59512-2019</t>
        </is>
      </c>
      <c r="B511" s="1" t="n">
        <v>43773</v>
      </c>
      <c r="C511" s="1" t="n">
        <v>45260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59035-2019</t>
        </is>
      </c>
      <c r="B512" s="1" t="n">
        <v>43774</v>
      </c>
      <c r="C512" s="1" t="n">
        <v>45260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59045-2019</t>
        </is>
      </c>
      <c r="B513" s="1" t="n">
        <v>43774</v>
      </c>
      <c r="C513" s="1" t="n">
        <v>45260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59787-2019</t>
        </is>
      </c>
      <c r="B514" s="1" t="n">
        <v>43776</v>
      </c>
      <c r="C514" s="1" t="n">
        <v>45260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59774-2019</t>
        </is>
      </c>
      <c r="B515" s="1" t="n">
        <v>43776</v>
      </c>
      <c r="C515" s="1" t="n">
        <v>45260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60478-2019</t>
        </is>
      </c>
      <c r="B516" s="1" t="n">
        <v>43776</v>
      </c>
      <c r="C516" s="1" t="n">
        <v>45260</v>
      </c>
      <c r="D516" t="inlineStr">
        <is>
          <t>VÄSTERNORRLANDS LÄN</t>
        </is>
      </c>
      <c r="E516" t="inlineStr">
        <is>
          <t>ÖRNSKÖLDSVIK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60087-2019</t>
        </is>
      </c>
      <c r="B517" s="1" t="n">
        <v>43777</v>
      </c>
      <c r="C517" s="1" t="n">
        <v>45260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60841-2019</t>
        </is>
      </c>
      <c r="B518" s="1" t="n">
        <v>43780</v>
      </c>
      <c r="C518" s="1" t="n">
        <v>45260</v>
      </c>
      <c r="D518" t="inlineStr">
        <is>
          <t>VÄSTERNORRLANDS LÄN</t>
        </is>
      </c>
      <c r="E518" t="inlineStr">
        <is>
          <t>ÖRNSKÖLDSVIK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61465-2019</t>
        </is>
      </c>
      <c r="B519" s="1" t="n">
        <v>43780</v>
      </c>
      <c r="C519" s="1" t="n">
        <v>45260</v>
      </c>
      <c r="D519" t="inlineStr">
        <is>
          <t>VÄSTERNORRLANDS LÄN</t>
        </is>
      </c>
      <c r="E519" t="inlineStr">
        <is>
          <t>ÖRNSKÖLDSVIK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60361-2019</t>
        </is>
      </c>
      <c r="B520" s="1" t="n">
        <v>43780</v>
      </c>
      <c r="C520" s="1" t="n">
        <v>45260</v>
      </c>
      <c r="D520" t="inlineStr">
        <is>
          <t>VÄSTERNORRLANDS LÄN</t>
        </is>
      </c>
      <c r="E520" t="inlineStr">
        <is>
          <t>ÖRNSKÖLDSVIK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60843-2019</t>
        </is>
      </c>
      <c r="B521" s="1" t="n">
        <v>43781</v>
      </c>
      <c r="C521" s="1" t="n">
        <v>45260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61218-2019</t>
        </is>
      </c>
      <c r="B522" s="1" t="n">
        <v>43781</v>
      </c>
      <c r="C522" s="1" t="n">
        <v>45260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61053-2019</t>
        </is>
      </c>
      <c r="B523" s="1" t="n">
        <v>43782</v>
      </c>
      <c r="C523" s="1" t="n">
        <v>45260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62331-2019</t>
        </is>
      </c>
      <c r="B524" s="1" t="n">
        <v>43782</v>
      </c>
      <c r="C524" s="1" t="n">
        <v>45260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61182-2019</t>
        </is>
      </c>
      <c r="B525" s="1" t="n">
        <v>43782</v>
      </c>
      <c r="C525" s="1" t="n">
        <v>45260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61453-2019</t>
        </is>
      </c>
      <c r="B526" s="1" t="n">
        <v>43783</v>
      </c>
      <c r="C526" s="1" t="n">
        <v>45260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62602-2019</t>
        </is>
      </c>
      <c r="B527" s="1" t="n">
        <v>43784</v>
      </c>
      <c r="C527" s="1" t="n">
        <v>45260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62150-2019</t>
        </is>
      </c>
      <c r="B528" s="1" t="n">
        <v>43787</v>
      </c>
      <c r="C528" s="1" t="n">
        <v>45260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62398-2019</t>
        </is>
      </c>
      <c r="B529" s="1" t="n">
        <v>43788</v>
      </c>
      <c r="C529" s="1" t="n">
        <v>45260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62394-2019</t>
        </is>
      </c>
      <c r="B530" s="1" t="n">
        <v>43788</v>
      </c>
      <c r="C530" s="1" t="n">
        <v>45260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63672-2019</t>
        </is>
      </c>
      <c r="B531" s="1" t="n">
        <v>43789</v>
      </c>
      <c r="C531" s="1" t="n">
        <v>45260</v>
      </c>
      <c r="D531" t="inlineStr">
        <is>
          <t>VÄSTERNORRLANDS LÄN</t>
        </is>
      </c>
      <c r="E531" t="inlineStr">
        <is>
          <t>ÖRNSKÖLDSVIK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63891-2019</t>
        </is>
      </c>
      <c r="B532" s="1" t="n">
        <v>43790</v>
      </c>
      <c r="C532" s="1" t="n">
        <v>45260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64651-2019</t>
        </is>
      </c>
      <c r="B533" s="1" t="n">
        <v>43794</v>
      </c>
      <c r="C533" s="1" t="n">
        <v>45260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63403-2019</t>
        </is>
      </c>
      <c r="B534" s="1" t="n">
        <v>43794</v>
      </c>
      <c r="C534" s="1" t="n">
        <v>45260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64322-2019</t>
        </is>
      </c>
      <c r="B535" s="1" t="n">
        <v>43794</v>
      </c>
      <c r="C535" s="1" t="n">
        <v>45260</v>
      </c>
      <c r="D535" t="inlineStr">
        <is>
          <t>VÄSTERNORRLANDS LÄN</t>
        </is>
      </c>
      <c r="E535" t="inlineStr">
        <is>
          <t>ÖRNSKÖLDSVIK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64069-2019</t>
        </is>
      </c>
      <c r="B536" s="1" t="n">
        <v>43796</v>
      </c>
      <c r="C536" s="1" t="n">
        <v>45260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64636-2019</t>
        </is>
      </c>
      <c r="B537" s="1" t="n">
        <v>43798</v>
      </c>
      <c r="C537" s="1" t="n">
        <v>45260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64638-2019</t>
        </is>
      </c>
      <c r="B538" s="1" t="n">
        <v>43798</v>
      </c>
      <c r="C538" s="1" t="n">
        <v>45260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65897-2019</t>
        </is>
      </c>
      <c r="B539" s="1" t="n">
        <v>43801</v>
      </c>
      <c r="C539" s="1" t="n">
        <v>45260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65057-2019</t>
        </is>
      </c>
      <c r="B540" s="1" t="n">
        <v>43801</v>
      </c>
      <c r="C540" s="1" t="n">
        <v>45260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66328-2019</t>
        </is>
      </c>
      <c r="B541" s="1" t="n">
        <v>43802</v>
      </c>
      <c r="C541" s="1" t="n">
        <v>45260</v>
      </c>
      <c r="D541" t="inlineStr">
        <is>
          <t>VÄSTERNORRLANDS LÄN</t>
        </is>
      </c>
      <c r="E541" t="inlineStr">
        <is>
          <t>ÖRNSKÖLDSVIK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66286-2019</t>
        </is>
      </c>
      <c r="B542" s="1" t="n">
        <v>43802</v>
      </c>
      <c r="C542" s="1" t="n">
        <v>45260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65554-2019</t>
        </is>
      </c>
      <c r="B543" s="1" t="n">
        <v>43803</v>
      </c>
      <c r="C543" s="1" t="n">
        <v>45260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65573-2019</t>
        </is>
      </c>
      <c r="B544" s="1" t="n">
        <v>43803</v>
      </c>
      <c r="C544" s="1" t="n">
        <v>45260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65720-2019</t>
        </is>
      </c>
      <c r="B545" s="1" t="n">
        <v>43804</v>
      </c>
      <c r="C545" s="1" t="n">
        <v>45260</v>
      </c>
      <c r="D545" t="inlineStr">
        <is>
          <t>VÄSTERNORRLANDS LÄN</t>
        </is>
      </c>
      <c r="E545" t="inlineStr">
        <is>
          <t>ÖRNSKÖLDSVIK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67063-2019</t>
        </is>
      </c>
      <c r="B546" s="1" t="n">
        <v>43805</v>
      </c>
      <c r="C546" s="1" t="n">
        <v>45260</v>
      </c>
      <c r="D546" t="inlineStr">
        <is>
          <t>VÄSTERNORRLANDS LÄN</t>
        </is>
      </c>
      <c r="E546" t="inlineStr">
        <is>
          <t>ÖRNSKÖLDSVIK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66209-2019</t>
        </is>
      </c>
      <c r="B547" s="1" t="n">
        <v>43808</v>
      </c>
      <c r="C547" s="1" t="n">
        <v>45260</v>
      </c>
      <c r="D547" t="inlineStr">
        <is>
          <t>VÄSTERNORRLANDS LÄN</t>
        </is>
      </c>
      <c r="E547" t="inlineStr">
        <is>
          <t>ÖRNSKÖLDSVIK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66289-2019</t>
        </is>
      </c>
      <c r="B548" s="1" t="n">
        <v>43808</v>
      </c>
      <c r="C548" s="1" t="n">
        <v>45260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66380-2019</t>
        </is>
      </c>
      <c r="B549" s="1" t="n">
        <v>43808</v>
      </c>
      <c r="C549" s="1" t="n">
        <v>45260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67634-2019</t>
        </is>
      </c>
      <c r="B550" s="1" t="n">
        <v>43808</v>
      </c>
      <c r="C550" s="1" t="n">
        <v>45260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66281-2019</t>
        </is>
      </c>
      <c r="B551" s="1" t="n">
        <v>43808</v>
      </c>
      <c r="C551" s="1" t="n">
        <v>45260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66625-2019</t>
        </is>
      </c>
      <c r="B552" s="1" t="n">
        <v>43809</v>
      </c>
      <c r="C552" s="1" t="n">
        <v>45260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66658-2019</t>
        </is>
      </c>
      <c r="B553" s="1" t="n">
        <v>43809</v>
      </c>
      <c r="C553" s="1" t="n">
        <v>45260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66397-2019</t>
        </is>
      </c>
      <c r="B554" s="1" t="n">
        <v>43809</v>
      </c>
      <c r="C554" s="1" t="n">
        <v>45260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67251-2019</t>
        </is>
      </c>
      <c r="B555" s="1" t="n">
        <v>43812</v>
      </c>
      <c r="C555" s="1" t="n">
        <v>45260</v>
      </c>
      <c r="D555" t="inlineStr">
        <is>
          <t>VÄSTERNORRLANDS LÄN</t>
        </is>
      </c>
      <c r="E555" t="inlineStr">
        <is>
          <t>ÖRNSKÖLDSVIK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67613-2019</t>
        </is>
      </c>
      <c r="B556" s="1" t="n">
        <v>43815</v>
      </c>
      <c r="C556" s="1" t="n">
        <v>45260</v>
      </c>
      <c r="D556" t="inlineStr">
        <is>
          <t>VÄSTERNORRLANDS LÄN</t>
        </is>
      </c>
      <c r="E556" t="inlineStr">
        <is>
          <t>ÖRNSKÖLDSVIK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500-2020</t>
        </is>
      </c>
      <c r="B557" s="1" t="n">
        <v>43816</v>
      </c>
      <c r="C557" s="1" t="n">
        <v>45260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494-2020</t>
        </is>
      </c>
      <c r="B558" s="1" t="n">
        <v>43816</v>
      </c>
      <c r="C558" s="1" t="n">
        <v>45260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68686-2019</t>
        </is>
      </c>
      <c r="B559" s="1" t="n">
        <v>43819</v>
      </c>
      <c r="C559" s="1" t="n">
        <v>45260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68939-2019</t>
        </is>
      </c>
      <c r="B560" s="1" t="n">
        <v>43822</v>
      </c>
      <c r="C560" s="1" t="n">
        <v>45260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409-2020</t>
        </is>
      </c>
      <c r="B561" s="1" t="n">
        <v>43837</v>
      </c>
      <c r="C561" s="1" t="n">
        <v>45260</v>
      </c>
      <c r="D561" t="inlineStr">
        <is>
          <t>VÄSTERNORRLANDS LÄN</t>
        </is>
      </c>
      <c r="E561" t="inlineStr">
        <is>
          <t>ÖRNSKÖLDSVIK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428-2020</t>
        </is>
      </c>
      <c r="B562" s="1" t="n">
        <v>43837</v>
      </c>
      <c r="C562" s="1" t="n">
        <v>45260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477-2020</t>
        </is>
      </c>
      <c r="B563" s="1" t="n">
        <v>43837</v>
      </c>
      <c r="C563" s="1" t="n">
        <v>45260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475-2020</t>
        </is>
      </c>
      <c r="B564" s="1" t="n">
        <v>43837</v>
      </c>
      <c r="C564" s="1" t="n">
        <v>45260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415-2020</t>
        </is>
      </c>
      <c r="B565" s="1" t="n">
        <v>43837</v>
      </c>
      <c r="C565" s="1" t="n">
        <v>45260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638-2020</t>
        </is>
      </c>
      <c r="B566" s="1" t="n">
        <v>43838</v>
      </c>
      <c r="C566" s="1" t="n">
        <v>45260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2143-2020</t>
        </is>
      </c>
      <c r="B567" s="1" t="n">
        <v>43839</v>
      </c>
      <c r="C567" s="1" t="n">
        <v>45260</v>
      </c>
      <c r="D567" t="inlineStr">
        <is>
          <t>VÄSTERNORRLANDS LÄN</t>
        </is>
      </c>
      <c r="E567" t="inlineStr">
        <is>
          <t>ÖRNSKÖLDSVIK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1164-2020</t>
        </is>
      </c>
      <c r="B568" s="1" t="n">
        <v>43840</v>
      </c>
      <c r="C568" s="1" t="n">
        <v>45260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1222-2020</t>
        </is>
      </c>
      <c r="B569" s="1" t="n">
        <v>43840</v>
      </c>
      <c r="C569" s="1" t="n">
        <v>45260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1170-2020</t>
        </is>
      </c>
      <c r="B570" s="1" t="n">
        <v>43840</v>
      </c>
      <c r="C570" s="1" t="n">
        <v>45260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1219-2020</t>
        </is>
      </c>
      <c r="B571" s="1" t="n">
        <v>43840</v>
      </c>
      <c r="C571" s="1" t="n">
        <v>45260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1416-2020</t>
        </is>
      </c>
      <c r="B572" s="1" t="n">
        <v>43843</v>
      </c>
      <c r="C572" s="1" t="n">
        <v>45260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3043-2020</t>
        </is>
      </c>
      <c r="B573" s="1" t="n">
        <v>43843</v>
      </c>
      <c r="C573" s="1" t="n">
        <v>45260</v>
      </c>
      <c r="D573" t="inlineStr">
        <is>
          <t>VÄSTERNORRLANDS LÄN</t>
        </is>
      </c>
      <c r="E573" t="inlineStr">
        <is>
          <t>ÖRNSKÖLDSVIK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2297-2020</t>
        </is>
      </c>
      <c r="B574" s="1" t="n">
        <v>43846</v>
      </c>
      <c r="C574" s="1" t="n">
        <v>45260</v>
      </c>
      <c r="D574" t="inlineStr">
        <is>
          <t>VÄSTERNORRLANDS LÄN</t>
        </is>
      </c>
      <c r="E574" t="inlineStr">
        <is>
          <t>ÖRNSKÖLDSVIK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4644-2020</t>
        </is>
      </c>
      <c r="B575" s="1" t="n">
        <v>43850</v>
      </c>
      <c r="C575" s="1" t="n">
        <v>45260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4612-2020</t>
        </is>
      </c>
      <c r="B576" s="1" t="n">
        <v>43850</v>
      </c>
      <c r="C576" s="1" t="n">
        <v>45260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4641-2020</t>
        </is>
      </c>
      <c r="B577" s="1" t="n">
        <v>43850</v>
      </c>
      <c r="C577" s="1" t="n">
        <v>45260</v>
      </c>
      <c r="D577" t="inlineStr">
        <is>
          <t>VÄSTERNORRLANDS LÄN</t>
        </is>
      </c>
      <c r="E577" t="inlineStr">
        <is>
          <t>ÖRNSKÖLDSVIK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4758-2020</t>
        </is>
      </c>
      <c r="B578" s="1" t="n">
        <v>43850</v>
      </c>
      <c r="C578" s="1" t="n">
        <v>45260</v>
      </c>
      <c r="D578" t="inlineStr">
        <is>
          <t>VÄSTERNORRLANDS LÄN</t>
        </is>
      </c>
      <c r="E578" t="inlineStr">
        <is>
          <t>ÖRNSKÖLDSVIK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3139-2020</t>
        </is>
      </c>
      <c r="B579" s="1" t="n">
        <v>43851</v>
      </c>
      <c r="C579" s="1" t="n">
        <v>45260</v>
      </c>
      <c r="D579" t="inlineStr">
        <is>
          <t>VÄSTERNORRLANDS LÄN</t>
        </is>
      </c>
      <c r="E579" t="inlineStr">
        <is>
          <t>ÖRNSKÖLDSVIK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3193-2020</t>
        </is>
      </c>
      <c r="B580" s="1" t="n">
        <v>43851</v>
      </c>
      <c r="C580" s="1" t="n">
        <v>45260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3240-2020</t>
        </is>
      </c>
      <c r="B581" s="1" t="n">
        <v>43852</v>
      </c>
      <c r="C581" s="1" t="n">
        <v>45260</v>
      </c>
      <c r="D581" t="inlineStr">
        <is>
          <t>VÄSTERNORRLANDS LÄN</t>
        </is>
      </c>
      <c r="E581" t="inlineStr">
        <is>
          <t>ÖRNSKÖLDSVIK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3281-2020</t>
        </is>
      </c>
      <c r="B582" s="1" t="n">
        <v>43852</v>
      </c>
      <c r="C582" s="1" t="n">
        <v>45260</v>
      </c>
      <c r="D582" t="inlineStr">
        <is>
          <t>VÄSTERNORRLANDS LÄN</t>
        </is>
      </c>
      <c r="E582" t="inlineStr">
        <is>
          <t>ÖRNSKÖLDSVIK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3299-2020</t>
        </is>
      </c>
      <c r="B583" s="1" t="n">
        <v>43852</v>
      </c>
      <c r="C583" s="1" t="n">
        <v>45260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4889-2020</t>
        </is>
      </c>
      <c r="B584" s="1" t="n">
        <v>43852</v>
      </c>
      <c r="C584" s="1" t="n">
        <v>45260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3633-2020</t>
        </is>
      </c>
      <c r="B585" s="1" t="n">
        <v>43853</v>
      </c>
      <c r="C585" s="1" t="n">
        <v>45260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3681-2020</t>
        </is>
      </c>
      <c r="B586" s="1" t="n">
        <v>43853</v>
      </c>
      <c r="C586" s="1" t="n">
        <v>45260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5462-2020</t>
        </is>
      </c>
      <c r="B587" s="1" t="n">
        <v>43859</v>
      </c>
      <c r="C587" s="1" t="n">
        <v>45260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5122-2020</t>
        </is>
      </c>
      <c r="B588" s="1" t="n">
        <v>43860</v>
      </c>
      <c r="C588" s="1" t="n">
        <v>45260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6274-2020</t>
        </is>
      </c>
      <c r="B589" s="1" t="n">
        <v>43866</v>
      </c>
      <c r="C589" s="1" t="n">
        <v>45260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6930-2020</t>
        </is>
      </c>
      <c r="B590" s="1" t="n">
        <v>43866</v>
      </c>
      <c r="C590" s="1" t="n">
        <v>45260</v>
      </c>
      <c r="D590" t="inlineStr">
        <is>
          <t>VÄSTERNORRLANDS LÄN</t>
        </is>
      </c>
      <c r="E590" t="inlineStr">
        <is>
          <t>ÖRNSKÖLDSVIK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7596-2020</t>
        </is>
      </c>
      <c r="B591" s="1" t="n">
        <v>43872</v>
      </c>
      <c r="C591" s="1" t="n">
        <v>45260</v>
      </c>
      <c r="D591" t="inlineStr">
        <is>
          <t>VÄSTERNORRLANDS LÄN</t>
        </is>
      </c>
      <c r="E591" t="inlineStr">
        <is>
          <t>ÖRNSKÖLDSVIK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8194-2020</t>
        </is>
      </c>
      <c r="B592" s="1" t="n">
        <v>43874</v>
      </c>
      <c r="C592" s="1" t="n">
        <v>45260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8567-2020</t>
        </is>
      </c>
      <c r="B593" s="1" t="n">
        <v>43874</v>
      </c>
      <c r="C593" s="1" t="n">
        <v>45260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8475-2020</t>
        </is>
      </c>
      <c r="B594" s="1" t="n">
        <v>43874</v>
      </c>
      <c r="C594" s="1" t="n">
        <v>45260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8317-2020</t>
        </is>
      </c>
      <c r="B595" s="1" t="n">
        <v>43875</v>
      </c>
      <c r="C595" s="1" t="n">
        <v>45260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8542-2020</t>
        </is>
      </c>
      <c r="B596" s="1" t="n">
        <v>43876</v>
      </c>
      <c r="C596" s="1" t="n">
        <v>45260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8858-2020</t>
        </is>
      </c>
      <c r="B597" s="1" t="n">
        <v>43878</v>
      </c>
      <c r="C597" s="1" t="n">
        <v>45260</v>
      </c>
      <c r="D597" t="inlineStr">
        <is>
          <t>VÄSTERNORRLANDS LÄN</t>
        </is>
      </c>
      <c r="E597" t="inlineStr">
        <is>
          <t>ÖRNSKÖLDSVIK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9205-2020</t>
        </is>
      </c>
      <c r="B598" s="1" t="n">
        <v>43879</v>
      </c>
      <c r="C598" s="1" t="n">
        <v>45260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10463-2020</t>
        </is>
      </c>
      <c r="B599" s="1" t="n">
        <v>43885</v>
      </c>
      <c r="C599" s="1" t="n">
        <v>45260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10855-2020</t>
        </is>
      </c>
      <c r="B600" s="1" t="n">
        <v>43885</v>
      </c>
      <c r="C600" s="1" t="n">
        <v>45260</v>
      </c>
      <c r="D600" t="inlineStr">
        <is>
          <t>VÄSTERNORRLANDS LÄN</t>
        </is>
      </c>
      <c r="E600" t="inlineStr">
        <is>
          <t>ÖRNSKÖLDSVIK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11968-2020</t>
        </is>
      </c>
      <c r="B601" s="1" t="n">
        <v>43889</v>
      </c>
      <c r="C601" s="1" t="n">
        <v>45260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12584-2020</t>
        </is>
      </c>
      <c r="B602" s="1" t="n">
        <v>43892</v>
      </c>
      <c r="C602" s="1" t="n">
        <v>45260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12824-2020</t>
        </is>
      </c>
      <c r="B603" s="1" t="n">
        <v>43899</v>
      </c>
      <c r="C603" s="1" t="n">
        <v>45260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14626-2020</t>
        </is>
      </c>
      <c r="B604" s="1" t="n">
        <v>43901</v>
      </c>
      <c r="C604" s="1" t="n">
        <v>45260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13274-2020</t>
        </is>
      </c>
      <c r="B605" s="1" t="n">
        <v>43901</v>
      </c>
      <c r="C605" s="1" t="n">
        <v>45260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13336-2020</t>
        </is>
      </c>
      <c r="B606" s="1" t="n">
        <v>43902</v>
      </c>
      <c r="C606" s="1" t="n">
        <v>45260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14716-2020</t>
        </is>
      </c>
      <c r="B607" s="1" t="n">
        <v>43903</v>
      </c>
      <c r="C607" s="1" t="n">
        <v>45260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Övriga Aktiebolag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16293-2020</t>
        </is>
      </c>
      <c r="B608" s="1" t="n">
        <v>43908</v>
      </c>
      <c r="C608" s="1" t="n">
        <v>45260</v>
      </c>
      <c r="D608" t="inlineStr">
        <is>
          <t>VÄSTERNORRLANDS LÄN</t>
        </is>
      </c>
      <c r="E608" t="inlineStr">
        <is>
          <t>ÖRNSKÖLDSVIK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16655-2020</t>
        </is>
      </c>
      <c r="B609" s="1" t="n">
        <v>43909</v>
      </c>
      <c r="C609" s="1" t="n">
        <v>45260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15537-2020</t>
        </is>
      </c>
      <c r="B610" s="1" t="n">
        <v>43914</v>
      </c>
      <c r="C610" s="1" t="n">
        <v>45260</v>
      </c>
      <c r="D610" t="inlineStr">
        <is>
          <t>VÄSTERNORRLANDS LÄN</t>
        </is>
      </c>
      <c r="E610" t="inlineStr">
        <is>
          <t>ÖRNSKÖLDSVIK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17223-2020</t>
        </is>
      </c>
      <c r="B611" s="1" t="n">
        <v>43914</v>
      </c>
      <c r="C611" s="1" t="n">
        <v>45260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17227-2020</t>
        </is>
      </c>
      <c r="B612" s="1" t="n">
        <v>43914</v>
      </c>
      <c r="C612" s="1" t="n">
        <v>45260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17231-2020</t>
        </is>
      </c>
      <c r="B613" s="1" t="n">
        <v>43914</v>
      </c>
      <c r="C613" s="1" t="n">
        <v>45260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16197-2020</t>
        </is>
      </c>
      <c r="B614" s="1" t="n">
        <v>43917</v>
      </c>
      <c r="C614" s="1" t="n">
        <v>45260</v>
      </c>
      <c r="D614" t="inlineStr">
        <is>
          <t>VÄSTERNORRLANDS LÄN</t>
        </is>
      </c>
      <c r="E614" t="inlineStr">
        <is>
          <t>ÖRNSKÖLDSVIK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16371-2020</t>
        </is>
      </c>
      <c r="B615" s="1" t="n">
        <v>43917</v>
      </c>
      <c r="C615" s="1" t="n">
        <v>45260</v>
      </c>
      <c r="D615" t="inlineStr">
        <is>
          <t>VÄSTERNORRLANDS LÄN</t>
        </is>
      </c>
      <c r="E615" t="inlineStr">
        <is>
          <t>ÖRNSKÖLDSVIK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16568-2020</t>
        </is>
      </c>
      <c r="B616" s="1" t="n">
        <v>43920</v>
      </c>
      <c r="C616" s="1" t="n">
        <v>45260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16522-2020</t>
        </is>
      </c>
      <c r="B617" s="1" t="n">
        <v>43920</v>
      </c>
      <c r="C617" s="1" t="n">
        <v>45260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16796-2020</t>
        </is>
      </c>
      <c r="B618" s="1" t="n">
        <v>43921</v>
      </c>
      <c r="C618" s="1" t="n">
        <v>45260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17620-2020</t>
        </is>
      </c>
      <c r="B619" s="1" t="n">
        <v>43921</v>
      </c>
      <c r="C619" s="1" t="n">
        <v>45260</v>
      </c>
      <c r="D619" t="inlineStr">
        <is>
          <t>VÄSTERNORRLANDS LÄN</t>
        </is>
      </c>
      <c r="E619" t="inlineStr">
        <is>
          <t>ÖRNSKÖLDSVIK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17859-2020</t>
        </is>
      </c>
      <c r="B620" s="1" t="n">
        <v>43924</v>
      </c>
      <c r="C620" s="1" t="n">
        <v>45260</v>
      </c>
      <c r="D620" t="inlineStr">
        <is>
          <t>VÄSTERNORRLANDS LÄN</t>
        </is>
      </c>
      <c r="E620" t="inlineStr">
        <is>
          <t>ÖRNSKÖLDSVIK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18627-2020</t>
        </is>
      </c>
      <c r="B621" s="1" t="n">
        <v>43928</v>
      </c>
      <c r="C621" s="1" t="n">
        <v>45260</v>
      </c>
      <c r="D621" t="inlineStr">
        <is>
          <t>VÄSTERNORRLANDS LÄN</t>
        </is>
      </c>
      <c r="E621" t="inlineStr">
        <is>
          <t>ÖRNSKÖLDSVIK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18628-2020</t>
        </is>
      </c>
      <c r="B622" s="1" t="n">
        <v>43928</v>
      </c>
      <c r="C622" s="1" t="n">
        <v>45260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18941-2020</t>
        </is>
      </c>
      <c r="B623" s="1" t="n">
        <v>43935</v>
      </c>
      <c r="C623" s="1" t="n">
        <v>45260</v>
      </c>
      <c r="D623" t="inlineStr">
        <is>
          <t>VÄSTERNORRLANDS LÄN</t>
        </is>
      </c>
      <c r="E623" t="inlineStr">
        <is>
          <t>ÖRNSKÖLDSVIK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18977-2020</t>
        </is>
      </c>
      <c r="B624" s="1" t="n">
        <v>43935</v>
      </c>
      <c r="C624" s="1" t="n">
        <v>45260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19025-2020</t>
        </is>
      </c>
      <c r="B625" s="1" t="n">
        <v>43936</v>
      </c>
      <c r="C625" s="1" t="n">
        <v>45260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19533-2020</t>
        </is>
      </c>
      <c r="B626" s="1" t="n">
        <v>43938</v>
      </c>
      <c r="C626" s="1" t="n">
        <v>45260</v>
      </c>
      <c r="D626" t="inlineStr">
        <is>
          <t>VÄSTERNORRLANDS LÄN</t>
        </is>
      </c>
      <c r="E626" t="inlineStr">
        <is>
          <t>ÖRNSKÖLDSVIK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20467-2020</t>
        </is>
      </c>
      <c r="B627" s="1" t="n">
        <v>43944</v>
      </c>
      <c r="C627" s="1" t="n">
        <v>45260</v>
      </c>
      <c r="D627" t="inlineStr">
        <is>
          <t>VÄSTERNORRLANDS LÄN</t>
        </is>
      </c>
      <c r="E627" t="inlineStr">
        <is>
          <t>ÖRNSKÖLDSVIK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20849-2020</t>
        </is>
      </c>
      <c r="B628" s="1" t="n">
        <v>43945</v>
      </c>
      <c r="C628" s="1" t="n">
        <v>45260</v>
      </c>
      <c r="D628" t="inlineStr">
        <is>
          <t>VÄSTERNORRLANDS LÄN</t>
        </is>
      </c>
      <c r="E628" t="inlineStr">
        <is>
          <t>ÖRNSKÖLDSVIK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20314-2020</t>
        </is>
      </c>
      <c r="B629" s="1" t="n">
        <v>43945</v>
      </c>
      <c r="C629" s="1" t="n">
        <v>45260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20669-2020</t>
        </is>
      </c>
      <c r="B630" s="1" t="n">
        <v>43949</v>
      </c>
      <c r="C630" s="1" t="n">
        <v>45260</v>
      </c>
      <c r="D630" t="inlineStr">
        <is>
          <t>VÄSTERNORRLANDS LÄN</t>
        </is>
      </c>
      <c r="E630" t="inlineStr">
        <is>
          <t>ÖRNSKÖLDSVIK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21199-2020</t>
        </is>
      </c>
      <c r="B631" s="1" t="n">
        <v>43951</v>
      </c>
      <c r="C631" s="1" t="n">
        <v>45260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22168-2020</t>
        </is>
      </c>
      <c r="B632" s="1" t="n">
        <v>43955</v>
      </c>
      <c r="C632" s="1" t="n">
        <v>45260</v>
      </c>
      <c r="D632" t="inlineStr">
        <is>
          <t>VÄSTERNORRLANDS LÄN</t>
        </is>
      </c>
      <c r="E632" t="inlineStr">
        <is>
          <t>ÖRNSKÖLDSVIK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21488-2020</t>
        </is>
      </c>
      <c r="B633" s="1" t="n">
        <v>43955</v>
      </c>
      <c r="C633" s="1" t="n">
        <v>45260</v>
      </c>
      <c r="D633" t="inlineStr">
        <is>
          <t>VÄSTERNORRLANDS LÄN</t>
        </is>
      </c>
      <c r="E633" t="inlineStr">
        <is>
          <t>ÖRNSKÖLDSVIK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21478-2020</t>
        </is>
      </c>
      <c r="B634" s="1" t="n">
        <v>43955</v>
      </c>
      <c r="C634" s="1" t="n">
        <v>45260</v>
      </c>
      <c r="D634" t="inlineStr">
        <is>
          <t>VÄSTERNORRLANDS LÄN</t>
        </is>
      </c>
      <c r="E634" t="inlineStr">
        <is>
          <t>ÖRNSKÖLDSVIK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22280-2020</t>
        </is>
      </c>
      <c r="B635" s="1" t="n">
        <v>43957</v>
      </c>
      <c r="C635" s="1" t="n">
        <v>45260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21816-2020</t>
        </is>
      </c>
      <c r="B636" s="1" t="n">
        <v>43957</v>
      </c>
      <c r="C636" s="1" t="n">
        <v>45260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21992-2020</t>
        </is>
      </c>
      <c r="B637" s="1" t="n">
        <v>43959</v>
      </c>
      <c r="C637" s="1" t="n">
        <v>45260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22331-2020</t>
        </is>
      </c>
      <c r="B638" s="1" t="n">
        <v>43962</v>
      </c>
      <c r="C638" s="1" t="n">
        <v>45260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22350-2020</t>
        </is>
      </c>
      <c r="B639" s="1" t="n">
        <v>43962</v>
      </c>
      <c r="C639" s="1" t="n">
        <v>45260</v>
      </c>
      <c r="D639" t="inlineStr">
        <is>
          <t>VÄSTERNORRLANDS LÄN</t>
        </is>
      </c>
      <c r="E639" t="inlineStr">
        <is>
          <t>ÖRNSKÖLDSVIK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22410-2020</t>
        </is>
      </c>
      <c r="B640" s="1" t="n">
        <v>43962</v>
      </c>
      <c r="C640" s="1" t="n">
        <v>45260</v>
      </c>
      <c r="D640" t="inlineStr">
        <is>
          <t>VÄSTERNORRLANDS LÄN</t>
        </is>
      </c>
      <c r="E640" t="inlineStr">
        <is>
          <t>ÖRNSKÖLDSVIK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22867-2020</t>
        </is>
      </c>
      <c r="B641" s="1" t="n">
        <v>43964</v>
      </c>
      <c r="C641" s="1" t="n">
        <v>45260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22950-2020</t>
        </is>
      </c>
      <c r="B642" s="1" t="n">
        <v>43965</v>
      </c>
      <c r="C642" s="1" t="n">
        <v>45260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23214-2020</t>
        </is>
      </c>
      <c r="B643" s="1" t="n">
        <v>43965</v>
      </c>
      <c r="C643" s="1" t="n">
        <v>45260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23415-2020</t>
        </is>
      </c>
      <c r="B644" s="1" t="n">
        <v>43969</v>
      </c>
      <c r="C644" s="1" t="n">
        <v>45260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23597-2020</t>
        </is>
      </c>
      <c r="B645" s="1" t="n">
        <v>43969</v>
      </c>
      <c r="C645" s="1" t="n">
        <v>45260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24010-2020</t>
        </is>
      </c>
      <c r="B646" s="1" t="n">
        <v>43970</v>
      </c>
      <c r="C646" s="1" t="n">
        <v>45260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23848-2020</t>
        </is>
      </c>
      <c r="B647" s="1" t="n">
        <v>43971</v>
      </c>
      <c r="C647" s="1" t="n">
        <v>45260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24004-2020</t>
        </is>
      </c>
      <c r="B648" s="1" t="n">
        <v>43971</v>
      </c>
      <c r="C648" s="1" t="n">
        <v>45260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24510-2020</t>
        </is>
      </c>
      <c r="B649" s="1" t="n">
        <v>43977</v>
      </c>
      <c r="C649" s="1" t="n">
        <v>45260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24580-2020</t>
        </is>
      </c>
      <c r="B650" s="1" t="n">
        <v>43977</v>
      </c>
      <c r="C650" s="1" t="n">
        <v>45260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24976-2020</t>
        </is>
      </c>
      <c r="B651" s="1" t="n">
        <v>43978</v>
      </c>
      <c r="C651" s="1" t="n">
        <v>45260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25050-2020</t>
        </is>
      </c>
      <c r="B652" s="1" t="n">
        <v>43979</v>
      </c>
      <c r="C652" s="1" t="n">
        <v>45260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24892-2020</t>
        </is>
      </c>
      <c r="B653" s="1" t="n">
        <v>43979</v>
      </c>
      <c r="C653" s="1" t="n">
        <v>45260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24988-2020</t>
        </is>
      </c>
      <c r="B654" s="1" t="n">
        <v>43979</v>
      </c>
      <c r="C654" s="1" t="n">
        <v>45260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25054-2020</t>
        </is>
      </c>
      <c r="B655" s="1" t="n">
        <v>43979</v>
      </c>
      <c r="C655" s="1" t="n">
        <v>45260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25103-2020</t>
        </is>
      </c>
      <c r="B656" s="1" t="n">
        <v>43979</v>
      </c>
      <c r="C656" s="1" t="n">
        <v>45260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25583-2020</t>
        </is>
      </c>
      <c r="B657" s="1" t="n">
        <v>43983</v>
      </c>
      <c r="C657" s="1" t="n">
        <v>45260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26017-2020</t>
        </is>
      </c>
      <c r="B658" s="1" t="n">
        <v>43984</v>
      </c>
      <c r="C658" s="1" t="n">
        <v>45260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26079-2020</t>
        </is>
      </c>
      <c r="B659" s="1" t="n">
        <v>43985</v>
      </c>
      <c r="C659" s="1" t="n">
        <v>45260</v>
      </c>
      <c r="D659" t="inlineStr">
        <is>
          <t>VÄSTERNORRLANDS LÄN</t>
        </is>
      </c>
      <c r="E659" t="inlineStr">
        <is>
          <t>ÖRNSKÖLDSVIK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26039-2020</t>
        </is>
      </c>
      <c r="B660" s="1" t="n">
        <v>43985</v>
      </c>
      <c r="C660" s="1" t="n">
        <v>45260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26469-2020</t>
        </is>
      </c>
      <c r="B661" s="1" t="n">
        <v>43987</v>
      </c>
      <c r="C661" s="1" t="n">
        <v>45260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26473-2020</t>
        </is>
      </c>
      <c r="B662" s="1" t="n">
        <v>43987</v>
      </c>
      <c r="C662" s="1" t="n">
        <v>45260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27063-2020</t>
        </is>
      </c>
      <c r="B663" s="1" t="n">
        <v>43991</v>
      </c>
      <c r="C663" s="1" t="n">
        <v>45260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27139-2020</t>
        </is>
      </c>
      <c r="B664" s="1" t="n">
        <v>43991</v>
      </c>
      <c r="C664" s="1" t="n">
        <v>45260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27105-2020</t>
        </is>
      </c>
      <c r="B665" s="1" t="n">
        <v>43991</v>
      </c>
      <c r="C665" s="1" t="n">
        <v>45260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27351-2020</t>
        </is>
      </c>
      <c r="B666" s="1" t="n">
        <v>43992</v>
      </c>
      <c r="C666" s="1" t="n">
        <v>45260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27382-2020</t>
        </is>
      </c>
      <c r="B667" s="1" t="n">
        <v>43992</v>
      </c>
      <c r="C667" s="1" t="n">
        <v>45260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27422-2020</t>
        </is>
      </c>
      <c r="B668" s="1" t="n">
        <v>43992</v>
      </c>
      <c r="C668" s="1" t="n">
        <v>45260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27822-2020</t>
        </is>
      </c>
      <c r="B669" s="1" t="n">
        <v>43992</v>
      </c>
      <c r="C669" s="1" t="n">
        <v>45260</v>
      </c>
      <c r="D669" t="inlineStr">
        <is>
          <t>VÄSTERNORRLANDS LÄN</t>
        </is>
      </c>
      <c r="E669" t="inlineStr">
        <is>
          <t>ÖRNSKÖLDSVIK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27821-2020</t>
        </is>
      </c>
      <c r="B670" s="1" t="n">
        <v>43992</v>
      </c>
      <c r="C670" s="1" t="n">
        <v>45260</v>
      </c>
      <c r="D670" t="inlineStr">
        <is>
          <t>VÄSTERNORRLANDS LÄN</t>
        </is>
      </c>
      <c r="E670" t="inlineStr">
        <is>
          <t>ÖRNSKÖLDSVIK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28180-2020</t>
        </is>
      </c>
      <c r="B671" s="1" t="n">
        <v>43997</v>
      </c>
      <c r="C671" s="1" t="n">
        <v>45260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29430-2020</t>
        </is>
      </c>
      <c r="B672" s="1" t="n">
        <v>44000</v>
      </c>
      <c r="C672" s="1" t="n">
        <v>45260</v>
      </c>
      <c r="D672" t="inlineStr">
        <is>
          <t>VÄSTERNORRLANDS LÄN</t>
        </is>
      </c>
      <c r="E672" t="inlineStr">
        <is>
          <t>ÖRNSKÖLDSVIK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29353-2020</t>
        </is>
      </c>
      <c r="B673" s="1" t="n">
        <v>44004</v>
      </c>
      <c r="C673" s="1" t="n">
        <v>45260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29662-2020</t>
        </is>
      </c>
      <c r="B674" s="1" t="n">
        <v>44004</v>
      </c>
      <c r="C674" s="1" t="n">
        <v>45260</v>
      </c>
      <c r="D674" t="inlineStr">
        <is>
          <t>VÄSTERNORRLANDS LÄN</t>
        </is>
      </c>
      <c r="E674" t="inlineStr">
        <is>
          <t>ÖRNSKÖLDSVIK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29916-2020</t>
        </is>
      </c>
      <c r="B675" s="1" t="n">
        <v>44006</v>
      </c>
      <c r="C675" s="1" t="n">
        <v>45260</v>
      </c>
      <c r="D675" t="inlineStr">
        <is>
          <t>VÄSTERNORRLANDS LÄN</t>
        </is>
      </c>
      <c r="E675" t="inlineStr">
        <is>
          <t>ÖRNSKÖLDSVIK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30279-2020</t>
        </is>
      </c>
      <c r="B676" s="1" t="n">
        <v>44007</v>
      </c>
      <c r="C676" s="1" t="n">
        <v>45260</v>
      </c>
      <c r="D676" t="inlineStr">
        <is>
          <t>VÄSTERNORRLANDS LÄN</t>
        </is>
      </c>
      <c r="E676" t="inlineStr">
        <is>
          <t>ÖRNSKÖLDSVIK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30395-2020</t>
        </is>
      </c>
      <c r="B677" s="1" t="n">
        <v>44007</v>
      </c>
      <c r="C677" s="1" t="n">
        <v>45260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30421-2020</t>
        </is>
      </c>
      <c r="B678" s="1" t="n">
        <v>44007</v>
      </c>
      <c r="C678" s="1" t="n">
        <v>45260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30683-2020</t>
        </is>
      </c>
      <c r="B679" s="1" t="n">
        <v>44008</v>
      </c>
      <c r="C679" s="1" t="n">
        <v>45260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31083-2020</t>
        </is>
      </c>
      <c r="B680" s="1" t="n">
        <v>44011</v>
      </c>
      <c r="C680" s="1" t="n">
        <v>45260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30989-2020</t>
        </is>
      </c>
      <c r="B681" s="1" t="n">
        <v>44011</v>
      </c>
      <c r="C681" s="1" t="n">
        <v>45260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31050-2020</t>
        </is>
      </c>
      <c r="B682" s="1" t="n">
        <v>44012</v>
      </c>
      <c r="C682" s="1" t="n">
        <v>45260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31067-2020</t>
        </is>
      </c>
      <c r="B683" s="1" t="n">
        <v>44012</v>
      </c>
      <c r="C683" s="1" t="n">
        <v>45260</v>
      </c>
      <c r="D683" t="inlineStr">
        <is>
          <t>VÄSTERNORRLANDS LÄN</t>
        </is>
      </c>
      <c r="E683" t="inlineStr">
        <is>
          <t>ÖRNSKÖLDSVIK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31560-2020</t>
        </is>
      </c>
      <c r="B684" s="1" t="n">
        <v>44013</v>
      </c>
      <c r="C684" s="1" t="n">
        <v>45260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31594-2020</t>
        </is>
      </c>
      <c r="B685" s="1" t="n">
        <v>44013</v>
      </c>
      <c r="C685" s="1" t="n">
        <v>45260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31729-2020</t>
        </is>
      </c>
      <c r="B686" s="1" t="n">
        <v>44013</v>
      </c>
      <c r="C686" s="1" t="n">
        <v>45260</v>
      </c>
      <c r="D686" t="inlineStr">
        <is>
          <t>VÄSTERNORRLANDS LÄN</t>
        </is>
      </c>
      <c r="E686" t="inlineStr">
        <is>
          <t>ÖRNSKÖLDSVIK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31677-2020</t>
        </is>
      </c>
      <c r="B687" s="1" t="n">
        <v>44014</v>
      </c>
      <c r="C687" s="1" t="n">
        <v>45260</v>
      </c>
      <c r="D687" t="inlineStr">
        <is>
          <t>VÄSTERNORRLANDS LÄN</t>
        </is>
      </c>
      <c r="E687" t="inlineStr">
        <is>
          <t>ÖRNSKÖLDSVIK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31884-2020</t>
        </is>
      </c>
      <c r="B688" s="1" t="n">
        <v>44014</v>
      </c>
      <c r="C688" s="1" t="n">
        <v>45260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32198-2020</t>
        </is>
      </c>
      <c r="B689" s="1" t="n">
        <v>44015</v>
      </c>
      <c r="C689" s="1" t="n">
        <v>45260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32211-2020</t>
        </is>
      </c>
      <c r="B690" s="1" t="n">
        <v>44015</v>
      </c>
      <c r="C690" s="1" t="n">
        <v>45260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32402-2020</t>
        </is>
      </c>
      <c r="B691" s="1" t="n">
        <v>44018</v>
      </c>
      <c r="C691" s="1" t="n">
        <v>45260</v>
      </c>
      <c r="D691" t="inlineStr">
        <is>
          <t>VÄSTERNORRLANDS LÄN</t>
        </is>
      </c>
      <c r="E691" t="inlineStr">
        <is>
          <t>ÖRNSKÖLDSVIK</t>
        </is>
      </c>
      <c r="G691" t="n">
        <v>20.9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32573-2020</t>
        </is>
      </c>
      <c r="B692" s="1" t="n">
        <v>44018</v>
      </c>
      <c r="C692" s="1" t="n">
        <v>45260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33554-2020</t>
        </is>
      </c>
      <c r="B693" s="1" t="n">
        <v>44025</v>
      </c>
      <c r="C693" s="1" t="n">
        <v>45260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33563-2020</t>
        </is>
      </c>
      <c r="B694" s="1" t="n">
        <v>44025</v>
      </c>
      <c r="C694" s="1" t="n">
        <v>45260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33727-2020</t>
        </is>
      </c>
      <c r="B695" s="1" t="n">
        <v>44026</v>
      </c>
      <c r="C695" s="1" t="n">
        <v>45260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33703-2020</t>
        </is>
      </c>
      <c r="B696" s="1" t="n">
        <v>44026</v>
      </c>
      <c r="C696" s="1" t="n">
        <v>45260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33879-2020</t>
        </is>
      </c>
      <c r="B697" s="1" t="n">
        <v>44027</v>
      </c>
      <c r="C697" s="1" t="n">
        <v>45260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35644-2020</t>
        </is>
      </c>
      <c r="B698" s="1" t="n">
        <v>44046</v>
      </c>
      <c r="C698" s="1" t="n">
        <v>45260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35971-2020</t>
        </is>
      </c>
      <c r="B699" s="1" t="n">
        <v>44047</v>
      </c>
      <c r="C699" s="1" t="n">
        <v>45260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35967-2020</t>
        </is>
      </c>
      <c r="B700" s="1" t="n">
        <v>44047</v>
      </c>
      <c r="C700" s="1" t="n">
        <v>45260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35843-2020</t>
        </is>
      </c>
      <c r="B701" s="1" t="n">
        <v>44047</v>
      </c>
      <c r="C701" s="1" t="n">
        <v>45260</v>
      </c>
      <c r="D701" t="inlineStr">
        <is>
          <t>VÄSTERNORRLANDS LÄN</t>
        </is>
      </c>
      <c r="E701" t="inlineStr">
        <is>
          <t>ÖRNSKÖLDSVIK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36009-2020</t>
        </is>
      </c>
      <c r="B702" s="1" t="n">
        <v>44047</v>
      </c>
      <c r="C702" s="1" t="n">
        <v>45260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36183-2020</t>
        </is>
      </c>
      <c r="B703" s="1" t="n">
        <v>44048</v>
      </c>
      <c r="C703" s="1" t="n">
        <v>45260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36257-2020</t>
        </is>
      </c>
      <c r="B704" s="1" t="n">
        <v>44049</v>
      </c>
      <c r="C704" s="1" t="n">
        <v>45260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36876-2020</t>
        </is>
      </c>
      <c r="B705" s="1" t="n">
        <v>44053</v>
      </c>
      <c r="C705" s="1" t="n">
        <v>45260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37427-2020</t>
        </is>
      </c>
      <c r="B706" s="1" t="n">
        <v>44055</v>
      </c>
      <c r="C706" s="1" t="n">
        <v>45260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37642-2020</t>
        </is>
      </c>
      <c r="B707" s="1" t="n">
        <v>44056</v>
      </c>
      <c r="C707" s="1" t="n">
        <v>45260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38021-2020</t>
        </is>
      </c>
      <c r="B708" s="1" t="n">
        <v>44057</v>
      </c>
      <c r="C708" s="1" t="n">
        <v>45260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38042-2020</t>
        </is>
      </c>
      <c r="B709" s="1" t="n">
        <v>44057</v>
      </c>
      <c r="C709" s="1" t="n">
        <v>45260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38095-2020</t>
        </is>
      </c>
      <c r="B710" s="1" t="n">
        <v>44057</v>
      </c>
      <c r="C710" s="1" t="n">
        <v>45260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38166-2020</t>
        </is>
      </c>
      <c r="B711" s="1" t="n">
        <v>44060</v>
      </c>
      <c r="C711" s="1" t="n">
        <v>45260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38751-2020</t>
        </is>
      </c>
      <c r="B712" s="1" t="n">
        <v>44061</v>
      </c>
      <c r="C712" s="1" t="n">
        <v>45260</v>
      </c>
      <c r="D712" t="inlineStr">
        <is>
          <t>VÄSTERNORRLANDS LÄN</t>
        </is>
      </c>
      <c r="E712" t="inlineStr">
        <is>
          <t>ÖRNSKÖLDSVIK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39590-2020</t>
        </is>
      </c>
      <c r="B713" s="1" t="n">
        <v>44063</v>
      </c>
      <c r="C713" s="1" t="n">
        <v>45260</v>
      </c>
      <c r="D713" t="inlineStr">
        <is>
          <t>VÄSTERNORRLANDS LÄN</t>
        </is>
      </c>
      <c r="E713" t="inlineStr">
        <is>
          <t>ÖRNSKÖLDSVIK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40962-2020</t>
        </is>
      </c>
      <c r="B714" s="1" t="n">
        <v>44068</v>
      </c>
      <c r="C714" s="1" t="n">
        <v>45260</v>
      </c>
      <c r="D714" t="inlineStr">
        <is>
          <t>VÄSTERNORRLANDS LÄN</t>
        </is>
      </c>
      <c r="E714" t="inlineStr">
        <is>
          <t>ÖRNSKÖLDSVIK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40681-2020</t>
        </is>
      </c>
      <c r="B715" s="1" t="n">
        <v>44069</v>
      </c>
      <c r="C715" s="1" t="n">
        <v>45260</v>
      </c>
      <c r="D715" t="inlineStr">
        <is>
          <t>VÄSTERNORRLANDS LÄN</t>
        </is>
      </c>
      <c r="E715" t="inlineStr">
        <is>
          <t>ÖRNSKÖLDSVIK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41716-2020</t>
        </is>
      </c>
      <c r="B716" s="1" t="n">
        <v>44070</v>
      </c>
      <c r="C716" s="1" t="n">
        <v>45260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41725-2020</t>
        </is>
      </c>
      <c r="B717" s="1" t="n">
        <v>44070</v>
      </c>
      <c r="C717" s="1" t="n">
        <v>45260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41044-2020</t>
        </is>
      </c>
      <c r="B718" s="1" t="n">
        <v>44071</v>
      </c>
      <c r="C718" s="1" t="n">
        <v>45260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41437-2020</t>
        </is>
      </c>
      <c r="B719" s="1" t="n">
        <v>44073</v>
      </c>
      <c r="C719" s="1" t="n">
        <v>45260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42033-2020</t>
        </is>
      </c>
      <c r="B720" s="1" t="n">
        <v>44074</v>
      </c>
      <c r="C720" s="1" t="n">
        <v>45260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41846-2020</t>
        </is>
      </c>
      <c r="B721" s="1" t="n">
        <v>44074</v>
      </c>
      <c r="C721" s="1" t="n">
        <v>45260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42005-2020</t>
        </is>
      </c>
      <c r="B722" s="1" t="n">
        <v>44075</v>
      </c>
      <c r="C722" s="1" t="n">
        <v>45260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42011-2020</t>
        </is>
      </c>
      <c r="B723" s="1" t="n">
        <v>44075</v>
      </c>
      <c r="C723" s="1" t="n">
        <v>45260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42421-2020</t>
        </is>
      </c>
      <c r="B724" s="1" t="n">
        <v>44076</v>
      </c>
      <c r="C724" s="1" t="n">
        <v>45260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42395-2020</t>
        </is>
      </c>
      <c r="B725" s="1" t="n">
        <v>44076</v>
      </c>
      <c r="C725" s="1" t="n">
        <v>45260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42458-2020</t>
        </is>
      </c>
      <c r="B726" s="1" t="n">
        <v>44076</v>
      </c>
      <c r="C726" s="1" t="n">
        <v>45260</v>
      </c>
      <c r="D726" t="inlineStr">
        <is>
          <t>VÄSTERNORRLANDS LÄN</t>
        </is>
      </c>
      <c r="E726" t="inlineStr">
        <is>
          <t>ÖRNSKÖLDSVIK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43241-2020</t>
        </is>
      </c>
      <c r="B727" s="1" t="n">
        <v>44076</v>
      </c>
      <c r="C727" s="1" t="n">
        <v>45260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42692-2020</t>
        </is>
      </c>
      <c r="B728" s="1" t="n">
        <v>44077</v>
      </c>
      <c r="C728" s="1" t="n">
        <v>45260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43372-2020</t>
        </is>
      </c>
      <c r="B729" s="1" t="n">
        <v>44077</v>
      </c>
      <c r="C729" s="1" t="n">
        <v>45260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42783-2020</t>
        </is>
      </c>
      <c r="B730" s="1" t="n">
        <v>44078</v>
      </c>
      <c r="C730" s="1" t="n">
        <v>45260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43035-2020</t>
        </is>
      </c>
      <c r="B731" s="1" t="n">
        <v>44078</v>
      </c>
      <c r="C731" s="1" t="n">
        <v>45260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43722-2020</t>
        </is>
      </c>
      <c r="B732" s="1" t="n">
        <v>44078</v>
      </c>
      <c r="C732" s="1" t="n">
        <v>45260</v>
      </c>
      <c r="D732" t="inlineStr">
        <is>
          <t>VÄSTERNORRLANDS LÄN</t>
        </is>
      </c>
      <c r="E732" t="inlineStr">
        <is>
          <t>ÖRNSKÖLDSVIK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44611-2020</t>
        </is>
      </c>
      <c r="B733" s="1" t="n">
        <v>44082</v>
      </c>
      <c r="C733" s="1" t="n">
        <v>45260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43874-2020</t>
        </is>
      </c>
      <c r="B734" s="1" t="n">
        <v>44083</v>
      </c>
      <c r="C734" s="1" t="n">
        <v>45260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43970-2020</t>
        </is>
      </c>
      <c r="B735" s="1" t="n">
        <v>44083</v>
      </c>
      <c r="C735" s="1" t="n">
        <v>45260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43944-2020</t>
        </is>
      </c>
      <c r="B736" s="1" t="n">
        <v>44083</v>
      </c>
      <c r="C736" s="1" t="n">
        <v>45260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44271-2020</t>
        </is>
      </c>
      <c r="B737" s="1" t="n">
        <v>44084</v>
      </c>
      <c r="C737" s="1" t="n">
        <v>45260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44328-2020</t>
        </is>
      </c>
      <c r="B738" s="1" t="n">
        <v>44084</v>
      </c>
      <c r="C738" s="1" t="n">
        <v>45260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45139-2020</t>
        </is>
      </c>
      <c r="B739" s="1" t="n">
        <v>44084</v>
      </c>
      <c r="C739" s="1" t="n">
        <v>45260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45164-2020</t>
        </is>
      </c>
      <c r="B740" s="1" t="n">
        <v>44084</v>
      </c>
      <c r="C740" s="1" t="n">
        <v>45260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44693-2020</t>
        </is>
      </c>
      <c r="B741" s="1" t="n">
        <v>44085</v>
      </c>
      <c r="C741" s="1" t="n">
        <v>45260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46102-2020</t>
        </is>
      </c>
      <c r="B742" s="1" t="n">
        <v>44088</v>
      </c>
      <c r="C742" s="1" t="n">
        <v>45260</v>
      </c>
      <c r="D742" t="inlineStr">
        <is>
          <t>VÄSTERNORRLANDS LÄN</t>
        </is>
      </c>
      <c r="E742" t="inlineStr">
        <is>
          <t>ÖRNSKÖLDSVIK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45619-2020</t>
        </is>
      </c>
      <c r="B743" s="1" t="n">
        <v>44090</v>
      </c>
      <c r="C743" s="1" t="n">
        <v>45260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45640-2020</t>
        </is>
      </c>
      <c r="B744" s="1" t="n">
        <v>44090</v>
      </c>
      <c r="C744" s="1" t="n">
        <v>45260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46792-2020</t>
        </is>
      </c>
      <c r="B745" s="1" t="n">
        <v>44090</v>
      </c>
      <c r="C745" s="1" t="n">
        <v>45260</v>
      </c>
      <c r="D745" t="inlineStr">
        <is>
          <t>VÄSTERNORRLANDS LÄN</t>
        </is>
      </c>
      <c r="E745" t="inlineStr">
        <is>
          <t>ÖRNSKÖLDSVIK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46922-2020</t>
        </is>
      </c>
      <c r="B746" s="1" t="n">
        <v>44090</v>
      </c>
      <c r="C746" s="1" t="n">
        <v>45260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46788-2020</t>
        </is>
      </c>
      <c r="B747" s="1" t="n">
        <v>44090</v>
      </c>
      <c r="C747" s="1" t="n">
        <v>45260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46114-2020</t>
        </is>
      </c>
      <c r="B748" s="1" t="n">
        <v>44091</v>
      </c>
      <c r="C748" s="1" t="n">
        <v>45260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47173-2020</t>
        </is>
      </c>
      <c r="B749" s="1" t="n">
        <v>44091</v>
      </c>
      <c r="C749" s="1" t="n">
        <v>45260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46321-2020</t>
        </is>
      </c>
      <c r="B750" s="1" t="n">
        <v>44092</v>
      </c>
      <c r="C750" s="1" t="n">
        <v>45260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46507-2020</t>
        </is>
      </c>
      <c r="B751" s="1" t="n">
        <v>44095</v>
      </c>
      <c r="C751" s="1" t="n">
        <v>45260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47585-2020</t>
        </is>
      </c>
      <c r="B752" s="1" t="n">
        <v>44095</v>
      </c>
      <c r="C752" s="1" t="n">
        <v>45260</v>
      </c>
      <c r="D752" t="inlineStr">
        <is>
          <t>VÄSTERNORRLANDS LÄN</t>
        </is>
      </c>
      <c r="E752" t="inlineStr">
        <is>
          <t>ÖRNSKÖLDSVIK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48371-2020</t>
        </is>
      </c>
      <c r="B753" s="1" t="n">
        <v>44097</v>
      </c>
      <c r="C753" s="1" t="n">
        <v>45260</v>
      </c>
      <c r="D753" t="inlineStr">
        <is>
          <t>VÄSTERNORRLANDS LÄN</t>
        </is>
      </c>
      <c r="E753" t="inlineStr">
        <is>
          <t>ÖRNSKÖLDSVIK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48389-2020</t>
        </is>
      </c>
      <c r="B754" s="1" t="n">
        <v>44097</v>
      </c>
      <c r="C754" s="1" t="n">
        <v>45260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47607-2020</t>
        </is>
      </c>
      <c r="B755" s="1" t="n">
        <v>44098</v>
      </c>
      <c r="C755" s="1" t="n">
        <v>45260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47705-2020</t>
        </is>
      </c>
      <c r="B756" s="1" t="n">
        <v>44098</v>
      </c>
      <c r="C756" s="1" t="n">
        <v>45260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48334-2020</t>
        </is>
      </c>
      <c r="B757" s="1" t="n">
        <v>44102</v>
      </c>
      <c r="C757" s="1" t="n">
        <v>45260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49068-2020</t>
        </is>
      </c>
      <c r="B758" s="1" t="n">
        <v>44104</v>
      </c>
      <c r="C758" s="1" t="n">
        <v>45260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49050-2020</t>
        </is>
      </c>
      <c r="B759" s="1" t="n">
        <v>44104</v>
      </c>
      <c r="C759" s="1" t="n">
        <v>45260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49842-2020</t>
        </is>
      </c>
      <c r="B760" s="1" t="n">
        <v>44106</v>
      </c>
      <c r="C760" s="1" t="n">
        <v>45260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51096-2020</t>
        </is>
      </c>
      <c r="B761" s="1" t="n">
        <v>44112</v>
      </c>
      <c r="C761" s="1" t="n">
        <v>45260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51323-2020</t>
        </is>
      </c>
      <c r="B762" s="1" t="n">
        <v>44112</v>
      </c>
      <c r="C762" s="1" t="n">
        <v>45260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Kyrkan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51293-2020</t>
        </is>
      </c>
      <c r="B763" s="1" t="n">
        <v>44112</v>
      </c>
      <c r="C763" s="1" t="n">
        <v>45260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51657-2020</t>
        </is>
      </c>
      <c r="B764" s="1" t="n">
        <v>44113</v>
      </c>
      <c r="C764" s="1" t="n">
        <v>45260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52412-2020</t>
        </is>
      </c>
      <c r="B765" s="1" t="n">
        <v>44113</v>
      </c>
      <c r="C765" s="1" t="n">
        <v>45260</v>
      </c>
      <c r="D765" t="inlineStr">
        <is>
          <t>VÄSTERNORRLANDS LÄN</t>
        </is>
      </c>
      <c r="E765" t="inlineStr">
        <is>
          <t>ÖRNSKÖLDSVIK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52107-2020</t>
        </is>
      </c>
      <c r="B766" s="1" t="n">
        <v>44117</v>
      </c>
      <c r="C766" s="1" t="n">
        <v>45260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52490-2020</t>
        </is>
      </c>
      <c r="B767" s="1" t="n">
        <v>44118</v>
      </c>
      <c r="C767" s="1" t="n">
        <v>45260</v>
      </c>
      <c r="D767" t="inlineStr">
        <is>
          <t>VÄSTERNORRLANDS LÄN</t>
        </is>
      </c>
      <c r="E767" t="inlineStr">
        <is>
          <t>ÖRNSKÖLDSVIK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52862-2020</t>
        </is>
      </c>
      <c r="B768" s="1" t="n">
        <v>44119</v>
      </c>
      <c r="C768" s="1" t="n">
        <v>45260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52829-2020</t>
        </is>
      </c>
      <c r="B769" s="1" t="n">
        <v>44119</v>
      </c>
      <c r="C769" s="1" t="n">
        <v>45260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52992-2020</t>
        </is>
      </c>
      <c r="B770" s="1" t="n">
        <v>44120</v>
      </c>
      <c r="C770" s="1" t="n">
        <v>45260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52942-2020</t>
        </is>
      </c>
      <c r="B771" s="1" t="n">
        <v>44120</v>
      </c>
      <c r="C771" s="1" t="n">
        <v>45260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53307-2020</t>
        </is>
      </c>
      <c r="B772" s="1" t="n">
        <v>44123</v>
      </c>
      <c r="C772" s="1" t="n">
        <v>45260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53250-2020</t>
        </is>
      </c>
      <c r="B773" s="1" t="n">
        <v>44123</v>
      </c>
      <c r="C773" s="1" t="n">
        <v>45260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54976-2020</t>
        </is>
      </c>
      <c r="B774" s="1" t="n">
        <v>44123</v>
      </c>
      <c r="C774" s="1" t="n">
        <v>45260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53521-2020</t>
        </is>
      </c>
      <c r="B775" s="1" t="n">
        <v>44124</v>
      </c>
      <c r="C775" s="1" t="n">
        <v>45260</v>
      </c>
      <c r="D775" t="inlineStr">
        <is>
          <t>VÄSTERNORRLANDS LÄN</t>
        </is>
      </c>
      <c r="E775" t="inlineStr">
        <is>
          <t>ÖRNSKÖLDSVIK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53986-2020</t>
        </is>
      </c>
      <c r="B776" s="1" t="n">
        <v>44125</v>
      </c>
      <c r="C776" s="1" t="n">
        <v>45260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54202-2020</t>
        </is>
      </c>
      <c r="B777" s="1" t="n">
        <v>44125</v>
      </c>
      <c r="C777" s="1" t="n">
        <v>45260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54403-2020</t>
        </is>
      </c>
      <c r="B778" s="1" t="n">
        <v>44125</v>
      </c>
      <c r="C778" s="1" t="n">
        <v>45260</v>
      </c>
      <c r="D778" t="inlineStr">
        <is>
          <t>VÄSTERNORRLANDS LÄN</t>
        </is>
      </c>
      <c r="E778" t="inlineStr">
        <is>
          <t>ÖRNSKÖLDSVIK</t>
        </is>
      </c>
      <c r="G778" t="n">
        <v>17.2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53893-2020</t>
        </is>
      </c>
      <c r="B779" s="1" t="n">
        <v>44125</v>
      </c>
      <c r="C779" s="1" t="n">
        <v>45260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54315-2020</t>
        </is>
      </c>
      <c r="B780" s="1" t="n">
        <v>44126</v>
      </c>
      <c r="C780" s="1" t="n">
        <v>45260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54513-2020</t>
        </is>
      </c>
      <c r="B781" s="1" t="n">
        <v>44126</v>
      </c>
      <c r="C781" s="1" t="n">
        <v>45260</v>
      </c>
      <c r="D781" t="inlineStr">
        <is>
          <t>VÄSTERNORRLANDS LÄN</t>
        </is>
      </c>
      <c r="E781" t="inlineStr">
        <is>
          <t>ÖRNSKÖLDSVIK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54628-2020</t>
        </is>
      </c>
      <c r="B782" s="1" t="n">
        <v>44127</v>
      </c>
      <c r="C782" s="1" t="n">
        <v>45260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54807-2020</t>
        </is>
      </c>
      <c r="B783" s="1" t="n">
        <v>44127</v>
      </c>
      <c r="C783" s="1" t="n">
        <v>45260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54961-2020</t>
        </is>
      </c>
      <c r="B784" s="1" t="n">
        <v>44130</v>
      </c>
      <c r="C784" s="1" t="n">
        <v>45260</v>
      </c>
      <c r="D784" t="inlineStr">
        <is>
          <t>VÄSTERNORRLANDS LÄN</t>
        </is>
      </c>
      <c r="E784" t="inlineStr">
        <is>
          <t>ÖRNSKÖLDSVIK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55924-2020</t>
        </is>
      </c>
      <c r="B785" s="1" t="n">
        <v>44132</v>
      </c>
      <c r="C785" s="1" t="n">
        <v>45260</v>
      </c>
      <c r="D785" t="inlineStr">
        <is>
          <t>VÄSTERNORRLANDS LÄN</t>
        </is>
      </c>
      <c r="E785" t="inlineStr">
        <is>
          <t>ÖRNSKÖLDSVIK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55983-2020</t>
        </is>
      </c>
      <c r="B786" s="1" t="n">
        <v>44133</v>
      </c>
      <c r="C786" s="1" t="n">
        <v>45260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55989-2020</t>
        </is>
      </c>
      <c r="B787" s="1" t="n">
        <v>44133</v>
      </c>
      <c r="C787" s="1" t="n">
        <v>45260</v>
      </c>
      <c r="D787" t="inlineStr">
        <is>
          <t>VÄSTERNORRLANDS LÄN</t>
        </is>
      </c>
      <c r="E787" t="inlineStr">
        <is>
          <t>ÖRNSKÖLDSVIK</t>
        </is>
      </c>
      <c r="G787" t="n">
        <v>22.1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56135-2020</t>
        </is>
      </c>
      <c r="B788" s="1" t="n">
        <v>44133</v>
      </c>
      <c r="C788" s="1" t="n">
        <v>45260</v>
      </c>
      <c r="D788" t="inlineStr">
        <is>
          <t>VÄSTERNORRLANDS LÄN</t>
        </is>
      </c>
      <c r="E788" t="inlineStr">
        <is>
          <t>ÖRNSKÖLDSVIK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56043-2020</t>
        </is>
      </c>
      <c r="B789" s="1" t="n">
        <v>44133</v>
      </c>
      <c r="C789" s="1" t="n">
        <v>45260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56686-2020</t>
        </is>
      </c>
      <c r="B790" s="1" t="n">
        <v>44133</v>
      </c>
      <c r="C790" s="1" t="n">
        <v>45260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56463-2020</t>
        </is>
      </c>
      <c r="B791" s="1" t="n">
        <v>44137</v>
      </c>
      <c r="C791" s="1" t="n">
        <v>45260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56607-2020</t>
        </is>
      </c>
      <c r="B792" s="1" t="n">
        <v>44137</v>
      </c>
      <c r="C792" s="1" t="n">
        <v>45260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56969-2020</t>
        </is>
      </c>
      <c r="B793" s="1" t="n">
        <v>44138</v>
      </c>
      <c r="C793" s="1" t="n">
        <v>45260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58335-2020</t>
        </is>
      </c>
      <c r="B794" s="1" t="n">
        <v>44145</v>
      </c>
      <c r="C794" s="1" t="n">
        <v>45260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59049-2020</t>
        </is>
      </c>
      <c r="B795" s="1" t="n">
        <v>44147</v>
      </c>
      <c r="C795" s="1" t="n">
        <v>45260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59204-2020</t>
        </is>
      </c>
      <c r="B796" s="1" t="n">
        <v>44147</v>
      </c>
      <c r="C796" s="1" t="n">
        <v>45260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59423-2020</t>
        </is>
      </c>
      <c r="B797" s="1" t="n">
        <v>44148</v>
      </c>
      <c r="C797" s="1" t="n">
        <v>45260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59438-2020</t>
        </is>
      </c>
      <c r="B798" s="1" t="n">
        <v>44148</v>
      </c>
      <c r="C798" s="1" t="n">
        <v>45260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59456-2020</t>
        </is>
      </c>
      <c r="B799" s="1" t="n">
        <v>44148</v>
      </c>
      <c r="C799" s="1" t="n">
        <v>45260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60551-2020</t>
        </is>
      </c>
      <c r="B800" s="1" t="n">
        <v>44153</v>
      </c>
      <c r="C800" s="1" t="n">
        <v>45260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61165-2020</t>
        </is>
      </c>
      <c r="B801" s="1" t="n">
        <v>44153</v>
      </c>
      <c r="C801" s="1" t="n">
        <v>45260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61089-2020</t>
        </is>
      </c>
      <c r="B802" s="1" t="n">
        <v>44153</v>
      </c>
      <c r="C802" s="1" t="n">
        <v>45260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60786-2020</t>
        </is>
      </c>
      <c r="B803" s="1" t="n">
        <v>44154</v>
      </c>
      <c r="C803" s="1" t="n">
        <v>45260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60911-2020</t>
        </is>
      </c>
      <c r="B804" s="1" t="n">
        <v>44154</v>
      </c>
      <c r="C804" s="1" t="n">
        <v>45260</v>
      </c>
      <c r="D804" t="inlineStr">
        <is>
          <t>VÄSTERNORRLANDS LÄN</t>
        </is>
      </c>
      <c r="E804" t="inlineStr">
        <is>
          <t>ÖRNSKÖLDSVIK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60876-2020</t>
        </is>
      </c>
      <c r="B805" s="1" t="n">
        <v>44154</v>
      </c>
      <c r="C805" s="1" t="n">
        <v>45260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61299-2020</t>
        </is>
      </c>
      <c r="B806" s="1" t="n">
        <v>44154</v>
      </c>
      <c r="C806" s="1" t="n">
        <v>45260</v>
      </c>
      <c r="D806" t="inlineStr">
        <is>
          <t>VÄSTERNORRLANDS LÄN</t>
        </is>
      </c>
      <c r="E806" t="inlineStr">
        <is>
          <t>ÖRNSKÖLDSVIK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61090-2020</t>
        </is>
      </c>
      <c r="B807" s="1" t="n">
        <v>44154</v>
      </c>
      <c r="C807" s="1" t="n">
        <v>45260</v>
      </c>
      <c r="D807" t="inlineStr">
        <is>
          <t>VÄSTERNORRLANDS LÄN</t>
        </is>
      </c>
      <c r="E807" t="inlineStr">
        <is>
          <t>ÖRNSKÖLDSVIK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61303-2020</t>
        </is>
      </c>
      <c r="B808" s="1" t="n">
        <v>44154</v>
      </c>
      <c r="C808" s="1" t="n">
        <v>45260</v>
      </c>
      <c r="D808" t="inlineStr">
        <is>
          <t>VÄSTERNORRLANDS LÄN</t>
        </is>
      </c>
      <c r="E808" t="inlineStr">
        <is>
          <t>ÖRNSKÖLDSVIK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61297-2020</t>
        </is>
      </c>
      <c r="B809" s="1" t="n">
        <v>44154</v>
      </c>
      <c r="C809" s="1" t="n">
        <v>45260</v>
      </c>
      <c r="D809" t="inlineStr">
        <is>
          <t>VÄSTERNORRLANDS LÄN</t>
        </is>
      </c>
      <c r="E809" t="inlineStr">
        <is>
          <t>ÖRNSKÖLDSVIK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61311-2020</t>
        </is>
      </c>
      <c r="B810" s="1" t="n">
        <v>44154</v>
      </c>
      <c r="C810" s="1" t="n">
        <v>45260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61287-2020</t>
        </is>
      </c>
      <c r="B811" s="1" t="n">
        <v>44154</v>
      </c>
      <c r="C811" s="1" t="n">
        <v>45260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61305-2020</t>
        </is>
      </c>
      <c r="B812" s="1" t="n">
        <v>44154</v>
      </c>
      <c r="C812" s="1" t="n">
        <v>45260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61204-2020</t>
        </is>
      </c>
      <c r="B813" s="1" t="n">
        <v>44155</v>
      </c>
      <c r="C813" s="1" t="n">
        <v>45260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61336-2020</t>
        </is>
      </c>
      <c r="B814" s="1" t="n">
        <v>44155</v>
      </c>
      <c r="C814" s="1" t="n">
        <v>45260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61228-2020</t>
        </is>
      </c>
      <c r="B815" s="1" t="n">
        <v>44155</v>
      </c>
      <c r="C815" s="1" t="n">
        <v>45260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61274-2020</t>
        </is>
      </c>
      <c r="B816" s="1" t="n">
        <v>44155</v>
      </c>
      <c r="C816" s="1" t="n">
        <v>45260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61497-2020</t>
        </is>
      </c>
      <c r="B817" s="1" t="n">
        <v>44158</v>
      </c>
      <c r="C817" s="1" t="n">
        <v>45260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61517-2020</t>
        </is>
      </c>
      <c r="B818" s="1" t="n">
        <v>44158</v>
      </c>
      <c r="C818" s="1" t="n">
        <v>45260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61622-2020</t>
        </is>
      </c>
      <c r="B819" s="1" t="n">
        <v>44158</v>
      </c>
      <c r="C819" s="1" t="n">
        <v>45260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61757-2020</t>
        </is>
      </c>
      <c r="B820" s="1" t="n">
        <v>44158</v>
      </c>
      <c r="C820" s="1" t="n">
        <v>45260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62272-2020</t>
        </is>
      </c>
      <c r="B821" s="1" t="n">
        <v>44158</v>
      </c>
      <c r="C821" s="1" t="n">
        <v>45260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62480-2020</t>
        </is>
      </c>
      <c r="B822" s="1" t="n">
        <v>44158</v>
      </c>
      <c r="C822" s="1" t="n">
        <v>45260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61945-2020</t>
        </is>
      </c>
      <c r="B823" s="1" t="n">
        <v>44159</v>
      </c>
      <c r="C823" s="1" t="n">
        <v>45260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61844-2020</t>
        </is>
      </c>
      <c r="B824" s="1" t="n">
        <v>44159</v>
      </c>
      <c r="C824" s="1" t="n">
        <v>45260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61837-2020</t>
        </is>
      </c>
      <c r="B825" s="1" t="n">
        <v>44159</v>
      </c>
      <c r="C825" s="1" t="n">
        <v>45260</v>
      </c>
      <c r="D825" t="inlineStr">
        <is>
          <t>VÄSTERNORRLANDS LÄN</t>
        </is>
      </c>
      <c r="E825" t="inlineStr">
        <is>
          <t>ÖRNSKÖLDSVIK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61840-2020</t>
        </is>
      </c>
      <c r="B826" s="1" t="n">
        <v>44159</v>
      </c>
      <c r="C826" s="1" t="n">
        <v>45260</v>
      </c>
      <c r="D826" t="inlineStr">
        <is>
          <t>VÄSTERNORRLANDS LÄN</t>
        </is>
      </c>
      <c r="E826" t="inlineStr">
        <is>
          <t>ÖRNSKÖLDSVIK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61955-2020</t>
        </is>
      </c>
      <c r="B827" s="1" t="n">
        <v>44159</v>
      </c>
      <c r="C827" s="1" t="n">
        <v>45260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62479-2020</t>
        </is>
      </c>
      <c r="B828" s="1" t="n">
        <v>44160</v>
      </c>
      <c r="C828" s="1" t="n">
        <v>45260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62951-2020</t>
        </is>
      </c>
      <c r="B829" s="1" t="n">
        <v>44160</v>
      </c>
      <c r="C829" s="1" t="n">
        <v>45260</v>
      </c>
      <c r="D829" t="inlineStr">
        <is>
          <t>VÄSTERNORRLANDS LÄN</t>
        </is>
      </c>
      <c r="E829" t="inlineStr">
        <is>
          <t>ÖRNSKÖLDSVIK</t>
        </is>
      </c>
      <c r="G829" t="n">
        <v>17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62865-2020</t>
        </is>
      </c>
      <c r="B830" s="1" t="n">
        <v>44161</v>
      </c>
      <c r="C830" s="1" t="n">
        <v>45260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63114-2020</t>
        </is>
      </c>
      <c r="B831" s="1" t="n">
        <v>44162</v>
      </c>
      <c r="C831" s="1" t="n">
        <v>45260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63162-2020</t>
        </is>
      </c>
      <c r="B832" s="1" t="n">
        <v>44162</v>
      </c>
      <c r="C832" s="1" t="n">
        <v>45260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63270-2020</t>
        </is>
      </c>
      <c r="B833" s="1" t="n">
        <v>44164</v>
      </c>
      <c r="C833" s="1" t="n">
        <v>45260</v>
      </c>
      <c r="D833" t="inlineStr">
        <is>
          <t>VÄSTERNORRLANDS LÄN</t>
        </is>
      </c>
      <c r="E833" t="inlineStr">
        <is>
          <t>ÖRNSKÖLDSVIK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63930-2020</t>
        </is>
      </c>
      <c r="B834" s="1" t="n">
        <v>44167</v>
      </c>
      <c r="C834" s="1" t="n">
        <v>45260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64063-2020</t>
        </is>
      </c>
      <c r="B835" s="1" t="n">
        <v>44167</v>
      </c>
      <c r="C835" s="1" t="n">
        <v>45260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64290-2020</t>
        </is>
      </c>
      <c r="B836" s="1" t="n">
        <v>44168</v>
      </c>
      <c r="C836" s="1" t="n">
        <v>45260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64557-2020</t>
        </is>
      </c>
      <c r="B837" s="1" t="n">
        <v>44169</v>
      </c>
      <c r="C837" s="1" t="n">
        <v>45260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64696-2020</t>
        </is>
      </c>
      <c r="B838" s="1" t="n">
        <v>44169</v>
      </c>
      <c r="C838" s="1" t="n">
        <v>45260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65665-2020</t>
        </is>
      </c>
      <c r="B839" s="1" t="n">
        <v>44169</v>
      </c>
      <c r="C839" s="1" t="n">
        <v>45260</v>
      </c>
      <c r="D839" t="inlineStr">
        <is>
          <t>VÄSTERNORRLANDS LÄN</t>
        </is>
      </c>
      <c r="E839" t="inlineStr">
        <is>
          <t>ÖRNSKÖLDSVIK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65016-2020</t>
        </is>
      </c>
      <c r="B840" s="1" t="n">
        <v>44172</v>
      </c>
      <c r="C840" s="1" t="n">
        <v>45260</v>
      </c>
      <c r="D840" t="inlineStr">
        <is>
          <t>VÄSTERNORRLANDS LÄN</t>
        </is>
      </c>
      <c r="E840" t="inlineStr">
        <is>
          <t>ÖRNSKÖLDSVIK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65646-2020</t>
        </is>
      </c>
      <c r="B841" s="1" t="n">
        <v>44174</v>
      </c>
      <c r="C841" s="1" t="n">
        <v>45260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65688-2020</t>
        </is>
      </c>
      <c r="B842" s="1" t="n">
        <v>44174</v>
      </c>
      <c r="C842" s="1" t="n">
        <v>45260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65808-2020</t>
        </is>
      </c>
      <c r="B843" s="1" t="n">
        <v>44174</v>
      </c>
      <c r="C843" s="1" t="n">
        <v>45260</v>
      </c>
      <c r="D843" t="inlineStr">
        <is>
          <t>VÄSTERNORRLANDS LÄN</t>
        </is>
      </c>
      <c r="E843" t="inlineStr">
        <is>
          <t>ÖRNSKÖLDSVIK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66226-2020</t>
        </is>
      </c>
      <c r="B844" s="1" t="n">
        <v>44175</v>
      </c>
      <c r="C844" s="1" t="n">
        <v>45260</v>
      </c>
      <c r="D844" t="inlineStr">
        <is>
          <t>VÄSTERNORRLANDS LÄN</t>
        </is>
      </c>
      <c r="E844" t="inlineStr">
        <is>
          <t>ÖRNSKÖLDSVIK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66362-2020</t>
        </is>
      </c>
      <c r="B845" s="1" t="n">
        <v>44176</v>
      </c>
      <c r="C845" s="1" t="n">
        <v>45260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66355-2020</t>
        </is>
      </c>
      <c r="B846" s="1" t="n">
        <v>44176</v>
      </c>
      <c r="C846" s="1" t="n">
        <v>45260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66961-2020</t>
        </is>
      </c>
      <c r="B847" s="1" t="n">
        <v>44176</v>
      </c>
      <c r="C847" s="1" t="n">
        <v>45260</v>
      </c>
      <c r="D847" t="inlineStr">
        <is>
          <t>VÄSTERNORRLANDS LÄN</t>
        </is>
      </c>
      <c r="E847" t="inlineStr">
        <is>
          <t>ÖRNSKÖLDSVIK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66921-2020</t>
        </is>
      </c>
      <c r="B848" s="1" t="n">
        <v>44180</v>
      </c>
      <c r="C848" s="1" t="n">
        <v>45260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67183-2020</t>
        </is>
      </c>
      <c r="B849" s="1" t="n">
        <v>44180</v>
      </c>
      <c r="C849" s="1" t="n">
        <v>45260</v>
      </c>
      <c r="D849" t="inlineStr">
        <is>
          <t>VÄSTERNORRLANDS LÄN</t>
        </is>
      </c>
      <c r="E849" t="inlineStr">
        <is>
          <t>ÖRNSKÖLDSVIK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67482-2020</t>
        </is>
      </c>
      <c r="B850" s="1" t="n">
        <v>44180</v>
      </c>
      <c r="C850" s="1" t="n">
        <v>45260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67516-2020</t>
        </is>
      </c>
      <c r="B851" s="1" t="n">
        <v>44180</v>
      </c>
      <c r="C851" s="1" t="n">
        <v>45260</v>
      </c>
      <c r="D851" t="inlineStr">
        <is>
          <t>VÄSTERNORRLANDS LÄN</t>
        </is>
      </c>
      <c r="E851" t="inlineStr">
        <is>
          <t>ÖRNSKÖLDSVIK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67267-2020</t>
        </is>
      </c>
      <c r="B852" s="1" t="n">
        <v>44181</v>
      </c>
      <c r="C852" s="1" t="n">
        <v>45260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68207-2020</t>
        </is>
      </c>
      <c r="B853" s="1" t="n">
        <v>44182</v>
      </c>
      <c r="C853" s="1" t="n">
        <v>45260</v>
      </c>
      <c r="D853" t="inlineStr">
        <is>
          <t>VÄSTERNORRLANDS LÄN</t>
        </is>
      </c>
      <c r="E853" t="inlineStr">
        <is>
          <t>ÖRNSKÖLDSVIK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68068-2020</t>
        </is>
      </c>
      <c r="B854" s="1" t="n">
        <v>44183</v>
      </c>
      <c r="C854" s="1" t="n">
        <v>45260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68299-2020</t>
        </is>
      </c>
      <c r="B855" s="1" t="n">
        <v>44184</v>
      </c>
      <c r="C855" s="1" t="n">
        <v>45260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68711-2020</t>
        </is>
      </c>
      <c r="B856" s="1" t="n">
        <v>44187</v>
      </c>
      <c r="C856" s="1" t="n">
        <v>45260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68782-2020</t>
        </is>
      </c>
      <c r="B857" s="1" t="n">
        <v>44187</v>
      </c>
      <c r="C857" s="1" t="n">
        <v>45260</v>
      </c>
      <c r="D857" t="inlineStr">
        <is>
          <t>VÄSTERNORRLANDS LÄN</t>
        </is>
      </c>
      <c r="E857" t="inlineStr">
        <is>
          <t>ÖRNSKÖLDSVIK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838-2021</t>
        </is>
      </c>
      <c r="B858" s="1" t="n">
        <v>44204</v>
      </c>
      <c r="C858" s="1" t="n">
        <v>45260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906-2021</t>
        </is>
      </c>
      <c r="B859" s="1" t="n">
        <v>44207</v>
      </c>
      <c r="C859" s="1" t="n">
        <v>45260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1224-2021</t>
        </is>
      </c>
      <c r="B860" s="1" t="n">
        <v>44207</v>
      </c>
      <c r="C860" s="1" t="n">
        <v>45260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1205-2021</t>
        </is>
      </c>
      <c r="B861" s="1" t="n">
        <v>44207</v>
      </c>
      <c r="C861" s="1" t="n">
        <v>45260</v>
      </c>
      <c r="D861" t="inlineStr">
        <is>
          <t>VÄSTERNORRLANDS LÄN</t>
        </is>
      </c>
      <c r="E861" t="inlineStr">
        <is>
          <t>ÖRNSKÖLDSVIK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2461-2021</t>
        </is>
      </c>
      <c r="B862" s="1" t="n">
        <v>44213</v>
      </c>
      <c r="C862" s="1" t="n">
        <v>45260</v>
      </c>
      <c r="D862" t="inlineStr">
        <is>
          <t>VÄSTERNORRLANDS LÄN</t>
        </is>
      </c>
      <c r="E862" t="inlineStr">
        <is>
          <t>ÖRNSKÖLDSVIK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2417-2021</t>
        </is>
      </c>
      <c r="B863" s="1" t="n">
        <v>44214</v>
      </c>
      <c r="C863" s="1" t="n">
        <v>45260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2441-2021</t>
        </is>
      </c>
      <c r="B864" s="1" t="n">
        <v>44214</v>
      </c>
      <c r="C864" s="1" t="n">
        <v>45260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2497-2021</t>
        </is>
      </c>
      <c r="B865" s="1" t="n">
        <v>44214</v>
      </c>
      <c r="C865" s="1" t="n">
        <v>45260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2656-2021</t>
        </is>
      </c>
      <c r="B866" s="1" t="n">
        <v>44215</v>
      </c>
      <c r="C866" s="1" t="n">
        <v>45260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2666-2021</t>
        </is>
      </c>
      <c r="B867" s="1" t="n">
        <v>44215</v>
      </c>
      <c r="C867" s="1" t="n">
        <v>45260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2936-2021</t>
        </is>
      </c>
      <c r="B868" s="1" t="n">
        <v>44216</v>
      </c>
      <c r="C868" s="1" t="n">
        <v>45260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3286-2021</t>
        </is>
      </c>
      <c r="B869" s="1" t="n">
        <v>44217</v>
      </c>
      <c r="C869" s="1" t="n">
        <v>45260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4172-2021</t>
        </is>
      </c>
      <c r="B870" s="1" t="n">
        <v>44218</v>
      </c>
      <c r="C870" s="1" t="n">
        <v>45260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Kyrkan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3604-2021</t>
        </is>
      </c>
      <c r="B871" s="1" t="n">
        <v>44221</v>
      </c>
      <c r="C871" s="1" t="n">
        <v>45260</v>
      </c>
      <c r="D871" t="inlineStr">
        <is>
          <t>VÄSTERNORRLANDS LÄN</t>
        </is>
      </c>
      <c r="E871" t="inlineStr">
        <is>
          <t>ÖRNSKÖLDSVIK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4002-2021</t>
        </is>
      </c>
      <c r="B872" s="1" t="n">
        <v>44221</v>
      </c>
      <c r="C872" s="1" t="n">
        <v>45260</v>
      </c>
      <c r="D872" t="inlineStr">
        <is>
          <t>VÄSTERNORRLANDS LÄN</t>
        </is>
      </c>
      <c r="E872" t="inlineStr">
        <is>
          <t>ÖRNSKÖLDSVIK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4052-2021</t>
        </is>
      </c>
      <c r="B873" s="1" t="n">
        <v>44221</v>
      </c>
      <c r="C873" s="1" t="n">
        <v>45260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4043-2021</t>
        </is>
      </c>
      <c r="B874" s="1" t="n">
        <v>44221</v>
      </c>
      <c r="C874" s="1" t="n">
        <v>45260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4520-2021</t>
        </is>
      </c>
      <c r="B875" s="1" t="n">
        <v>44223</v>
      </c>
      <c r="C875" s="1" t="n">
        <v>45260</v>
      </c>
      <c r="D875" t="inlineStr">
        <is>
          <t>VÄSTERNORRLANDS LÄN</t>
        </is>
      </c>
      <c r="E875" t="inlineStr">
        <is>
          <t>ÖRNSKÖLDSVIK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5002-2021</t>
        </is>
      </c>
      <c r="B876" s="1" t="n">
        <v>44225</v>
      </c>
      <c r="C876" s="1" t="n">
        <v>45260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5276-2021</t>
        </is>
      </c>
      <c r="B877" s="1" t="n">
        <v>44225</v>
      </c>
      <c r="C877" s="1" t="n">
        <v>45260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5227-2021</t>
        </is>
      </c>
      <c r="B878" s="1" t="n">
        <v>44228</v>
      </c>
      <c r="C878" s="1" t="n">
        <v>45260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5452-2021</t>
        </is>
      </c>
      <c r="B879" s="1" t="n">
        <v>44229</v>
      </c>
      <c r="C879" s="1" t="n">
        <v>45260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5891-2021</t>
        </is>
      </c>
      <c r="B880" s="1" t="n">
        <v>44231</v>
      </c>
      <c r="C880" s="1" t="n">
        <v>45260</v>
      </c>
      <c r="D880" t="inlineStr">
        <is>
          <t>VÄSTERNORRLANDS LÄN</t>
        </is>
      </c>
      <c r="E880" t="inlineStr">
        <is>
          <t>ÖRNSKÖLDSVIK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6005-2021</t>
        </is>
      </c>
      <c r="B881" s="1" t="n">
        <v>44231</v>
      </c>
      <c r="C881" s="1" t="n">
        <v>45260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6326-2021</t>
        </is>
      </c>
      <c r="B882" s="1" t="n">
        <v>44232</v>
      </c>
      <c r="C882" s="1" t="n">
        <v>45260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6224-2021</t>
        </is>
      </c>
      <c r="B883" s="1" t="n">
        <v>44235</v>
      </c>
      <c r="C883" s="1" t="n">
        <v>45260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6571-2021</t>
        </is>
      </c>
      <c r="B884" s="1" t="n">
        <v>44236</v>
      </c>
      <c r="C884" s="1" t="n">
        <v>45260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7143-2021</t>
        </is>
      </c>
      <c r="B885" s="1" t="n">
        <v>44237</v>
      </c>
      <c r="C885" s="1" t="n">
        <v>45260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7506-2021</t>
        </is>
      </c>
      <c r="B886" s="1" t="n">
        <v>44239</v>
      </c>
      <c r="C886" s="1" t="n">
        <v>45260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7505-2021</t>
        </is>
      </c>
      <c r="B887" s="1" t="n">
        <v>44239</v>
      </c>
      <c r="C887" s="1" t="n">
        <v>45260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7588-2021</t>
        </is>
      </c>
      <c r="B888" s="1" t="n">
        <v>44240</v>
      </c>
      <c r="C888" s="1" t="n">
        <v>45260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7691-2021</t>
        </is>
      </c>
      <c r="B889" s="1" t="n">
        <v>44242</v>
      </c>
      <c r="C889" s="1" t="n">
        <v>45260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7862-2021</t>
        </is>
      </c>
      <c r="B890" s="1" t="n">
        <v>44242</v>
      </c>
      <c r="C890" s="1" t="n">
        <v>45260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8142-2021</t>
        </is>
      </c>
      <c r="B891" s="1" t="n">
        <v>44244</v>
      </c>
      <c r="C891" s="1" t="n">
        <v>45260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9202-2021</t>
        </is>
      </c>
      <c r="B892" s="1" t="n">
        <v>44250</v>
      </c>
      <c r="C892" s="1" t="n">
        <v>45260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9799-2021</t>
        </is>
      </c>
      <c r="B893" s="1" t="n">
        <v>44251</v>
      </c>
      <c r="C893" s="1" t="n">
        <v>45260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9631-2021</t>
        </is>
      </c>
      <c r="B894" s="1" t="n">
        <v>44252</v>
      </c>
      <c r="C894" s="1" t="n">
        <v>45260</v>
      </c>
      <c r="D894" t="inlineStr">
        <is>
          <t>VÄSTERNORRLANDS LÄN</t>
        </is>
      </c>
      <c r="E894" t="inlineStr">
        <is>
          <t>ÖRNSKÖLDSVIK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10011-2021</t>
        </is>
      </c>
      <c r="B895" s="1" t="n">
        <v>44253</v>
      </c>
      <c r="C895" s="1" t="n">
        <v>45260</v>
      </c>
      <c r="D895" t="inlineStr">
        <is>
          <t>VÄSTERNORRLANDS LÄN</t>
        </is>
      </c>
      <c r="E895" t="inlineStr">
        <is>
          <t>ÖRNSKÖLDSVIK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10006-2021</t>
        </is>
      </c>
      <c r="B896" s="1" t="n">
        <v>44255</v>
      </c>
      <c r="C896" s="1" t="n">
        <v>45260</v>
      </c>
      <c r="D896" t="inlineStr">
        <is>
          <t>VÄSTERNORRLANDS LÄN</t>
        </is>
      </c>
      <c r="E896" t="inlineStr">
        <is>
          <t>ÖRNSKÖLDSVIK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10079-2021</t>
        </is>
      </c>
      <c r="B897" s="1" t="n">
        <v>44256</v>
      </c>
      <c r="C897" s="1" t="n">
        <v>45260</v>
      </c>
      <c r="D897" t="inlineStr">
        <is>
          <t>VÄSTERNORRLANDS LÄN</t>
        </is>
      </c>
      <c r="E897" t="inlineStr">
        <is>
          <t>ÖRNSKÖLDSVIK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10078-2021</t>
        </is>
      </c>
      <c r="B898" s="1" t="n">
        <v>44256</v>
      </c>
      <c r="C898" s="1" t="n">
        <v>45260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10236-2021</t>
        </is>
      </c>
      <c r="B899" s="1" t="n">
        <v>44256</v>
      </c>
      <c r="C899" s="1" t="n">
        <v>45260</v>
      </c>
      <c r="D899" t="inlineStr">
        <is>
          <t>VÄSTERNORRLANDS LÄN</t>
        </is>
      </c>
      <c r="E899" t="inlineStr">
        <is>
          <t>ÖRNSKÖLDSVIK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10281-2021</t>
        </is>
      </c>
      <c r="B900" s="1" t="n">
        <v>44257</v>
      </c>
      <c r="C900" s="1" t="n">
        <v>45260</v>
      </c>
      <c r="D900" t="inlineStr">
        <is>
          <t>VÄSTERNORRLANDS LÄN</t>
        </is>
      </c>
      <c r="E900" t="inlineStr">
        <is>
          <t>ÖRNSKÖLDSVIK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10601-2021</t>
        </is>
      </c>
      <c r="B901" s="1" t="n">
        <v>44258</v>
      </c>
      <c r="C901" s="1" t="n">
        <v>45260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10628-2021</t>
        </is>
      </c>
      <c r="B902" s="1" t="n">
        <v>44258</v>
      </c>
      <c r="C902" s="1" t="n">
        <v>45260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10965-2021</t>
        </is>
      </c>
      <c r="B903" s="1" t="n">
        <v>44260</v>
      </c>
      <c r="C903" s="1" t="n">
        <v>45260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10974-2021</t>
        </is>
      </c>
      <c r="B904" s="1" t="n">
        <v>44260</v>
      </c>
      <c r="C904" s="1" t="n">
        <v>45260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11050-2021</t>
        </is>
      </c>
      <c r="B905" s="1" t="n">
        <v>44260</v>
      </c>
      <c r="C905" s="1" t="n">
        <v>45260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10970-2021</t>
        </is>
      </c>
      <c r="B906" s="1" t="n">
        <v>44260</v>
      </c>
      <c r="C906" s="1" t="n">
        <v>45260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11406-2021</t>
        </is>
      </c>
      <c r="B907" s="1" t="n">
        <v>44263</v>
      </c>
      <c r="C907" s="1" t="n">
        <v>45260</v>
      </c>
      <c r="D907" t="inlineStr">
        <is>
          <t>VÄSTERNORRLANDS LÄN</t>
        </is>
      </c>
      <c r="E907" t="inlineStr">
        <is>
          <t>ÖRNSKÖLDSVIK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11429-2021</t>
        </is>
      </c>
      <c r="B908" s="1" t="n">
        <v>44263</v>
      </c>
      <c r="C908" s="1" t="n">
        <v>45260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11432-2021</t>
        </is>
      </c>
      <c r="B909" s="1" t="n">
        <v>44263</v>
      </c>
      <c r="C909" s="1" t="n">
        <v>45260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11779-2021</t>
        </is>
      </c>
      <c r="B910" s="1" t="n">
        <v>44265</v>
      </c>
      <c r="C910" s="1" t="n">
        <v>45260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12073-2021</t>
        </is>
      </c>
      <c r="B911" s="1" t="n">
        <v>44266</v>
      </c>
      <c r="C911" s="1" t="n">
        <v>45260</v>
      </c>
      <c r="D911" t="inlineStr">
        <is>
          <t>VÄSTERNORRLANDS LÄN</t>
        </is>
      </c>
      <c r="E911" t="inlineStr">
        <is>
          <t>ÖRNSKÖLDSVIK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12113-2021</t>
        </is>
      </c>
      <c r="B912" s="1" t="n">
        <v>44266</v>
      </c>
      <c r="C912" s="1" t="n">
        <v>45260</v>
      </c>
      <c r="D912" t="inlineStr">
        <is>
          <t>VÄSTERNORRLANDS LÄN</t>
        </is>
      </c>
      <c r="E912" t="inlineStr">
        <is>
          <t>ÖRNSKÖLDSVIK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12647-2021</t>
        </is>
      </c>
      <c r="B913" s="1" t="n">
        <v>44270</v>
      </c>
      <c r="C913" s="1" t="n">
        <v>45260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12762-2021</t>
        </is>
      </c>
      <c r="B914" s="1" t="n">
        <v>44270</v>
      </c>
      <c r="C914" s="1" t="n">
        <v>45260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12851-2021</t>
        </is>
      </c>
      <c r="B915" s="1" t="n">
        <v>44270</v>
      </c>
      <c r="C915" s="1" t="n">
        <v>45260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13088-2021</t>
        </is>
      </c>
      <c r="B916" s="1" t="n">
        <v>44272</v>
      </c>
      <c r="C916" s="1" t="n">
        <v>45260</v>
      </c>
      <c r="D916" t="inlineStr">
        <is>
          <t>VÄSTERNORRLANDS LÄN</t>
        </is>
      </c>
      <c r="E916" t="inlineStr">
        <is>
          <t>ÖRNSKÖLDSVIK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13627-2021</t>
        </is>
      </c>
      <c r="B917" s="1" t="n">
        <v>44273</v>
      </c>
      <c r="C917" s="1" t="n">
        <v>45260</v>
      </c>
      <c r="D917" t="inlineStr">
        <is>
          <t>VÄSTERNORRLANDS LÄN</t>
        </is>
      </c>
      <c r="E917" t="inlineStr">
        <is>
          <t>ÖRNSKÖLDSVIK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13645-2021</t>
        </is>
      </c>
      <c r="B918" s="1" t="n">
        <v>44274</v>
      </c>
      <c r="C918" s="1" t="n">
        <v>45260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13624-2021</t>
        </is>
      </c>
      <c r="B919" s="1" t="n">
        <v>44274</v>
      </c>
      <c r="C919" s="1" t="n">
        <v>45260</v>
      </c>
      <c r="D919" t="inlineStr">
        <is>
          <t>VÄSTERNORRLANDS LÄN</t>
        </is>
      </c>
      <c r="E919" t="inlineStr">
        <is>
          <t>ÖRNSKÖLDSVIK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13638-2021</t>
        </is>
      </c>
      <c r="B920" s="1" t="n">
        <v>44274</v>
      </c>
      <c r="C920" s="1" t="n">
        <v>45260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14508-2021</t>
        </is>
      </c>
      <c r="B921" s="1" t="n">
        <v>44279</v>
      </c>
      <c r="C921" s="1" t="n">
        <v>45260</v>
      </c>
      <c r="D921" t="inlineStr">
        <is>
          <t>VÄSTERNORRLANDS LÄN</t>
        </is>
      </c>
      <c r="E921" t="inlineStr">
        <is>
          <t>ÖRNSKÖLDSVIK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15071-2021</t>
        </is>
      </c>
      <c r="B922" s="1" t="n">
        <v>44281</v>
      </c>
      <c r="C922" s="1" t="n">
        <v>45260</v>
      </c>
      <c r="D922" t="inlineStr">
        <is>
          <t>VÄSTERNORRLANDS LÄN</t>
        </is>
      </c>
      <c r="E922" t="inlineStr">
        <is>
          <t>ÖRNSKÖLDSVIK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15294-2021</t>
        </is>
      </c>
      <c r="B923" s="1" t="n">
        <v>44284</v>
      </c>
      <c r="C923" s="1" t="n">
        <v>45260</v>
      </c>
      <c r="D923" t="inlineStr">
        <is>
          <t>VÄSTERNORRLANDS LÄN</t>
        </is>
      </c>
      <c r="E923" t="inlineStr">
        <is>
          <t>ÖRNSKÖLDSVIK</t>
        </is>
      </c>
      <c r="G923" t="n">
        <v>18.4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15303-2021</t>
        </is>
      </c>
      <c r="B924" s="1" t="n">
        <v>44284</v>
      </c>
      <c r="C924" s="1" t="n">
        <v>45260</v>
      </c>
      <c r="D924" t="inlineStr">
        <is>
          <t>VÄSTERNORRLANDS LÄN</t>
        </is>
      </c>
      <c r="E924" t="inlineStr">
        <is>
          <t>ÖRNSKÖLDSVIK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15393-2021</t>
        </is>
      </c>
      <c r="B925" s="1" t="n">
        <v>44285</v>
      </c>
      <c r="C925" s="1" t="n">
        <v>45260</v>
      </c>
      <c r="D925" t="inlineStr">
        <is>
          <t>VÄSTERNORRLANDS LÄN</t>
        </is>
      </c>
      <c r="E925" t="inlineStr">
        <is>
          <t>ÖRNSKÖLDSVIK</t>
        </is>
      </c>
      <c r="G925" t="n">
        <v>23.1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15627-2021</t>
        </is>
      </c>
      <c r="B926" s="1" t="n">
        <v>44285</v>
      </c>
      <c r="C926" s="1" t="n">
        <v>45260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15943-2021</t>
        </is>
      </c>
      <c r="B927" s="1" t="n">
        <v>44287</v>
      </c>
      <c r="C927" s="1" t="n">
        <v>45260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16475-2021</t>
        </is>
      </c>
      <c r="B928" s="1" t="n">
        <v>44293</v>
      </c>
      <c r="C928" s="1" t="n">
        <v>45260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16906-2021</t>
        </is>
      </c>
      <c r="B929" s="1" t="n">
        <v>44295</v>
      </c>
      <c r="C929" s="1" t="n">
        <v>45260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17289-2021</t>
        </is>
      </c>
      <c r="B930" s="1" t="n">
        <v>44298</v>
      </c>
      <c r="C930" s="1" t="n">
        <v>45260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17298-2021</t>
        </is>
      </c>
      <c r="B931" s="1" t="n">
        <v>44298</v>
      </c>
      <c r="C931" s="1" t="n">
        <v>45260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17403-2021</t>
        </is>
      </c>
      <c r="B932" s="1" t="n">
        <v>44299</v>
      </c>
      <c r="C932" s="1" t="n">
        <v>45260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17643-2021</t>
        </is>
      </c>
      <c r="B933" s="1" t="n">
        <v>44299</v>
      </c>
      <c r="C933" s="1" t="n">
        <v>45260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17646-2021</t>
        </is>
      </c>
      <c r="B934" s="1" t="n">
        <v>44300</v>
      </c>
      <c r="C934" s="1" t="n">
        <v>45260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17708-2021</t>
        </is>
      </c>
      <c r="B935" s="1" t="n">
        <v>44300</v>
      </c>
      <c r="C935" s="1" t="n">
        <v>45260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19079-2021</t>
        </is>
      </c>
      <c r="B936" s="1" t="n">
        <v>44308</v>
      </c>
      <c r="C936" s="1" t="n">
        <v>45260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19227-2021</t>
        </is>
      </c>
      <c r="B937" s="1" t="n">
        <v>44309</v>
      </c>
      <c r="C937" s="1" t="n">
        <v>45260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19321-2021</t>
        </is>
      </c>
      <c r="B938" s="1" t="n">
        <v>44309</v>
      </c>
      <c r="C938" s="1" t="n">
        <v>45260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19328-2021</t>
        </is>
      </c>
      <c r="B939" s="1" t="n">
        <v>44309</v>
      </c>
      <c r="C939" s="1" t="n">
        <v>45260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19409-2021</t>
        </is>
      </c>
      <c r="B940" s="1" t="n">
        <v>44310</v>
      </c>
      <c r="C940" s="1" t="n">
        <v>45260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19943-2021</t>
        </is>
      </c>
      <c r="B941" s="1" t="n">
        <v>44313</v>
      </c>
      <c r="C941" s="1" t="n">
        <v>45260</v>
      </c>
      <c r="D941" t="inlineStr">
        <is>
          <t>VÄSTERNORRLANDS LÄN</t>
        </is>
      </c>
      <c r="E941" t="inlineStr">
        <is>
          <t>ÖRNSKÖLDSVIK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19923-2021</t>
        </is>
      </c>
      <c r="B942" s="1" t="n">
        <v>44313</v>
      </c>
      <c r="C942" s="1" t="n">
        <v>45260</v>
      </c>
      <c r="D942" t="inlineStr">
        <is>
          <t>VÄSTERNORRLANDS LÄN</t>
        </is>
      </c>
      <c r="E942" t="inlineStr">
        <is>
          <t>ÖRNSKÖLDSVIK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19940-2021</t>
        </is>
      </c>
      <c r="B943" s="1" t="n">
        <v>44313</v>
      </c>
      <c r="C943" s="1" t="n">
        <v>45260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20115-2021</t>
        </is>
      </c>
      <c r="B944" s="1" t="n">
        <v>44314</v>
      </c>
      <c r="C944" s="1" t="n">
        <v>45260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20123-2021</t>
        </is>
      </c>
      <c r="B945" s="1" t="n">
        <v>44314</v>
      </c>
      <c r="C945" s="1" t="n">
        <v>45260</v>
      </c>
      <c r="D945" t="inlineStr">
        <is>
          <t>VÄSTERNORRLANDS LÄN</t>
        </is>
      </c>
      <c r="E945" t="inlineStr">
        <is>
          <t>ÖRNSKÖLDSVIK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20328-2021</t>
        </is>
      </c>
      <c r="B946" s="1" t="n">
        <v>44315</v>
      </c>
      <c r="C946" s="1" t="n">
        <v>45260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20570-2021</t>
        </is>
      </c>
      <c r="B947" s="1" t="n">
        <v>44316</v>
      </c>
      <c r="C947" s="1" t="n">
        <v>45260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20837-2021</t>
        </is>
      </c>
      <c r="B948" s="1" t="n">
        <v>44318</v>
      </c>
      <c r="C948" s="1" t="n">
        <v>45260</v>
      </c>
      <c r="D948" t="inlineStr">
        <is>
          <t>VÄSTERNORRLANDS LÄN</t>
        </is>
      </c>
      <c r="E948" t="inlineStr">
        <is>
          <t>ÖRNSKÖLDSVIK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20885-2021</t>
        </is>
      </c>
      <c r="B949" s="1" t="n">
        <v>44319</v>
      </c>
      <c r="C949" s="1" t="n">
        <v>45260</v>
      </c>
      <c r="D949" t="inlineStr">
        <is>
          <t>VÄSTERNORRLANDS LÄN</t>
        </is>
      </c>
      <c r="E949" t="inlineStr">
        <is>
          <t>ÖRNSKÖLDSVIK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20902-2021</t>
        </is>
      </c>
      <c r="B950" s="1" t="n">
        <v>44319</v>
      </c>
      <c r="C950" s="1" t="n">
        <v>45260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21119-2021</t>
        </is>
      </c>
      <c r="B951" s="1" t="n">
        <v>44320</v>
      </c>
      <c r="C951" s="1" t="n">
        <v>45260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21303-2021</t>
        </is>
      </c>
      <c r="B952" s="1" t="n">
        <v>44320</v>
      </c>
      <c r="C952" s="1" t="n">
        <v>45260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21301-2021</t>
        </is>
      </c>
      <c r="B953" s="1" t="n">
        <v>44320</v>
      </c>
      <c r="C953" s="1" t="n">
        <v>45260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21304-2021</t>
        </is>
      </c>
      <c r="B954" s="1" t="n">
        <v>44320</v>
      </c>
      <c r="C954" s="1" t="n">
        <v>45260</v>
      </c>
      <c r="D954" t="inlineStr">
        <is>
          <t>VÄSTERNORRLANDS LÄN</t>
        </is>
      </c>
      <c r="E954" t="inlineStr">
        <is>
          <t>ÖRNSKÖLDSVIK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21373-2021</t>
        </is>
      </c>
      <c r="B955" s="1" t="n">
        <v>44321</v>
      </c>
      <c r="C955" s="1" t="n">
        <v>45260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21434-2021</t>
        </is>
      </c>
      <c r="B956" s="1" t="n">
        <v>44321</v>
      </c>
      <c r="C956" s="1" t="n">
        <v>45260</v>
      </c>
      <c r="D956" t="inlineStr">
        <is>
          <t>VÄSTERNORRLANDS LÄN</t>
        </is>
      </c>
      <c r="E956" t="inlineStr">
        <is>
          <t>ÖRNSKÖLDSVIK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21630-2021</t>
        </is>
      </c>
      <c r="B957" s="1" t="n">
        <v>44321</v>
      </c>
      <c r="C957" s="1" t="n">
        <v>45260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22351-2021</t>
        </is>
      </c>
      <c r="B958" s="1" t="n">
        <v>44326</v>
      </c>
      <c r="C958" s="1" t="n">
        <v>45260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22344-2021</t>
        </is>
      </c>
      <c r="B959" s="1" t="n">
        <v>44326</v>
      </c>
      <c r="C959" s="1" t="n">
        <v>45260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22254-2021</t>
        </is>
      </c>
      <c r="B960" s="1" t="n">
        <v>44326</v>
      </c>
      <c r="C960" s="1" t="n">
        <v>45260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22253-2021</t>
        </is>
      </c>
      <c r="B961" s="1" t="n">
        <v>44326</v>
      </c>
      <c r="C961" s="1" t="n">
        <v>45260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22928-2021</t>
        </is>
      </c>
      <c r="B962" s="1" t="n">
        <v>44326</v>
      </c>
      <c r="C962" s="1" t="n">
        <v>45260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22806-2021</t>
        </is>
      </c>
      <c r="B963" s="1" t="n">
        <v>44327</v>
      </c>
      <c r="C963" s="1" t="n">
        <v>45260</v>
      </c>
      <c r="D963" t="inlineStr">
        <is>
          <t>VÄSTERNORRLANDS LÄN</t>
        </is>
      </c>
      <c r="E963" t="inlineStr">
        <is>
          <t>ÖRNSKÖLDSVIK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23002-2021</t>
        </is>
      </c>
      <c r="B964" s="1" t="n">
        <v>44328</v>
      </c>
      <c r="C964" s="1" t="n">
        <v>45260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23001-2021</t>
        </is>
      </c>
      <c r="B965" s="1" t="n">
        <v>44328</v>
      </c>
      <c r="C965" s="1" t="n">
        <v>45260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23000-2021</t>
        </is>
      </c>
      <c r="B966" s="1" t="n">
        <v>44328</v>
      </c>
      <c r="C966" s="1" t="n">
        <v>45260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23207-2021</t>
        </is>
      </c>
      <c r="B967" s="1" t="n">
        <v>44333</v>
      </c>
      <c r="C967" s="1" t="n">
        <v>45260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23574-2021</t>
        </is>
      </c>
      <c r="B968" s="1" t="n">
        <v>44334</v>
      </c>
      <c r="C968" s="1" t="n">
        <v>45260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23673-2021</t>
        </is>
      </c>
      <c r="B969" s="1" t="n">
        <v>44334</v>
      </c>
      <c r="C969" s="1" t="n">
        <v>45260</v>
      </c>
      <c r="D969" t="inlineStr">
        <is>
          <t>VÄSTERNORRLANDS LÄN</t>
        </is>
      </c>
      <c r="E969" t="inlineStr">
        <is>
          <t>ÖRNSKÖLDSVIK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23706-2021</t>
        </is>
      </c>
      <c r="B970" s="1" t="n">
        <v>44334</v>
      </c>
      <c r="C970" s="1" t="n">
        <v>45260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23882-2021</t>
        </is>
      </c>
      <c r="B971" s="1" t="n">
        <v>44335</v>
      </c>
      <c r="C971" s="1" t="n">
        <v>45260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23950-2021</t>
        </is>
      </c>
      <c r="B972" s="1" t="n">
        <v>44335</v>
      </c>
      <c r="C972" s="1" t="n">
        <v>45260</v>
      </c>
      <c r="D972" t="inlineStr">
        <is>
          <t>VÄSTERNORRLANDS LÄN</t>
        </is>
      </c>
      <c r="E972" t="inlineStr">
        <is>
          <t>ÖRNSKÖLDSVIK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23972-2021</t>
        </is>
      </c>
      <c r="B973" s="1" t="n">
        <v>44335</v>
      </c>
      <c r="C973" s="1" t="n">
        <v>45260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24164-2021</t>
        </is>
      </c>
      <c r="B974" s="1" t="n">
        <v>44336</v>
      </c>
      <c r="C974" s="1" t="n">
        <v>45260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24277-2021</t>
        </is>
      </c>
      <c r="B975" s="1" t="n">
        <v>44336</v>
      </c>
      <c r="C975" s="1" t="n">
        <v>45260</v>
      </c>
      <c r="D975" t="inlineStr">
        <is>
          <t>VÄSTERNORRLANDS LÄN</t>
        </is>
      </c>
      <c r="E975" t="inlineStr">
        <is>
          <t>ÖRNSKÖLDSVIK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24309-2021</t>
        </is>
      </c>
      <c r="B976" s="1" t="n">
        <v>44336</v>
      </c>
      <c r="C976" s="1" t="n">
        <v>45260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24311-2021</t>
        </is>
      </c>
      <c r="B977" s="1" t="n">
        <v>44336</v>
      </c>
      <c r="C977" s="1" t="n">
        <v>45260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24293-2021</t>
        </is>
      </c>
      <c r="B978" s="1" t="n">
        <v>44337</v>
      </c>
      <c r="C978" s="1" t="n">
        <v>45260</v>
      </c>
      <c r="D978" t="inlineStr">
        <is>
          <t>VÄSTERNORRLANDS LÄN</t>
        </is>
      </c>
      <c r="E978" t="inlineStr">
        <is>
          <t>ÖRNSKÖLDSVIK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24850-2021</t>
        </is>
      </c>
      <c r="B979" s="1" t="n">
        <v>44340</v>
      </c>
      <c r="C979" s="1" t="n">
        <v>45260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25093-2021</t>
        </is>
      </c>
      <c r="B980" s="1" t="n">
        <v>44341</v>
      </c>
      <c r="C980" s="1" t="n">
        <v>45260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25045-2021</t>
        </is>
      </c>
      <c r="B981" s="1" t="n">
        <v>44341</v>
      </c>
      <c r="C981" s="1" t="n">
        <v>45260</v>
      </c>
      <c r="D981" t="inlineStr">
        <is>
          <t>VÄSTERNORRLANDS LÄN</t>
        </is>
      </c>
      <c r="E981" t="inlineStr">
        <is>
          <t>ÖRNSKÖLDSVIK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25025-2021</t>
        </is>
      </c>
      <c r="B982" s="1" t="n">
        <v>44341</v>
      </c>
      <c r="C982" s="1" t="n">
        <v>45260</v>
      </c>
      <c r="D982" t="inlineStr">
        <is>
          <t>VÄSTERNORRLANDS LÄN</t>
        </is>
      </c>
      <c r="E982" t="inlineStr">
        <is>
          <t>ÖRNSKÖLDSVIK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25089-2021</t>
        </is>
      </c>
      <c r="B983" s="1" t="n">
        <v>44341</v>
      </c>
      <c r="C983" s="1" t="n">
        <v>45260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25091-2021</t>
        </is>
      </c>
      <c r="B984" s="1" t="n">
        <v>44341</v>
      </c>
      <c r="C984" s="1" t="n">
        <v>45260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25080-2021</t>
        </is>
      </c>
      <c r="B985" s="1" t="n">
        <v>44341</v>
      </c>
      <c r="C985" s="1" t="n">
        <v>45260</v>
      </c>
      <c r="D985" t="inlineStr">
        <is>
          <t>VÄSTERNORRLANDS LÄN</t>
        </is>
      </c>
      <c r="E985" t="inlineStr">
        <is>
          <t>ÖRNSKÖLDSVIK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25095-2021</t>
        </is>
      </c>
      <c r="B986" s="1" t="n">
        <v>44341</v>
      </c>
      <c r="C986" s="1" t="n">
        <v>45260</v>
      </c>
      <c r="D986" t="inlineStr">
        <is>
          <t>VÄSTERNORRLANDS LÄN</t>
        </is>
      </c>
      <c r="E986" t="inlineStr">
        <is>
          <t>ÖRNSKÖLDSVIK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25171-2021</t>
        </is>
      </c>
      <c r="B987" s="1" t="n">
        <v>44341</v>
      </c>
      <c r="C987" s="1" t="n">
        <v>45260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25178-2021</t>
        </is>
      </c>
      <c r="B988" s="1" t="n">
        <v>44342</v>
      </c>
      <c r="C988" s="1" t="n">
        <v>45260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25295-2021</t>
        </is>
      </c>
      <c r="B989" s="1" t="n">
        <v>44342</v>
      </c>
      <c r="C989" s="1" t="n">
        <v>45260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25321-2021</t>
        </is>
      </c>
      <c r="B990" s="1" t="n">
        <v>44342</v>
      </c>
      <c r="C990" s="1" t="n">
        <v>45260</v>
      </c>
      <c r="D990" t="inlineStr">
        <is>
          <t>VÄSTERNORRLANDS LÄN</t>
        </is>
      </c>
      <c r="E990" t="inlineStr">
        <is>
          <t>ÖRNSKÖLDSVIK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25560-2021</t>
        </is>
      </c>
      <c r="B991" s="1" t="n">
        <v>44342</v>
      </c>
      <c r="C991" s="1" t="n">
        <v>45260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25449-2021</t>
        </is>
      </c>
      <c r="B992" s="1" t="n">
        <v>44342</v>
      </c>
      <c r="C992" s="1" t="n">
        <v>45260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25489-2021</t>
        </is>
      </c>
      <c r="B993" s="1" t="n">
        <v>44342</v>
      </c>
      <c r="C993" s="1" t="n">
        <v>45260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25609-2021</t>
        </is>
      </c>
      <c r="B994" s="1" t="n">
        <v>44343</v>
      </c>
      <c r="C994" s="1" t="n">
        <v>45260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25623-2021</t>
        </is>
      </c>
      <c r="B995" s="1" t="n">
        <v>44343</v>
      </c>
      <c r="C995" s="1" t="n">
        <v>45260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25705-2021</t>
        </is>
      </c>
      <c r="B996" s="1" t="n">
        <v>44343</v>
      </c>
      <c r="C996" s="1" t="n">
        <v>45260</v>
      </c>
      <c r="D996" t="inlineStr">
        <is>
          <t>VÄSTERNORRLANDS LÄN</t>
        </is>
      </c>
      <c r="E996" t="inlineStr">
        <is>
          <t>ÖRNSKÖLDSVIK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25615-2021</t>
        </is>
      </c>
      <c r="B997" s="1" t="n">
        <v>44343</v>
      </c>
      <c r="C997" s="1" t="n">
        <v>45260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25672-2021</t>
        </is>
      </c>
      <c r="B998" s="1" t="n">
        <v>44343</v>
      </c>
      <c r="C998" s="1" t="n">
        <v>45260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25921-2021</t>
        </is>
      </c>
      <c r="B999" s="1" t="n">
        <v>44344</v>
      </c>
      <c r="C999" s="1" t="n">
        <v>45260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26021-2021</t>
        </is>
      </c>
      <c r="B1000" s="1" t="n">
        <v>44344</v>
      </c>
      <c r="C1000" s="1" t="n">
        <v>45260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26175-2021</t>
        </is>
      </c>
      <c r="B1001" s="1" t="n">
        <v>44344</v>
      </c>
      <c r="C1001" s="1" t="n">
        <v>45260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26190-2021</t>
        </is>
      </c>
      <c r="B1002" s="1" t="n">
        <v>44347</v>
      </c>
      <c r="C1002" s="1" t="n">
        <v>45260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26313-2021</t>
        </is>
      </c>
      <c r="B1003" s="1" t="n">
        <v>44347</v>
      </c>
      <c r="C1003" s="1" t="n">
        <v>45260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26349-2021</t>
        </is>
      </c>
      <c r="B1004" s="1" t="n">
        <v>44347</v>
      </c>
      <c r="C1004" s="1" t="n">
        <v>45260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26387-2021</t>
        </is>
      </c>
      <c r="B1005" s="1" t="n">
        <v>44347</v>
      </c>
      <c r="C1005" s="1" t="n">
        <v>45260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26481-2021</t>
        </is>
      </c>
      <c r="B1006" s="1" t="n">
        <v>44347</v>
      </c>
      <c r="C1006" s="1" t="n">
        <v>45260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26471-2021</t>
        </is>
      </c>
      <c r="B1007" s="1" t="n">
        <v>44348</v>
      </c>
      <c r="C1007" s="1" t="n">
        <v>45260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26849-2021</t>
        </is>
      </c>
      <c r="B1008" s="1" t="n">
        <v>44349</v>
      </c>
      <c r="C1008" s="1" t="n">
        <v>45260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27076-2021</t>
        </is>
      </c>
      <c r="B1009" s="1" t="n">
        <v>44350</v>
      </c>
      <c r="C1009" s="1" t="n">
        <v>45260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27297-2021</t>
        </is>
      </c>
      <c r="B1010" s="1" t="n">
        <v>44351</v>
      </c>
      <c r="C1010" s="1" t="n">
        <v>45260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27407-2021</t>
        </is>
      </c>
      <c r="B1011" s="1" t="n">
        <v>44351</v>
      </c>
      <c r="C1011" s="1" t="n">
        <v>45260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27398-2021</t>
        </is>
      </c>
      <c r="B1012" s="1" t="n">
        <v>44351</v>
      </c>
      <c r="C1012" s="1" t="n">
        <v>45260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27490-2021</t>
        </is>
      </c>
      <c r="B1013" s="1" t="n">
        <v>44351</v>
      </c>
      <c r="C1013" s="1" t="n">
        <v>45260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27519-2021</t>
        </is>
      </c>
      <c r="B1014" s="1" t="n">
        <v>44351</v>
      </c>
      <c r="C1014" s="1" t="n">
        <v>45260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27633-2021</t>
        </is>
      </c>
      <c r="B1015" s="1" t="n">
        <v>44351</v>
      </c>
      <c r="C1015" s="1" t="n">
        <v>45260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27522-2021</t>
        </is>
      </c>
      <c r="B1016" s="1" t="n">
        <v>44351</v>
      </c>
      <c r="C1016" s="1" t="n">
        <v>45260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27610-2021</t>
        </is>
      </c>
      <c r="B1017" s="1" t="n">
        <v>44354</v>
      </c>
      <c r="C1017" s="1" t="n">
        <v>45260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27842-2021</t>
        </is>
      </c>
      <c r="B1018" s="1" t="n">
        <v>44354</v>
      </c>
      <c r="C1018" s="1" t="n">
        <v>45260</v>
      </c>
      <c r="D1018" t="inlineStr">
        <is>
          <t>VÄSTERNORRLANDS LÄN</t>
        </is>
      </c>
      <c r="E1018" t="inlineStr">
        <is>
          <t>ÖRNSKÖLDSVIK</t>
        </is>
      </c>
      <c r="G1018" t="n">
        <v>21.3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28223-2021</t>
        </is>
      </c>
      <c r="B1019" s="1" t="n">
        <v>44355</v>
      </c>
      <c r="C1019" s="1" t="n">
        <v>45260</v>
      </c>
      <c r="D1019" t="inlineStr">
        <is>
          <t>VÄSTERNORRLANDS LÄN</t>
        </is>
      </c>
      <c r="E1019" t="inlineStr">
        <is>
          <t>ÖRNSKÖLDSVIK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28456-2021</t>
        </is>
      </c>
      <c r="B1020" s="1" t="n">
        <v>44356</v>
      </c>
      <c r="C1020" s="1" t="n">
        <v>45260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28564-2021</t>
        </is>
      </c>
      <c r="B1021" s="1" t="n">
        <v>44356</v>
      </c>
      <c r="C1021" s="1" t="n">
        <v>45260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28723-2021</t>
        </is>
      </c>
      <c r="B1022" s="1" t="n">
        <v>44356</v>
      </c>
      <c r="C1022" s="1" t="n">
        <v>45260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28737-2021</t>
        </is>
      </c>
      <c r="B1023" s="1" t="n">
        <v>44357</v>
      </c>
      <c r="C1023" s="1" t="n">
        <v>45260</v>
      </c>
      <c r="D1023" t="inlineStr">
        <is>
          <t>VÄSTERNORRLANDS LÄN</t>
        </is>
      </c>
      <c r="E1023" t="inlineStr">
        <is>
          <t>ÖRNSKÖLDSVIK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29012-2021</t>
        </is>
      </c>
      <c r="B1024" s="1" t="n">
        <v>44358</v>
      </c>
      <c r="C1024" s="1" t="n">
        <v>45260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29164-2021</t>
        </is>
      </c>
      <c r="B1025" s="1" t="n">
        <v>44358</v>
      </c>
      <c r="C1025" s="1" t="n">
        <v>45260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29248-2021</t>
        </is>
      </c>
      <c r="B1026" s="1" t="n">
        <v>44358</v>
      </c>
      <c r="C1026" s="1" t="n">
        <v>45260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29202-2021</t>
        </is>
      </c>
      <c r="B1027" s="1" t="n">
        <v>44359</v>
      </c>
      <c r="C1027" s="1" t="n">
        <v>45260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29425-2021</t>
        </is>
      </c>
      <c r="B1028" s="1" t="n">
        <v>44361</v>
      </c>
      <c r="C1028" s="1" t="n">
        <v>45260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29341-2021</t>
        </is>
      </c>
      <c r="B1029" s="1" t="n">
        <v>44361</v>
      </c>
      <c r="C1029" s="1" t="n">
        <v>45260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29420-2021</t>
        </is>
      </c>
      <c r="B1030" s="1" t="n">
        <v>44361</v>
      </c>
      <c r="C1030" s="1" t="n">
        <v>45260</v>
      </c>
      <c r="D1030" t="inlineStr">
        <is>
          <t>VÄSTERNORRLANDS LÄN</t>
        </is>
      </c>
      <c r="E1030" t="inlineStr">
        <is>
          <t>ÖRNSKÖLDSVIK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29519-2021</t>
        </is>
      </c>
      <c r="B1031" s="1" t="n">
        <v>44361</v>
      </c>
      <c r="C1031" s="1" t="n">
        <v>45260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29682-2021</t>
        </is>
      </c>
      <c r="B1032" s="1" t="n">
        <v>44362</v>
      </c>
      <c r="C1032" s="1" t="n">
        <v>45260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29760-2021</t>
        </is>
      </c>
      <c r="B1033" s="1" t="n">
        <v>44362</v>
      </c>
      <c r="C1033" s="1" t="n">
        <v>45260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29727-2021</t>
        </is>
      </c>
      <c r="B1034" s="1" t="n">
        <v>44362</v>
      </c>
      <c r="C1034" s="1" t="n">
        <v>45260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29852-2021</t>
        </is>
      </c>
      <c r="B1035" s="1" t="n">
        <v>44362</v>
      </c>
      <c r="C1035" s="1" t="n">
        <v>45260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29831-2021</t>
        </is>
      </c>
      <c r="B1036" s="1" t="n">
        <v>44362</v>
      </c>
      <c r="C1036" s="1" t="n">
        <v>45260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29844-2021</t>
        </is>
      </c>
      <c r="B1037" s="1" t="n">
        <v>44362</v>
      </c>
      <c r="C1037" s="1" t="n">
        <v>45260</v>
      </c>
      <c r="D1037" t="inlineStr">
        <is>
          <t>VÄSTERNORRLANDS LÄN</t>
        </is>
      </c>
      <c r="E1037" t="inlineStr">
        <is>
          <t>ÖRNSKÖLDSVIK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29853-2021</t>
        </is>
      </c>
      <c r="B1038" s="1" t="n">
        <v>44362</v>
      </c>
      <c r="C1038" s="1" t="n">
        <v>45260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29941-2021</t>
        </is>
      </c>
      <c r="B1039" s="1" t="n">
        <v>44362</v>
      </c>
      <c r="C1039" s="1" t="n">
        <v>45260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29959-2021</t>
        </is>
      </c>
      <c r="B1040" s="1" t="n">
        <v>44362</v>
      </c>
      <c r="C1040" s="1" t="n">
        <v>45260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29935-2021</t>
        </is>
      </c>
      <c r="B1041" s="1" t="n">
        <v>44362</v>
      </c>
      <c r="C1041" s="1" t="n">
        <v>45260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30064-2021</t>
        </is>
      </c>
      <c r="B1042" s="1" t="n">
        <v>44363</v>
      </c>
      <c r="C1042" s="1" t="n">
        <v>45260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30118-2021</t>
        </is>
      </c>
      <c r="B1043" s="1" t="n">
        <v>44363</v>
      </c>
      <c r="C1043" s="1" t="n">
        <v>45260</v>
      </c>
      <c r="D1043" t="inlineStr">
        <is>
          <t>VÄSTERNORRLANDS LÄN</t>
        </is>
      </c>
      <c r="E1043" t="inlineStr">
        <is>
          <t>ÖRNSKÖLDSVIK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30152-2021</t>
        </is>
      </c>
      <c r="B1044" s="1" t="n">
        <v>44363</v>
      </c>
      <c r="C1044" s="1" t="n">
        <v>45260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30282-2021</t>
        </is>
      </c>
      <c r="B1045" s="1" t="n">
        <v>44364</v>
      </c>
      <c r="C1045" s="1" t="n">
        <v>45260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30501-2021</t>
        </is>
      </c>
      <c r="B1046" s="1" t="n">
        <v>44364</v>
      </c>
      <c r="C1046" s="1" t="n">
        <v>45260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30522-2021</t>
        </is>
      </c>
      <c r="B1047" s="1" t="n">
        <v>44364</v>
      </c>
      <c r="C1047" s="1" t="n">
        <v>45260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30606-2021</t>
        </is>
      </c>
      <c r="B1048" s="1" t="n">
        <v>44364</v>
      </c>
      <c r="C1048" s="1" t="n">
        <v>45260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30604-2021</t>
        </is>
      </c>
      <c r="B1049" s="1" t="n">
        <v>44364</v>
      </c>
      <c r="C1049" s="1" t="n">
        <v>45260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30598-2021</t>
        </is>
      </c>
      <c r="B1050" s="1" t="n">
        <v>44364</v>
      </c>
      <c r="C1050" s="1" t="n">
        <v>45260</v>
      </c>
      <c r="D1050" t="inlineStr">
        <is>
          <t>VÄSTERNORRLANDS LÄN</t>
        </is>
      </c>
      <c r="E1050" t="inlineStr">
        <is>
          <t>ÖRNSKÖLDSVIK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30815-2021</t>
        </is>
      </c>
      <c r="B1051" s="1" t="n">
        <v>44365</v>
      </c>
      <c r="C1051" s="1" t="n">
        <v>45260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30837-2021</t>
        </is>
      </c>
      <c r="B1052" s="1" t="n">
        <v>44365</v>
      </c>
      <c r="C1052" s="1" t="n">
        <v>45260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31202-2021</t>
        </is>
      </c>
      <c r="B1053" s="1" t="n">
        <v>44368</v>
      </c>
      <c r="C1053" s="1" t="n">
        <v>45260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31430-2021</t>
        </is>
      </c>
      <c r="B1054" s="1" t="n">
        <v>44368</v>
      </c>
      <c r="C1054" s="1" t="n">
        <v>45260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31383-2021</t>
        </is>
      </c>
      <c r="B1055" s="1" t="n">
        <v>44369</v>
      </c>
      <c r="C1055" s="1" t="n">
        <v>45260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31824-2021</t>
        </is>
      </c>
      <c r="B1056" s="1" t="n">
        <v>44370</v>
      </c>
      <c r="C1056" s="1" t="n">
        <v>45260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31920-2021</t>
        </is>
      </c>
      <c r="B1057" s="1" t="n">
        <v>44370</v>
      </c>
      <c r="C1057" s="1" t="n">
        <v>45260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32197-2021</t>
        </is>
      </c>
      <c r="B1058" s="1" t="n">
        <v>44371</v>
      </c>
      <c r="C1058" s="1" t="n">
        <v>45260</v>
      </c>
      <c r="D1058" t="inlineStr">
        <is>
          <t>VÄSTERNORRLANDS LÄN</t>
        </is>
      </c>
      <c r="E1058" t="inlineStr">
        <is>
          <t>ÖRNSKÖLDSVIK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32860-2021</t>
        </is>
      </c>
      <c r="B1059" s="1" t="n">
        <v>44375</v>
      </c>
      <c r="C1059" s="1" t="n">
        <v>45260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32831-2021</t>
        </is>
      </c>
      <c r="B1060" s="1" t="n">
        <v>44375</v>
      </c>
      <c r="C1060" s="1" t="n">
        <v>45260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33030-2021</t>
        </is>
      </c>
      <c r="B1061" s="1" t="n">
        <v>44376</v>
      </c>
      <c r="C1061" s="1" t="n">
        <v>45260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33028-2021</t>
        </is>
      </c>
      <c r="B1062" s="1" t="n">
        <v>44376</v>
      </c>
      <c r="C1062" s="1" t="n">
        <v>45260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33121-2021</t>
        </is>
      </c>
      <c r="B1063" s="1" t="n">
        <v>44376</v>
      </c>
      <c r="C1063" s="1" t="n">
        <v>45260</v>
      </c>
      <c r="D1063" t="inlineStr">
        <is>
          <t>VÄSTERNORRLANDS LÄN</t>
        </is>
      </c>
      <c r="E1063" t="inlineStr">
        <is>
          <t>ÖRNSKÖLDSVIK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33367-2021</t>
        </is>
      </c>
      <c r="B1064" s="1" t="n">
        <v>44377</v>
      </c>
      <c r="C1064" s="1" t="n">
        <v>45260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33737-2021</t>
        </is>
      </c>
      <c r="B1065" s="1" t="n">
        <v>44377</v>
      </c>
      <c r="C1065" s="1" t="n">
        <v>45260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33657-2021</t>
        </is>
      </c>
      <c r="B1066" s="1" t="n">
        <v>44377</v>
      </c>
      <c r="C1066" s="1" t="n">
        <v>45260</v>
      </c>
      <c r="D1066" t="inlineStr">
        <is>
          <t>VÄSTERNORRLANDS LÄN</t>
        </is>
      </c>
      <c r="E1066" t="inlineStr">
        <is>
          <t>ÖRNSKÖLDSVIK</t>
        </is>
      </c>
      <c r="G1066" t="n">
        <v>25.7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33698-2021</t>
        </is>
      </c>
      <c r="B1067" s="1" t="n">
        <v>44378</v>
      </c>
      <c r="C1067" s="1" t="n">
        <v>45260</v>
      </c>
      <c r="D1067" t="inlineStr">
        <is>
          <t>VÄSTERNORRLANDS LÄN</t>
        </is>
      </c>
      <c r="E1067" t="inlineStr">
        <is>
          <t>ÖRNSKÖLDSVIK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33722-2021</t>
        </is>
      </c>
      <c r="B1068" s="1" t="n">
        <v>44378</v>
      </c>
      <c r="C1068" s="1" t="n">
        <v>45260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33748-2021</t>
        </is>
      </c>
      <c r="B1069" s="1" t="n">
        <v>44378</v>
      </c>
      <c r="C1069" s="1" t="n">
        <v>45260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33824-2021</t>
        </is>
      </c>
      <c r="B1070" s="1" t="n">
        <v>44378</v>
      </c>
      <c r="C1070" s="1" t="n">
        <v>45260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33835-2021</t>
        </is>
      </c>
      <c r="B1071" s="1" t="n">
        <v>44378</v>
      </c>
      <c r="C1071" s="1" t="n">
        <v>45260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33915-2021</t>
        </is>
      </c>
      <c r="B1072" s="1" t="n">
        <v>44378</v>
      </c>
      <c r="C1072" s="1" t="n">
        <v>45260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34002-2021</t>
        </is>
      </c>
      <c r="B1073" s="1" t="n">
        <v>44378</v>
      </c>
      <c r="C1073" s="1" t="n">
        <v>45260</v>
      </c>
      <c r="D1073" t="inlineStr">
        <is>
          <t>VÄSTERNORRLANDS LÄN</t>
        </is>
      </c>
      <c r="E1073" t="inlineStr">
        <is>
          <t>ÖRNSKÖLDSVIK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33992-2021</t>
        </is>
      </c>
      <c r="B1074" s="1" t="n">
        <v>44378</v>
      </c>
      <c r="C1074" s="1" t="n">
        <v>45260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34045-2021</t>
        </is>
      </c>
      <c r="B1075" s="1" t="n">
        <v>44379</v>
      </c>
      <c r="C1075" s="1" t="n">
        <v>45260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34126-2021</t>
        </is>
      </c>
      <c r="B1076" s="1" t="n">
        <v>44379</v>
      </c>
      <c r="C1076" s="1" t="n">
        <v>45260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34674-2021</t>
        </is>
      </c>
      <c r="B1077" s="1" t="n">
        <v>44382</v>
      </c>
      <c r="C1077" s="1" t="n">
        <v>45260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34894-2021</t>
        </is>
      </c>
      <c r="B1078" s="1" t="n">
        <v>44383</v>
      </c>
      <c r="C1078" s="1" t="n">
        <v>45260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34997-2021</t>
        </is>
      </c>
      <c r="B1079" s="1" t="n">
        <v>44383</v>
      </c>
      <c r="C1079" s="1" t="n">
        <v>45260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34981-2021</t>
        </is>
      </c>
      <c r="B1080" s="1" t="n">
        <v>44383</v>
      </c>
      <c r="C1080" s="1" t="n">
        <v>45260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35003-2021</t>
        </is>
      </c>
      <c r="B1081" s="1" t="n">
        <v>44383</v>
      </c>
      <c r="C1081" s="1" t="n">
        <v>45260</v>
      </c>
      <c r="D1081" t="inlineStr">
        <is>
          <t>VÄSTERNORRLANDS LÄN</t>
        </is>
      </c>
      <c r="E1081" t="inlineStr">
        <is>
          <t>ÖRNSKÖLDSVIK</t>
        </is>
      </c>
      <c r="G1081" t="n">
        <v>25.5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35151-2021</t>
        </is>
      </c>
      <c r="B1082" s="1" t="n">
        <v>44384</v>
      </c>
      <c r="C1082" s="1" t="n">
        <v>45260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35254-2021</t>
        </is>
      </c>
      <c r="B1083" s="1" t="n">
        <v>44384</v>
      </c>
      <c r="C1083" s="1" t="n">
        <v>45260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35448-2021</t>
        </is>
      </c>
      <c r="B1084" s="1" t="n">
        <v>44385</v>
      </c>
      <c r="C1084" s="1" t="n">
        <v>45260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36010-2021</t>
        </is>
      </c>
      <c r="B1085" s="1" t="n">
        <v>44385</v>
      </c>
      <c r="C1085" s="1" t="n">
        <v>45260</v>
      </c>
      <c r="D1085" t="inlineStr">
        <is>
          <t>VÄSTERNORRLANDS LÄN</t>
        </is>
      </c>
      <c r="E1085" t="inlineStr">
        <is>
          <t>ÖRNSKÖLDSVIK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36034-2021</t>
        </is>
      </c>
      <c r="B1086" s="1" t="n">
        <v>44385</v>
      </c>
      <c r="C1086" s="1" t="n">
        <v>45260</v>
      </c>
      <c r="D1086" t="inlineStr">
        <is>
          <t>VÄSTERNORRLANDS LÄN</t>
        </is>
      </c>
      <c r="E1086" t="inlineStr">
        <is>
          <t>ÖRNSKÖLDSVIK</t>
        </is>
      </c>
      <c r="G1086" t="n">
        <v>15.6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35870-2021</t>
        </is>
      </c>
      <c r="B1087" s="1" t="n">
        <v>44386</v>
      </c>
      <c r="C1087" s="1" t="n">
        <v>45260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36070-2021</t>
        </is>
      </c>
      <c r="B1088" s="1" t="n">
        <v>44386</v>
      </c>
      <c r="C1088" s="1" t="n">
        <v>45260</v>
      </c>
      <c r="D1088" t="inlineStr">
        <is>
          <t>VÄSTERNORRLANDS LÄN</t>
        </is>
      </c>
      <c r="E1088" t="inlineStr">
        <is>
          <t>ÖRNSKÖLDSVIK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36335-2021</t>
        </is>
      </c>
      <c r="B1089" s="1" t="n">
        <v>44390</v>
      </c>
      <c r="C1089" s="1" t="n">
        <v>45260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36755-2021</t>
        </is>
      </c>
      <c r="B1090" s="1" t="n">
        <v>44392</v>
      </c>
      <c r="C1090" s="1" t="n">
        <v>45260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37618-2021</t>
        </is>
      </c>
      <c r="B1091" s="1" t="n">
        <v>44399</v>
      </c>
      <c r="C1091" s="1" t="n">
        <v>45260</v>
      </c>
      <c r="D1091" t="inlineStr">
        <is>
          <t>VÄSTERNORRLANDS LÄN</t>
        </is>
      </c>
      <c r="E1091" t="inlineStr">
        <is>
          <t>ÖRNSKÖLDSVIK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37714-2021</t>
        </is>
      </c>
      <c r="B1092" s="1" t="n">
        <v>44400</v>
      </c>
      <c r="C1092" s="1" t="n">
        <v>45260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37741-2021</t>
        </is>
      </c>
      <c r="B1093" s="1" t="n">
        <v>44400</v>
      </c>
      <c r="C1093" s="1" t="n">
        <v>45260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37912-2021</t>
        </is>
      </c>
      <c r="B1094" s="1" t="n">
        <v>44403</v>
      </c>
      <c r="C1094" s="1" t="n">
        <v>45260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38087-2021</t>
        </is>
      </c>
      <c r="B1095" s="1" t="n">
        <v>44404</v>
      </c>
      <c r="C1095" s="1" t="n">
        <v>45260</v>
      </c>
      <c r="D1095" t="inlineStr">
        <is>
          <t>VÄSTERNORRLANDS LÄN</t>
        </is>
      </c>
      <c r="E1095" t="inlineStr">
        <is>
          <t>ÖRNSKÖLDSVIK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38157-2021</t>
        </is>
      </c>
      <c r="B1096" s="1" t="n">
        <v>44405</v>
      </c>
      <c r="C1096" s="1" t="n">
        <v>45260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38335-2021</t>
        </is>
      </c>
      <c r="B1097" s="1" t="n">
        <v>44406</v>
      </c>
      <c r="C1097" s="1" t="n">
        <v>45260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38809-2021</t>
        </is>
      </c>
      <c r="B1098" s="1" t="n">
        <v>44410</v>
      </c>
      <c r="C1098" s="1" t="n">
        <v>45260</v>
      </c>
      <c r="D1098" t="inlineStr">
        <is>
          <t>VÄSTERNORRLANDS LÄN</t>
        </is>
      </c>
      <c r="E1098" t="inlineStr">
        <is>
          <t>ÖRNSKÖLDSVIK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38818-2021</t>
        </is>
      </c>
      <c r="B1099" s="1" t="n">
        <v>44411</v>
      </c>
      <c r="C1099" s="1" t="n">
        <v>45260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39041-2021</t>
        </is>
      </c>
      <c r="B1100" s="1" t="n">
        <v>44412</v>
      </c>
      <c r="C1100" s="1" t="n">
        <v>45260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39585-2021</t>
        </is>
      </c>
      <c r="B1101" s="1" t="n">
        <v>44417</v>
      </c>
      <c r="C1101" s="1" t="n">
        <v>45260</v>
      </c>
      <c r="D1101" t="inlineStr">
        <is>
          <t>VÄSTERNORRLANDS LÄN</t>
        </is>
      </c>
      <c r="E1101" t="inlineStr">
        <is>
          <t>ÖRNSKÖLDSVIK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39737-2021</t>
        </is>
      </c>
      <c r="B1102" s="1" t="n">
        <v>44417</v>
      </c>
      <c r="C1102" s="1" t="n">
        <v>45260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39716-2021</t>
        </is>
      </c>
      <c r="B1103" s="1" t="n">
        <v>44417</v>
      </c>
      <c r="C1103" s="1" t="n">
        <v>45260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39769-2021</t>
        </is>
      </c>
      <c r="B1104" s="1" t="n">
        <v>44417</v>
      </c>
      <c r="C1104" s="1" t="n">
        <v>45260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39779-2021</t>
        </is>
      </c>
      <c r="B1105" s="1" t="n">
        <v>44417</v>
      </c>
      <c r="C1105" s="1" t="n">
        <v>45260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39873-2021</t>
        </is>
      </c>
      <c r="B1106" s="1" t="n">
        <v>44417</v>
      </c>
      <c r="C1106" s="1" t="n">
        <v>45260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39879-2021</t>
        </is>
      </c>
      <c r="B1107" s="1" t="n">
        <v>44417</v>
      </c>
      <c r="C1107" s="1" t="n">
        <v>45260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40118-2021</t>
        </is>
      </c>
      <c r="B1108" s="1" t="n">
        <v>44418</v>
      </c>
      <c r="C1108" s="1" t="n">
        <v>45260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40049-2021</t>
        </is>
      </c>
      <c r="B1109" s="1" t="n">
        <v>44418</v>
      </c>
      <c r="C1109" s="1" t="n">
        <v>45260</v>
      </c>
      <c r="D1109" t="inlineStr">
        <is>
          <t>VÄSTERNORRLANDS LÄN</t>
        </is>
      </c>
      <c r="E1109" t="inlineStr">
        <is>
          <t>ÖRNSKÖLDSVIK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40119-2021</t>
        </is>
      </c>
      <c r="B1110" s="1" t="n">
        <v>44418</v>
      </c>
      <c r="C1110" s="1" t="n">
        <v>45260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40111-2021</t>
        </is>
      </c>
      <c r="B1111" s="1" t="n">
        <v>44418</v>
      </c>
      <c r="C1111" s="1" t="n">
        <v>45260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40175-2021</t>
        </is>
      </c>
      <c r="B1112" s="1" t="n">
        <v>44418</v>
      </c>
      <c r="C1112" s="1" t="n">
        <v>45260</v>
      </c>
      <c r="D1112" t="inlineStr">
        <is>
          <t>VÄSTERNORRLANDS LÄN</t>
        </is>
      </c>
      <c r="E1112" t="inlineStr">
        <is>
          <t>ÖRNSKÖLDSVIK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40244-2021</t>
        </is>
      </c>
      <c r="B1113" s="1" t="n">
        <v>44419</v>
      </c>
      <c r="C1113" s="1" t="n">
        <v>45260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40307-2021</t>
        </is>
      </c>
      <c r="B1114" s="1" t="n">
        <v>44419</v>
      </c>
      <c r="C1114" s="1" t="n">
        <v>45260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40215-2021</t>
        </is>
      </c>
      <c r="B1115" s="1" t="n">
        <v>44419</v>
      </c>
      <c r="C1115" s="1" t="n">
        <v>45260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40247-2021</t>
        </is>
      </c>
      <c r="B1116" s="1" t="n">
        <v>44419</v>
      </c>
      <c r="C1116" s="1" t="n">
        <v>45260</v>
      </c>
      <c r="D1116" t="inlineStr">
        <is>
          <t>VÄSTERNORRLANDS LÄN</t>
        </is>
      </c>
      <c r="E1116" t="inlineStr">
        <is>
          <t>ÖRNSKÖLDSVIK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40367-2021</t>
        </is>
      </c>
      <c r="B1117" s="1" t="n">
        <v>44419</v>
      </c>
      <c r="C1117" s="1" t="n">
        <v>45260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40371-2021</t>
        </is>
      </c>
      <c r="B1118" s="1" t="n">
        <v>44419</v>
      </c>
      <c r="C1118" s="1" t="n">
        <v>45260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40559-2021</t>
        </is>
      </c>
      <c r="B1119" s="1" t="n">
        <v>44420</v>
      </c>
      <c r="C1119" s="1" t="n">
        <v>45260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40572-2021</t>
        </is>
      </c>
      <c r="B1120" s="1" t="n">
        <v>44420</v>
      </c>
      <c r="C1120" s="1" t="n">
        <v>45260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40742-2021</t>
        </is>
      </c>
      <c r="B1121" s="1" t="n">
        <v>44420</v>
      </c>
      <c r="C1121" s="1" t="n">
        <v>45260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41166-2021</t>
        </is>
      </c>
      <c r="B1122" s="1" t="n">
        <v>44421</v>
      </c>
      <c r="C1122" s="1" t="n">
        <v>45260</v>
      </c>
      <c r="D1122" t="inlineStr">
        <is>
          <t>VÄSTERNORRLANDS LÄN</t>
        </is>
      </c>
      <c r="E1122" t="inlineStr">
        <is>
          <t>ÖRNSKÖLDSVIK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41082-2021</t>
        </is>
      </c>
      <c r="B1123" s="1" t="n">
        <v>44422</v>
      </c>
      <c r="C1123" s="1" t="n">
        <v>45260</v>
      </c>
      <c r="D1123" t="inlineStr">
        <is>
          <t>VÄSTERNORRLANDS LÄN</t>
        </is>
      </c>
      <c r="E1123" t="inlineStr">
        <is>
          <t>ÖRNSKÖLDSVIK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41157-2021</t>
        </is>
      </c>
      <c r="B1124" s="1" t="n">
        <v>44424</v>
      </c>
      <c r="C1124" s="1" t="n">
        <v>45260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41254-2021</t>
        </is>
      </c>
      <c r="B1125" s="1" t="n">
        <v>44424</v>
      </c>
      <c r="C1125" s="1" t="n">
        <v>45260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41267-2021</t>
        </is>
      </c>
      <c r="B1126" s="1" t="n">
        <v>44424</v>
      </c>
      <c r="C1126" s="1" t="n">
        <v>45260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41208-2021</t>
        </is>
      </c>
      <c r="B1127" s="1" t="n">
        <v>44424</v>
      </c>
      <c r="C1127" s="1" t="n">
        <v>45260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41374-2021</t>
        </is>
      </c>
      <c r="B1128" s="1" t="n">
        <v>44424</v>
      </c>
      <c r="C1128" s="1" t="n">
        <v>45260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41392-2021</t>
        </is>
      </c>
      <c r="B1129" s="1" t="n">
        <v>44424</v>
      </c>
      <c r="C1129" s="1" t="n">
        <v>45260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41515-2021</t>
        </is>
      </c>
      <c r="B1130" s="1" t="n">
        <v>44424</v>
      </c>
      <c r="C1130" s="1" t="n">
        <v>45260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41601-2021</t>
        </is>
      </c>
      <c r="B1131" s="1" t="n">
        <v>44425</v>
      </c>
      <c r="C1131" s="1" t="n">
        <v>45260</v>
      </c>
      <c r="D1131" t="inlineStr">
        <is>
          <t>VÄSTERNORRLANDS LÄN</t>
        </is>
      </c>
      <c r="E1131" t="inlineStr">
        <is>
          <t>ÖRNSKÖLDSVIK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41614-2021</t>
        </is>
      </c>
      <c r="B1132" s="1" t="n">
        <v>44425</v>
      </c>
      <c r="C1132" s="1" t="n">
        <v>45260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41918-2021</t>
        </is>
      </c>
      <c r="B1133" s="1" t="n">
        <v>44426</v>
      </c>
      <c r="C1133" s="1" t="n">
        <v>45260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42042-2021</t>
        </is>
      </c>
      <c r="B1134" s="1" t="n">
        <v>44426</v>
      </c>
      <c r="C1134" s="1" t="n">
        <v>45260</v>
      </c>
      <c r="D1134" t="inlineStr">
        <is>
          <t>VÄSTERNORRLANDS LÄN</t>
        </is>
      </c>
      <c r="E1134" t="inlineStr">
        <is>
          <t>ÖRNSKÖLDSVIK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42051-2021</t>
        </is>
      </c>
      <c r="B1135" s="1" t="n">
        <v>44426</v>
      </c>
      <c r="C1135" s="1" t="n">
        <v>45260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42015-2021</t>
        </is>
      </c>
      <c r="B1136" s="1" t="n">
        <v>44426</v>
      </c>
      <c r="C1136" s="1" t="n">
        <v>45260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42094-2021</t>
        </is>
      </c>
      <c r="B1137" s="1" t="n">
        <v>44426</v>
      </c>
      <c r="C1137" s="1" t="n">
        <v>45260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42017-2021</t>
        </is>
      </c>
      <c r="B1138" s="1" t="n">
        <v>44426</v>
      </c>
      <c r="C1138" s="1" t="n">
        <v>45260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42101-2021</t>
        </is>
      </c>
      <c r="B1139" s="1" t="n">
        <v>44426</v>
      </c>
      <c r="C1139" s="1" t="n">
        <v>45260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42275-2021</t>
        </is>
      </c>
      <c r="B1140" s="1" t="n">
        <v>44426</v>
      </c>
      <c r="C1140" s="1" t="n">
        <v>45260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42319-2021</t>
        </is>
      </c>
      <c r="B1141" s="1" t="n">
        <v>44427</v>
      </c>
      <c r="C1141" s="1" t="n">
        <v>45260</v>
      </c>
      <c r="D1141" t="inlineStr">
        <is>
          <t>VÄSTERNORRLANDS LÄN</t>
        </is>
      </c>
      <c r="E1141" t="inlineStr">
        <is>
          <t>ÖRNSKÖLDSVIK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42351-2021</t>
        </is>
      </c>
      <c r="B1142" s="1" t="n">
        <v>44427</v>
      </c>
      <c r="C1142" s="1" t="n">
        <v>45260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42339-2021</t>
        </is>
      </c>
      <c r="B1143" s="1" t="n">
        <v>44427</v>
      </c>
      <c r="C1143" s="1" t="n">
        <v>45260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42354-2021</t>
        </is>
      </c>
      <c r="B1144" s="1" t="n">
        <v>44427</v>
      </c>
      <c r="C1144" s="1" t="n">
        <v>45260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42365-2021</t>
        </is>
      </c>
      <c r="B1145" s="1" t="n">
        <v>44427</v>
      </c>
      <c r="C1145" s="1" t="n">
        <v>45260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42344-2021</t>
        </is>
      </c>
      <c r="B1146" s="1" t="n">
        <v>44427</v>
      </c>
      <c r="C1146" s="1" t="n">
        <v>45260</v>
      </c>
      <c r="D1146" t="inlineStr">
        <is>
          <t>VÄSTERNORRLANDS LÄN</t>
        </is>
      </c>
      <c r="E1146" t="inlineStr">
        <is>
          <t>ÖRNSKÖLDSVIK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42356-2021</t>
        </is>
      </c>
      <c r="B1147" s="1" t="n">
        <v>44427</v>
      </c>
      <c r="C1147" s="1" t="n">
        <v>45260</v>
      </c>
      <c r="D1147" t="inlineStr">
        <is>
          <t>VÄSTERNORRLANDS LÄN</t>
        </is>
      </c>
      <c r="E1147" t="inlineStr">
        <is>
          <t>ÖRNSKÖLDSVIK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42368-2021</t>
        </is>
      </c>
      <c r="B1148" s="1" t="n">
        <v>44427</v>
      </c>
      <c r="C1148" s="1" t="n">
        <v>45260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42628-2021</t>
        </is>
      </c>
      <c r="B1149" s="1" t="n">
        <v>44428</v>
      </c>
      <c r="C1149" s="1" t="n">
        <v>45260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42632-2021</t>
        </is>
      </c>
      <c r="B1150" s="1" t="n">
        <v>44428</v>
      </c>
      <c r="C1150" s="1" t="n">
        <v>45260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42739-2021</t>
        </is>
      </c>
      <c r="B1151" s="1" t="n">
        <v>44428</v>
      </c>
      <c r="C1151" s="1" t="n">
        <v>45260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42744-2021</t>
        </is>
      </c>
      <c r="B1152" s="1" t="n">
        <v>44428</v>
      </c>
      <c r="C1152" s="1" t="n">
        <v>45260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43104-2021</t>
        </is>
      </c>
      <c r="B1153" s="1" t="n">
        <v>44431</v>
      </c>
      <c r="C1153" s="1" t="n">
        <v>45260</v>
      </c>
      <c r="D1153" t="inlineStr">
        <is>
          <t>VÄSTERNORRLANDS LÄN</t>
        </is>
      </c>
      <c r="E1153" t="inlineStr">
        <is>
          <t>ÖRNSKÖLDSVIK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43138-2021</t>
        </is>
      </c>
      <c r="B1154" s="1" t="n">
        <v>44431</v>
      </c>
      <c r="C1154" s="1" t="n">
        <v>45260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43227-2021</t>
        </is>
      </c>
      <c r="B1155" s="1" t="n">
        <v>44432</v>
      </c>
      <c r="C1155" s="1" t="n">
        <v>45260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43329-2021</t>
        </is>
      </c>
      <c r="B1156" s="1" t="n">
        <v>44432</v>
      </c>
      <c r="C1156" s="1" t="n">
        <v>45260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43323-2021</t>
        </is>
      </c>
      <c r="B1157" s="1" t="n">
        <v>44432</v>
      </c>
      <c r="C1157" s="1" t="n">
        <v>45260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43360-2021</t>
        </is>
      </c>
      <c r="B1158" s="1" t="n">
        <v>44432</v>
      </c>
      <c r="C1158" s="1" t="n">
        <v>45260</v>
      </c>
      <c r="D1158" t="inlineStr">
        <is>
          <t>VÄSTERNORRLANDS LÄN</t>
        </is>
      </c>
      <c r="E1158" t="inlineStr">
        <is>
          <t>ÖRNSKÖLDSVIK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43413-2021</t>
        </is>
      </c>
      <c r="B1159" s="1" t="n">
        <v>44432</v>
      </c>
      <c r="C1159" s="1" t="n">
        <v>45260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43346-2021</t>
        </is>
      </c>
      <c r="B1160" s="1" t="n">
        <v>44432</v>
      </c>
      <c r="C1160" s="1" t="n">
        <v>45260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43424-2021</t>
        </is>
      </c>
      <c r="B1161" s="1" t="n">
        <v>44432</v>
      </c>
      <c r="C1161" s="1" t="n">
        <v>45260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43443-2021</t>
        </is>
      </c>
      <c r="B1162" s="1" t="n">
        <v>44432</v>
      </c>
      <c r="C1162" s="1" t="n">
        <v>45260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43370-2021</t>
        </is>
      </c>
      <c r="B1163" s="1" t="n">
        <v>44432</v>
      </c>
      <c r="C1163" s="1" t="n">
        <v>45260</v>
      </c>
      <c r="D1163" t="inlineStr">
        <is>
          <t>VÄSTERNORRLANDS LÄN</t>
        </is>
      </c>
      <c r="E1163" t="inlineStr">
        <is>
          <t>ÖRNSKÖLDSVIK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44259-2021</t>
        </is>
      </c>
      <c r="B1164" s="1" t="n">
        <v>44434</v>
      </c>
      <c r="C1164" s="1" t="n">
        <v>45260</v>
      </c>
      <c r="D1164" t="inlineStr">
        <is>
          <t>VÄSTERNORRLANDS LÄN</t>
        </is>
      </c>
      <c r="E1164" t="inlineStr">
        <is>
          <t>ÖRNSKÖLDSVIK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44437-2021</t>
        </is>
      </c>
      <c r="B1165" s="1" t="n">
        <v>44435</v>
      </c>
      <c r="C1165" s="1" t="n">
        <v>45260</v>
      </c>
      <c r="D1165" t="inlineStr">
        <is>
          <t>VÄSTERNORRLANDS LÄN</t>
        </is>
      </c>
      <c r="E1165" t="inlineStr">
        <is>
          <t>ÖRNSKÖLDSVIK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44442-2021</t>
        </is>
      </c>
      <c r="B1166" s="1" t="n">
        <v>44435</v>
      </c>
      <c r="C1166" s="1" t="n">
        <v>45260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44446-2021</t>
        </is>
      </c>
      <c r="B1167" s="1" t="n">
        <v>44435</v>
      </c>
      <c r="C1167" s="1" t="n">
        <v>45260</v>
      </c>
      <c r="D1167" t="inlineStr">
        <is>
          <t>VÄSTERNORRLANDS LÄN</t>
        </is>
      </c>
      <c r="E1167" t="inlineStr">
        <is>
          <t>ÖRNSKÖLDSVIK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44613-2021</t>
        </is>
      </c>
      <c r="B1168" s="1" t="n">
        <v>44435</v>
      </c>
      <c r="C1168" s="1" t="n">
        <v>45260</v>
      </c>
      <c r="D1168" t="inlineStr">
        <is>
          <t>VÄSTERNORRLANDS LÄN</t>
        </is>
      </c>
      <c r="E1168" t="inlineStr">
        <is>
          <t>ÖRNSKÖLDSVIK</t>
        </is>
      </c>
      <c r="G1168" t="n">
        <v>13.5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44689-2021</t>
        </is>
      </c>
      <c r="B1169" s="1" t="n">
        <v>44438</v>
      </c>
      <c r="C1169" s="1" t="n">
        <v>45260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45050-2021</t>
        </is>
      </c>
      <c r="B1170" s="1" t="n">
        <v>44439</v>
      </c>
      <c r="C1170" s="1" t="n">
        <v>45260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45214-2021</t>
        </is>
      </c>
      <c r="B1171" s="1" t="n">
        <v>44439</v>
      </c>
      <c r="C1171" s="1" t="n">
        <v>45260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45126-2021</t>
        </is>
      </c>
      <c r="B1172" s="1" t="n">
        <v>44439</v>
      </c>
      <c r="C1172" s="1" t="n">
        <v>45260</v>
      </c>
      <c r="D1172" t="inlineStr">
        <is>
          <t>VÄSTERNORRLANDS LÄN</t>
        </is>
      </c>
      <c r="E1172" t="inlineStr">
        <is>
          <t>ÖRNSKÖLDSVIK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45456-2021</t>
        </is>
      </c>
      <c r="B1173" s="1" t="n">
        <v>44440</v>
      </c>
      <c r="C1173" s="1" t="n">
        <v>45260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45426-2021</t>
        </is>
      </c>
      <c r="B1174" s="1" t="n">
        <v>44440</v>
      </c>
      <c r="C1174" s="1" t="n">
        <v>45260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45551-2021</t>
        </is>
      </c>
      <c r="B1175" s="1" t="n">
        <v>44440</v>
      </c>
      <c r="C1175" s="1" t="n">
        <v>45260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45799-2021</t>
        </is>
      </c>
      <c r="B1176" s="1" t="n">
        <v>44441</v>
      </c>
      <c r="C1176" s="1" t="n">
        <v>45260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45874-2021</t>
        </is>
      </c>
      <c r="B1177" s="1" t="n">
        <v>44441</v>
      </c>
      <c r="C1177" s="1" t="n">
        <v>45260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46042-2021</t>
        </is>
      </c>
      <c r="B1178" s="1" t="n">
        <v>44442</v>
      </c>
      <c r="C1178" s="1" t="n">
        <v>45260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45920-2021</t>
        </is>
      </c>
      <c r="B1179" s="1" t="n">
        <v>44441</v>
      </c>
      <c r="C1179" s="1" t="n">
        <v>45260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46047-2021</t>
        </is>
      </c>
      <c r="B1180" s="1" t="n">
        <v>44442</v>
      </c>
      <c r="C1180" s="1" t="n">
        <v>45260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46269-2021</t>
        </is>
      </c>
      <c r="B1181" s="1" t="n">
        <v>44442</v>
      </c>
      <c r="C1181" s="1" t="n">
        <v>45260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Kyrkan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46277-2021</t>
        </is>
      </c>
      <c r="B1182" s="1" t="n">
        <v>44442</v>
      </c>
      <c r="C1182" s="1" t="n">
        <v>45260</v>
      </c>
      <c r="D1182" t="inlineStr">
        <is>
          <t>VÄSTERNORRLANDS LÄN</t>
        </is>
      </c>
      <c r="E1182" t="inlineStr">
        <is>
          <t>ÖRNSKÖLDSVIK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46669-2021</t>
        </is>
      </c>
      <c r="B1183" s="1" t="n">
        <v>44445</v>
      </c>
      <c r="C1183" s="1" t="n">
        <v>45260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46911-2021</t>
        </is>
      </c>
      <c r="B1184" s="1" t="n">
        <v>44446</v>
      </c>
      <c r="C1184" s="1" t="n">
        <v>45260</v>
      </c>
      <c r="D1184" t="inlineStr">
        <is>
          <t>VÄSTERNORRLANDS LÄN</t>
        </is>
      </c>
      <c r="E1184" t="inlineStr">
        <is>
          <t>ÖRNSKÖLDSVIK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46948-2021</t>
        </is>
      </c>
      <c r="B1185" s="1" t="n">
        <v>44446</v>
      </c>
      <c r="C1185" s="1" t="n">
        <v>45260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47143-2021</t>
        </is>
      </c>
      <c r="B1186" s="1" t="n">
        <v>44446</v>
      </c>
      <c r="C1186" s="1" t="n">
        <v>45260</v>
      </c>
      <c r="D1186" t="inlineStr">
        <is>
          <t>VÄSTERNORRLANDS LÄN</t>
        </is>
      </c>
      <c r="E1186" t="inlineStr">
        <is>
          <t>ÖRNSKÖLDSVIK</t>
        </is>
      </c>
      <c r="G1186" t="n">
        <v>32.5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47410-2021</t>
        </is>
      </c>
      <c r="B1187" s="1" t="n">
        <v>44447</v>
      </c>
      <c r="C1187" s="1" t="n">
        <v>45260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47397-2021</t>
        </is>
      </c>
      <c r="B1188" s="1" t="n">
        <v>44447</v>
      </c>
      <c r="C1188" s="1" t="n">
        <v>45260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47413-2021</t>
        </is>
      </c>
      <c r="B1189" s="1" t="n">
        <v>44447</v>
      </c>
      <c r="C1189" s="1" t="n">
        <v>45260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47488-2021</t>
        </is>
      </c>
      <c r="B1190" s="1" t="n">
        <v>44447</v>
      </c>
      <c r="C1190" s="1" t="n">
        <v>45260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47672-2021</t>
        </is>
      </c>
      <c r="B1191" s="1" t="n">
        <v>44448</v>
      </c>
      <c r="C1191" s="1" t="n">
        <v>45260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47767-2021</t>
        </is>
      </c>
      <c r="B1192" s="1" t="n">
        <v>44448</v>
      </c>
      <c r="C1192" s="1" t="n">
        <v>45260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47814-2021</t>
        </is>
      </c>
      <c r="B1193" s="1" t="n">
        <v>44448</v>
      </c>
      <c r="C1193" s="1" t="n">
        <v>45260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47783-2021</t>
        </is>
      </c>
      <c r="B1194" s="1" t="n">
        <v>44448</v>
      </c>
      <c r="C1194" s="1" t="n">
        <v>45260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47837-2021</t>
        </is>
      </c>
      <c r="B1195" s="1" t="n">
        <v>44448</v>
      </c>
      <c r="C1195" s="1" t="n">
        <v>45260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48350-2021</t>
        </is>
      </c>
      <c r="B1196" s="1" t="n">
        <v>44451</v>
      </c>
      <c r="C1196" s="1" t="n">
        <v>45260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48479-2021</t>
        </is>
      </c>
      <c r="B1197" s="1" t="n">
        <v>44452</v>
      </c>
      <c r="C1197" s="1" t="n">
        <v>45260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48541-2021</t>
        </is>
      </c>
      <c r="B1198" s="1" t="n">
        <v>44452</v>
      </c>
      <c r="C1198" s="1" t="n">
        <v>45260</v>
      </c>
      <c r="D1198" t="inlineStr">
        <is>
          <t>VÄSTERNORRLANDS LÄN</t>
        </is>
      </c>
      <c r="E1198" t="inlineStr">
        <is>
          <t>ÖRNSKÖLDSVIK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48554-2021</t>
        </is>
      </c>
      <c r="B1199" s="1" t="n">
        <v>44452</v>
      </c>
      <c r="C1199" s="1" t="n">
        <v>45260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48589-2021</t>
        </is>
      </c>
      <c r="B1200" s="1" t="n">
        <v>44452</v>
      </c>
      <c r="C1200" s="1" t="n">
        <v>45260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48682-2021</t>
        </is>
      </c>
      <c r="B1201" s="1" t="n">
        <v>44452</v>
      </c>
      <c r="C1201" s="1" t="n">
        <v>45260</v>
      </c>
      <c r="D1201" t="inlineStr">
        <is>
          <t>VÄSTERNORRLANDS LÄN</t>
        </is>
      </c>
      <c r="E1201" t="inlineStr">
        <is>
          <t>ÖRNSKÖLDSVIK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48691-2021</t>
        </is>
      </c>
      <c r="B1202" s="1" t="n">
        <v>44452</v>
      </c>
      <c r="C1202" s="1" t="n">
        <v>45260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49002-2021</t>
        </is>
      </c>
      <c r="B1203" s="1" t="n">
        <v>44453</v>
      </c>
      <c r="C1203" s="1" t="n">
        <v>45260</v>
      </c>
      <c r="D1203" t="inlineStr">
        <is>
          <t>VÄSTERNORRLANDS LÄN</t>
        </is>
      </c>
      <c r="E1203" t="inlineStr">
        <is>
          <t>ÖRNSKÖLDSVIK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49552-2021</t>
        </is>
      </c>
      <c r="B1204" s="1" t="n">
        <v>44455</v>
      </c>
      <c r="C1204" s="1" t="n">
        <v>45260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49963-2021</t>
        </is>
      </c>
      <c r="B1205" s="1" t="n">
        <v>44456</v>
      </c>
      <c r="C1205" s="1" t="n">
        <v>45260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50332-2021</t>
        </is>
      </c>
      <c r="B1206" s="1" t="n">
        <v>44459</v>
      </c>
      <c r="C1206" s="1" t="n">
        <v>45260</v>
      </c>
      <c r="D1206" t="inlineStr">
        <is>
          <t>VÄSTERNORRLANDS LÄN</t>
        </is>
      </c>
      <c r="E1206" t="inlineStr">
        <is>
          <t>ÖRNSKÖLDSVIK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50456-2021</t>
        </is>
      </c>
      <c r="B1207" s="1" t="n">
        <v>44459</v>
      </c>
      <c r="C1207" s="1" t="n">
        <v>45260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50411-2021</t>
        </is>
      </c>
      <c r="B1208" s="1" t="n">
        <v>44459</v>
      </c>
      <c r="C1208" s="1" t="n">
        <v>45260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50727-2021</t>
        </is>
      </c>
      <c r="B1209" s="1" t="n">
        <v>44459</v>
      </c>
      <c r="C1209" s="1" t="n">
        <v>45260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50571-2021</t>
        </is>
      </c>
      <c r="B1210" s="1" t="n">
        <v>44459</v>
      </c>
      <c r="C1210" s="1" t="n">
        <v>45260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50723-2021</t>
        </is>
      </c>
      <c r="B1211" s="1" t="n">
        <v>44459</v>
      </c>
      <c r="C1211" s="1" t="n">
        <v>45260</v>
      </c>
      <c r="D1211" t="inlineStr">
        <is>
          <t>VÄSTERNORRLANDS LÄN</t>
        </is>
      </c>
      <c r="E1211" t="inlineStr">
        <is>
          <t>ÖRNSKÖLDSVIK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51110-2021</t>
        </is>
      </c>
      <c r="B1212" s="1" t="n">
        <v>44461</v>
      </c>
      <c r="C1212" s="1" t="n">
        <v>45260</v>
      </c>
      <c r="D1212" t="inlineStr">
        <is>
          <t>VÄSTERNORRLANDS LÄN</t>
        </is>
      </c>
      <c r="E1212" t="inlineStr">
        <is>
          <t>ÖRNSKÖLDSVIK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51601-2021</t>
        </is>
      </c>
      <c r="B1213" s="1" t="n">
        <v>44461</v>
      </c>
      <c r="C1213" s="1" t="n">
        <v>45260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51617-2021</t>
        </is>
      </c>
      <c r="B1214" s="1" t="n">
        <v>44462</v>
      </c>
      <c r="C1214" s="1" t="n">
        <v>45260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51770-2021</t>
        </is>
      </c>
      <c r="B1215" s="1" t="n">
        <v>44462</v>
      </c>
      <c r="C1215" s="1" t="n">
        <v>45260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51754-2021</t>
        </is>
      </c>
      <c r="B1216" s="1" t="n">
        <v>44462</v>
      </c>
      <c r="C1216" s="1" t="n">
        <v>45260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51782-2021</t>
        </is>
      </c>
      <c r="B1217" s="1" t="n">
        <v>44462</v>
      </c>
      <c r="C1217" s="1" t="n">
        <v>45260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51798-2021</t>
        </is>
      </c>
      <c r="B1218" s="1" t="n">
        <v>44462</v>
      </c>
      <c r="C1218" s="1" t="n">
        <v>45260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52062-2021</t>
        </is>
      </c>
      <c r="B1219" s="1" t="n">
        <v>44463</v>
      </c>
      <c r="C1219" s="1" t="n">
        <v>45260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52074-2021</t>
        </is>
      </c>
      <c r="B1220" s="1" t="n">
        <v>44463</v>
      </c>
      <c r="C1220" s="1" t="n">
        <v>45260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52114-2021</t>
        </is>
      </c>
      <c r="B1221" s="1" t="n">
        <v>44463</v>
      </c>
      <c r="C1221" s="1" t="n">
        <v>45260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52250-2021</t>
        </is>
      </c>
      <c r="B1222" s="1" t="n">
        <v>44463</v>
      </c>
      <c r="C1222" s="1" t="n">
        <v>45260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52258-2021</t>
        </is>
      </c>
      <c r="B1223" s="1" t="n">
        <v>44463</v>
      </c>
      <c r="C1223" s="1" t="n">
        <v>45260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52290-2021</t>
        </is>
      </c>
      <c r="B1224" s="1" t="n">
        <v>44463</v>
      </c>
      <c r="C1224" s="1" t="n">
        <v>45260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52413-2021</t>
        </is>
      </c>
      <c r="B1225" s="1" t="n">
        <v>44466</v>
      </c>
      <c r="C1225" s="1" t="n">
        <v>45260</v>
      </c>
      <c r="D1225" t="inlineStr">
        <is>
          <t>VÄSTERNORRLANDS LÄN</t>
        </is>
      </c>
      <c r="E1225" t="inlineStr">
        <is>
          <t>ÖRNSKÖLDSVIK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52652-2021</t>
        </is>
      </c>
      <c r="B1226" s="1" t="n">
        <v>44466</v>
      </c>
      <c r="C1226" s="1" t="n">
        <v>45260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53308-2021</t>
        </is>
      </c>
      <c r="B1227" s="1" t="n">
        <v>44466</v>
      </c>
      <c r="C1227" s="1" t="n">
        <v>45260</v>
      </c>
      <c r="D1227" t="inlineStr">
        <is>
          <t>VÄSTERNORRLANDS LÄN</t>
        </is>
      </c>
      <c r="E1227" t="inlineStr">
        <is>
          <t>ÖRNSKÖLDSVIK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53003-2021</t>
        </is>
      </c>
      <c r="B1228" s="1" t="n">
        <v>44467</v>
      </c>
      <c r="C1228" s="1" t="n">
        <v>45260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53231-2021</t>
        </is>
      </c>
      <c r="B1229" s="1" t="n">
        <v>44467</v>
      </c>
      <c r="C1229" s="1" t="n">
        <v>45260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53292-2021</t>
        </is>
      </c>
      <c r="B1230" s="1" t="n">
        <v>44467</v>
      </c>
      <c r="C1230" s="1" t="n">
        <v>45260</v>
      </c>
      <c r="D1230" t="inlineStr">
        <is>
          <t>VÄSTERNORRLANDS LÄN</t>
        </is>
      </c>
      <c r="E1230" t="inlineStr">
        <is>
          <t>ÖRNSKÖLDSVIK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53221-2021</t>
        </is>
      </c>
      <c r="B1231" s="1" t="n">
        <v>44467</v>
      </c>
      <c r="C1231" s="1" t="n">
        <v>45260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53163-2021</t>
        </is>
      </c>
      <c r="B1232" s="1" t="n">
        <v>44468</v>
      </c>
      <c r="C1232" s="1" t="n">
        <v>45260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53215-2021</t>
        </is>
      </c>
      <c r="B1233" s="1" t="n">
        <v>44468</v>
      </c>
      <c r="C1233" s="1" t="n">
        <v>45260</v>
      </c>
      <c r="D1233" t="inlineStr">
        <is>
          <t>VÄSTERNORRLANDS LÄN</t>
        </is>
      </c>
      <c r="E1233" t="inlineStr">
        <is>
          <t>ÖRNSKÖLDSVIK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53162-2021</t>
        </is>
      </c>
      <c r="B1234" s="1" t="n">
        <v>44468</v>
      </c>
      <c r="C1234" s="1" t="n">
        <v>45260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53332-2021</t>
        </is>
      </c>
      <c r="B1235" s="1" t="n">
        <v>44468</v>
      </c>
      <c r="C1235" s="1" t="n">
        <v>45260</v>
      </c>
      <c r="D1235" t="inlineStr">
        <is>
          <t>VÄSTERNORRLANDS LÄN</t>
        </is>
      </c>
      <c r="E1235" t="inlineStr">
        <is>
          <t>ÖRNSKÖLDSVIK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53222-2021</t>
        </is>
      </c>
      <c r="B1236" s="1" t="n">
        <v>44468</v>
      </c>
      <c r="C1236" s="1" t="n">
        <v>45260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53401-2021</t>
        </is>
      </c>
      <c r="B1237" s="1" t="n">
        <v>44468</v>
      </c>
      <c r="C1237" s="1" t="n">
        <v>45260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53626-2021</t>
        </is>
      </c>
      <c r="B1238" s="1" t="n">
        <v>44469</v>
      </c>
      <c r="C1238" s="1" t="n">
        <v>45260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53807-2021</t>
        </is>
      </c>
      <c r="B1239" s="1" t="n">
        <v>44469</v>
      </c>
      <c r="C1239" s="1" t="n">
        <v>45260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53799-2021</t>
        </is>
      </c>
      <c r="B1240" s="1" t="n">
        <v>44469</v>
      </c>
      <c r="C1240" s="1" t="n">
        <v>45260</v>
      </c>
      <c r="D1240" t="inlineStr">
        <is>
          <t>VÄSTERNORRLANDS LÄN</t>
        </is>
      </c>
      <c r="E1240" t="inlineStr">
        <is>
          <t>ÖRNSKÖLDSVIK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53812-2021</t>
        </is>
      </c>
      <c r="B1241" s="1" t="n">
        <v>44469</v>
      </c>
      <c r="C1241" s="1" t="n">
        <v>45260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54034-2021</t>
        </is>
      </c>
      <c r="B1242" s="1" t="n">
        <v>44470</v>
      </c>
      <c r="C1242" s="1" t="n">
        <v>45260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54252-2021</t>
        </is>
      </c>
      <c r="B1243" s="1" t="n">
        <v>44470</v>
      </c>
      <c r="C1243" s="1" t="n">
        <v>45260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54174-2021</t>
        </is>
      </c>
      <c r="B1244" s="1" t="n">
        <v>44470</v>
      </c>
      <c r="C1244" s="1" t="n">
        <v>45260</v>
      </c>
      <c r="D1244" t="inlineStr">
        <is>
          <t>VÄSTERNORRLANDS LÄN</t>
        </is>
      </c>
      <c r="E1244" t="inlineStr">
        <is>
          <t>ÖRNSKÖLDSVIK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54416-2021</t>
        </is>
      </c>
      <c r="B1245" s="1" t="n">
        <v>44472</v>
      </c>
      <c r="C1245" s="1" t="n">
        <v>45260</v>
      </c>
      <c r="D1245" t="inlineStr">
        <is>
          <t>VÄSTERNORRLANDS LÄN</t>
        </is>
      </c>
      <c r="E1245" t="inlineStr">
        <is>
          <t>ÖRNSKÖLDSVIK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54401-2021</t>
        </is>
      </c>
      <c r="B1246" s="1" t="n">
        <v>44472</v>
      </c>
      <c r="C1246" s="1" t="n">
        <v>45260</v>
      </c>
      <c r="D1246" t="inlineStr">
        <is>
          <t>VÄSTERNORRLANDS LÄN</t>
        </is>
      </c>
      <c r="E1246" t="inlineStr">
        <is>
          <t>ÖRNSKÖLDSVIK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54339-2021</t>
        </is>
      </c>
      <c r="B1247" s="1" t="n">
        <v>44473</v>
      </c>
      <c r="C1247" s="1" t="n">
        <v>45260</v>
      </c>
      <c r="D1247" t="inlineStr">
        <is>
          <t>VÄSTERNORRLANDS LÄN</t>
        </is>
      </c>
      <c r="E1247" t="inlineStr">
        <is>
          <t>ÖRNSKÖLDSVIK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54340-2021</t>
        </is>
      </c>
      <c r="B1248" s="1" t="n">
        <v>44473</v>
      </c>
      <c r="C1248" s="1" t="n">
        <v>45260</v>
      </c>
      <c r="D1248" t="inlineStr">
        <is>
          <t>VÄSTERNORRLANDS LÄN</t>
        </is>
      </c>
      <c r="E1248" t="inlineStr">
        <is>
          <t>ÖRNSKÖLDSVIK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54391-2021</t>
        </is>
      </c>
      <c r="B1249" s="1" t="n">
        <v>44473</v>
      </c>
      <c r="C1249" s="1" t="n">
        <v>45260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54500-2021</t>
        </is>
      </c>
      <c r="B1250" s="1" t="n">
        <v>44473</v>
      </c>
      <c r="C1250" s="1" t="n">
        <v>45260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54461-2021</t>
        </is>
      </c>
      <c r="B1251" s="1" t="n">
        <v>44473</v>
      </c>
      <c r="C1251" s="1" t="n">
        <v>45260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54341-2021</t>
        </is>
      </c>
      <c r="B1252" s="1" t="n">
        <v>44473</v>
      </c>
      <c r="C1252" s="1" t="n">
        <v>45260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54377-2021</t>
        </is>
      </c>
      <c r="B1253" s="1" t="n">
        <v>44473</v>
      </c>
      <c r="C1253" s="1" t="n">
        <v>45260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54424-2021</t>
        </is>
      </c>
      <c r="B1254" s="1" t="n">
        <v>44473</v>
      </c>
      <c r="C1254" s="1" t="n">
        <v>45260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54436-2021</t>
        </is>
      </c>
      <c r="B1255" s="1" t="n">
        <v>44473</v>
      </c>
      <c r="C1255" s="1" t="n">
        <v>45260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54626-2021</t>
        </is>
      </c>
      <c r="B1256" s="1" t="n">
        <v>44473</v>
      </c>
      <c r="C1256" s="1" t="n">
        <v>45260</v>
      </c>
      <c r="D1256" t="inlineStr">
        <is>
          <t>VÄSTERNORRLANDS LÄN</t>
        </is>
      </c>
      <c r="E1256" t="inlineStr">
        <is>
          <t>ÖRNSKÖLDSVIK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54987-2021</t>
        </is>
      </c>
      <c r="B1257" s="1" t="n">
        <v>44474</v>
      </c>
      <c r="C1257" s="1" t="n">
        <v>45260</v>
      </c>
      <c r="D1257" t="inlineStr">
        <is>
          <t>VÄSTERNORRLANDS LÄN</t>
        </is>
      </c>
      <c r="E1257" t="inlineStr">
        <is>
          <t>ÖRNSKÖLDSVIK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55102-2021</t>
        </is>
      </c>
      <c r="B1258" s="1" t="n">
        <v>44474</v>
      </c>
      <c r="C1258" s="1" t="n">
        <v>45260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Kommuner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55402-2021</t>
        </is>
      </c>
      <c r="B1259" s="1" t="n">
        <v>44475</v>
      </c>
      <c r="C1259" s="1" t="n">
        <v>45260</v>
      </c>
      <c r="D1259" t="inlineStr">
        <is>
          <t>VÄSTERNORRLANDS LÄN</t>
        </is>
      </c>
      <c r="E1259" t="inlineStr">
        <is>
          <t>ÖRNSKÖLDSVIK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55455-2021</t>
        </is>
      </c>
      <c r="B1260" s="1" t="n">
        <v>44475</v>
      </c>
      <c r="C1260" s="1" t="n">
        <v>45260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55311-2021</t>
        </is>
      </c>
      <c r="B1261" s="1" t="n">
        <v>44475</v>
      </c>
      <c r="C1261" s="1" t="n">
        <v>45260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55451-2021</t>
        </is>
      </c>
      <c r="B1262" s="1" t="n">
        <v>44475</v>
      </c>
      <c r="C1262" s="1" t="n">
        <v>45260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55459-2021</t>
        </is>
      </c>
      <c r="B1263" s="1" t="n">
        <v>44475</v>
      </c>
      <c r="C1263" s="1" t="n">
        <v>45260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55520-2021</t>
        </is>
      </c>
      <c r="B1264" s="1" t="n">
        <v>44475</v>
      </c>
      <c r="C1264" s="1" t="n">
        <v>45260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55570-2021</t>
        </is>
      </c>
      <c r="B1265" s="1" t="n">
        <v>44475</v>
      </c>
      <c r="C1265" s="1" t="n">
        <v>45260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55553-2021</t>
        </is>
      </c>
      <c r="B1266" s="1" t="n">
        <v>44475</v>
      </c>
      <c r="C1266" s="1" t="n">
        <v>45260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55640-2021</t>
        </is>
      </c>
      <c r="B1267" s="1" t="n">
        <v>44476</v>
      </c>
      <c r="C1267" s="1" t="n">
        <v>45260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55638-2021</t>
        </is>
      </c>
      <c r="B1268" s="1" t="n">
        <v>44476</v>
      </c>
      <c r="C1268" s="1" t="n">
        <v>45260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55955-2021</t>
        </is>
      </c>
      <c r="B1269" s="1" t="n">
        <v>44477</v>
      </c>
      <c r="C1269" s="1" t="n">
        <v>45260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56513-2021</t>
        </is>
      </c>
      <c r="B1270" s="1" t="n">
        <v>44480</v>
      </c>
      <c r="C1270" s="1" t="n">
        <v>45260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56334-2021</t>
        </is>
      </c>
      <c r="B1271" s="1" t="n">
        <v>44480</v>
      </c>
      <c r="C1271" s="1" t="n">
        <v>45260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56361-2021</t>
        </is>
      </c>
      <c r="B1272" s="1" t="n">
        <v>44480</v>
      </c>
      <c r="C1272" s="1" t="n">
        <v>45260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56538-2021</t>
        </is>
      </c>
      <c r="B1273" s="1" t="n">
        <v>44480</v>
      </c>
      <c r="C1273" s="1" t="n">
        <v>45260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56596-2021</t>
        </is>
      </c>
      <c r="B1274" s="1" t="n">
        <v>44480</v>
      </c>
      <c r="C1274" s="1" t="n">
        <v>45260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56679-2021</t>
        </is>
      </c>
      <c r="B1275" s="1" t="n">
        <v>44481</v>
      </c>
      <c r="C1275" s="1" t="n">
        <v>45260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56741-2021</t>
        </is>
      </c>
      <c r="B1276" s="1" t="n">
        <v>44481</v>
      </c>
      <c r="C1276" s="1" t="n">
        <v>45260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57143-2021</t>
        </is>
      </c>
      <c r="B1277" s="1" t="n">
        <v>44482</v>
      </c>
      <c r="C1277" s="1" t="n">
        <v>45260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57306-2021</t>
        </is>
      </c>
      <c r="B1278" s="1" t="n">
        <v>44483</v>
      </c>
      <c r="C1278" s="1" t="n">
        <v>45260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57342-2021</t>
        </is>
      </c>
      <c r="B1279" s="1" t="n">
        <v>44483</v>
      </c>
      <c r="C1279" s="1" t="n">
        <v>45260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57310-2021</t>
        </is>
      </c>
      <c r="B1280" s="1" t="n">
        <v>44483</v>
      </c>
      <c r="C1280" s="1" t="n">
        <v>45260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57438-2021</t>
        </is>
      </c>
      <c r="B1281" s="1" t="n">
        <v>44483</v>
      </c>
      <c r="C1281" s="1" t="n">
        <v>45260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58078-2021</t>
        </is>
      </c>
      <c r="B1282" s="1" t="n">
        <v>44487</v>
      </c>
      <c r="C1282" s="1" t="n">
        <v>45260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58170-2021</t>
        </is>
      </c>
      <c r="B1283" s="1" t="n">
        <v>44487</v>
      </c>
      <c r="C1283" s="1" t="n">
        <v>45260</v>
      </c>
      <c r="D1283" t="inlineStr">
        <is>
          <t>VÄSTERNORRLANDS LÄN</t>
        </is>
      </c>
      <c r="E1283" t="inlineStr">
        <is>
          <t>ÖRNSKÖLDSVIK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58442-2021</t>
        </is>
      </c>
      <c r="B1284" s="1" t="n">
        <v>44488</v>
      </c>
      <c r="C1284" s="1" t="n">
        <v>45260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58475-2021</t>
        </is>
      </c>
      <c r="B1285" s="1" t="n">
        <v>44488</v>
      </c>
      <c r="C1285" s="1" t="n">
        <v>45260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58461-2021</t>
        </is>
      </c>
      <c r="B1286" s="1" t="n">
        <v>44488</v>
      </c>
      <c r="C1286" s="1" t="n">
        <v>45260</v>
      </c>
      <c r="D1286" t="inlineStr">
        <is>
          <t>VÄSTERNORRLANDS LÄN</t>
        </is>
      </c>
      <c r="E1286" t="inlineStr">
        <is>
          <t>ÖRNSKÖLDSVIK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59227-2021</t>
        </is>
      </c>
      <c r="B1287" s="1" t="n">
        <v>44490</v>
      </c>
      <c r="C1287" s="1" t="n">
        <v>45260</v>
      </c>
      <c r="D1287" t="inlineStr">
        <is>
          <t>VÄSTERNORRLANDS LÄN</t>
        </is>
      </c>
      <c r="E1287" t="inlineStr">
        <is>
          <t>ÖRNSKÖLDSVIK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59196-2021</t>
        </is>
      </c>
      <c r="B1288" s="1" t="n">
        <v>44490</v>
      </c>
      <c r="C1288" s="1" t="n">
        <v>45260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59194-2021</t>
        </is>
      </c>
      <c r="B1289" s="1" t="n">
        <v>44490</v>
      </c>
      <c r="C1289" s="1" t="n">
        <v>45260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59525-2021</t>
        </is>
      </c>
      <c r="B1290" s="1" t="n">
        <v>44491</v>
      </c>
      <c r="C1290" s="1" t="n">
        <v>45260</v>
      </c>
      <c r="D1290" t="inlineStr">
        <is>
          <t>VÄSTERNORRLANDS LÄN</t>
        </is>
      </c>
      <c r="E1290" t="inlineStr">
        <is>
          <t>ÖRNSKÖLDSVIK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59545-2021</t>
        </is>
      </c>
      <c r="B1291" s="1" t="n">
        <v>44491</v>
      </c>
      <c r="C1291" s="1" t="n">
        <v>45260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59533-2021</t>
        </is>
      </c>
      <c r="B1292" s="1" t="n">
        <v>44491</v>
      </c>
      <c r="C1292" s="1" t="n">
        <v>45260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59875-2021</t>
        </is>
      </c>
      <c r="B1293" s="1" t="n">
        <v>44493</v>
      </c>
      <c r="C1293" s="1" t="n">
        <v>45260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59879-2021</t>
        </is>
      </c>
      <c r="B1294" s="1" t="n">
        <v>44493</v>
      </c>
      <c r="C1294" s="1" t="n">
        <v>45260</v>
      </c>
      <c r="D1294" t="inlineStr">
        <is>
          <t>VÄSTERNORRLANDS LÄN</t>
        </is>
      </c>
      <c r="E1294" t="inlineStr">
        <is>
          <t>ÖRNSKÖLDSVIK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59660-2021</t>
        </is>
      </c>
      <c r="B1295" s="1" t="n">
        <v>44494</v>
      </c>
      <c r="C1295" s="1" t="n">
        <v>45260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59912-2021</t>
        </is>
      </c>
      <c r="B1296" s="1" t="n">
        <v>44494</v>
      </c>
      <c r="C1296" s="1" t="n">
        <v>45260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59876-2021</t>
        </is>
      </c>
      <c r="B1297" s="1" t="n">
        <v>44494</v>
      </c>
      <c r="C1297" s="1" t="n">
        <v>45260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60065-2021</t>
        </is>
      </c>
      <c r="B1298" s="1" t="n">
        <v>44494</v>
      </c>
      <c r="C1298" s="1" t="n">
        <v>45260</v>
      </c>
      <c r="D1298" t="inlineStr">
        <is>
          <t>VÄSTERNORRLANDS LÄN</t>
        </is>
      </c>
      <c r="E1298" t="inlineStr">
        <is>
          <t>ÖRNSKÖLDSVIK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60227-2021</t>
        </is>
      </c>
      <c r="B1299" s="1" t="n">
        <v>44495</v>
      </c>
      <c r="C1299" s="1" t="n">
        <v>45260</v>
      </c>
      <c r="D1299" t="inlineStr">
        <is>
          <t>VÄSTERNORRLANDS LÄN</t>
        </is>
      </c>
      <c r="E1299" t="inlineStr">
        <is>
          <t>ÖRNSKÖLDSVIK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60220-2021</t>
        </is>
      </c>
      <c r="B1300" s="1" t="n">
        <v>44495</v>
      </c>
      <c r="C1300" s="1" t="n">
        <v>45260</v>
      </c>
      <c r="D1300" t="inlineStr">
        <is>
          <t>VÄSTERNORRLANDS LÄN</t>
        </is>
      </c>
      <c r="E1300" t="inlineStr">
        <is>
          <t>ÖRNSKÖLDSVIK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60511-2021</t>
        </is>
      </c>
      <c r="B1301" s="1" t="n">
        <v>44495</v>
      </c>
      <c r="C1301" s="1" t="n">
        <v>45260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60612-2021</t>
        </is>
      </c>
      <c r="B1302" s="1" t="n">
        <v>44495</v>
      </c>
      <c r="C1302" s="1" t="n">
        <v>45260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60498-2021</t>
        </is>
      </c>
      <c r="B1303" s="1" t="n">
        <v>44495</v>
      </c>
      <c r="C1303" s="1" t="n">
        <v>45260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60887-2021</t>
        </is>
      </c>
      <c r="B1304" s="1" t="n">
        <v>44495</v>
      </c>
      <c r="C1304" s="1" t="n">
        <v>45260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60361-2021</t>
        </is>
      </c>
      <c r="B1305" s="1" t="n">
        <v>44496</v>
      </c>
      <c r="C1305" s="1" t="n">
        <v>45260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60450-2021</t>
        </is>
      </c>
      <c r="B1306" s="1" t="n">
        <v>44496</v>
      </c>
      <c r="C1306" s="1" t="n">
        <v>45260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60469-2021</t>
        </is>
      </c>
      <c r="B1307" s="1" t="n">
        <v>44496</v>
      </c>
      <c r="C1307" s="1" t="n">
        <v>45260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60667-2021</t>
        </is>
      </c>
      <c r="B1308" s="1" t="n">
        <v>44496</v>
      </c>
      <c r="C1308" s="1" t="n">
        <v>45260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60676-2021</t>
        </is>
      </c>
      <c r="B1309" s="1" t="n">
        <v>44496</v>
      </c>
      <c r="C1309" s="1" t="n">
        <v>45260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60693-2021</t>
        </is>
      </c>
      <c r="B1310" s="1" t="n">
        <v>44496</v>
      </c>
      <c r="C1310" s="1" t="n">
        <v>45260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60620-2021</t>
        </is>
      </c>
      <c r="B1311" s="1" t="n">
        <v>44496</v>
      </c>
      <c r="C1311" s="1" t="n">
        <v>45260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60786-2021</t>
        </is>
      </c>
      <c r="B1312" s="1" t="n">
        <v>44496</v>
      </c>
      <c r="C1312" s="1" t="n">
        <v>45260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60856-2021</t>
        </is>
      </c>
      <c r="B1313" s="1" t="n">
        <v>44497</v>
      </c>
      <c r="C1313" s="1" t="n">
        <v>45260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45260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60846-2021</t>
        </is>
      </c>
      <c r="B1315" s="1" t="n">
        <v>44497</v>
      </c>
      <c r="C1315" s="1" t="n">
        <v>45260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61356-2021</t>
        </is>
      </c>
      <c r="B1316" s="1" t="n">
        <v>44499</v>
      </c>
      <c r="C1316" s="1" t="n">
        <v>45260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61355-2021</t>
        </is>
      </c>
      <c r="B1317" s="1" t="n">
        <v>44498</v>
      </c>
      <c r="C1317" s="1" t="n">
        <v>45260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61623-2021</t>
        </is>
      </c>
      <c r="B1318" s="1" t="n">
        <v>44498</v>
      </c>
      <c r="C1318" s="1" t="n">
        <v>45260</v>
      </c>
      <c r="D1318" t="inlineStr">
        <is>
          <t>VÄSTERNORRLANDS LÄN</t>
        </is>
      </c>
      <c r="E1318" t="inlineStr">
        <is>
          <t>ÖRNSKÖLDSVIK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61571-2021</t>
        </is>
      </c>
      <c r="B1319" s="1" t="n">
        <v>44501</v>
      </c>
      <c r="C1319" s="1" t="n">
        <v>45260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61516-2021</t>
        </is>
      </c>
      <c r="B1320" s="1" t="n">
        <v>44501</v>
      </c>
      <c r="C1320" s="1" t="n">
        <v>45260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61872-2021</t>
        </is>
      </c>
      <c r="B1321" s="1" t="n">
        <v>44502</v>
      </c>
      <c r="C1321" s="1" t="n">
        <v>45260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62011-2021</t>
        </is>
      </c>
      <c r="B1322" s="1" t="n">
        <v>44502</v>
      </c>
      <c r="C1322" s="1" t="n">
        <v>45260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62013-2021</t>
        </is>
      </c>
      <c r="B1323" s="1" t="n">
        <v>44502</v>
      </c>
      <c r="C1323" s="1" t="n">
        <v>45260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62288-2021</t>
        </is>
      </c>
      <c r="B1324" s="1" t="n">
        <v>44503</v>
      </c>
      <c r="C1324" s="1" t="n">
        <v>45260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62569-2021</t>
        </is>
      </c>
      <c r="B1325" s="1" t="n">
        <v>44503</v>
      </c>
      <c r="C1325" s="1" t="n">
        <v>45260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62404-2021</t>
        </is>
      </c>
      <c r="B1326" s="1" t="n">
        <v>44503</v>
      </c>
      <c r="C1326" s="1" t="n">
        <v>45260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62477-2021</t>
        </is>
      </c>
      <c r="B1327" s="1" t="n">
        <v>44503</v>
      </c>
      <c r="C1327" s="1" t="n">
        <v>45260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62472-2021</t>
        </is>
      </c>
      <c r="B1328" s="1" t="n">
        <v>44503</v>
      </c>
      <c r="C1328" s="1" t="n">
        <v>45260</v>
      </c>
      <c r="D1328" t="inlineStr">
        <is>
          <t>VÄSTERNORRLANDS LÄN</t>
        </is>
      </c>
      <c r="E1328" t="inlineStr">
        <is>
          <t>ÖRNSKÖLDSVIK</t>
        </is>
      </c>
      <c r="G1328" t="n">
        <v>13.6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62544-2021</t>
        </is>
      </c>
      <c r="B1329" s="1" t="n">
        <v>44503</v>
      </c>
      <c r="C1329" s="1" t="n">
        <v>45260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62636-2021</t>
        </is>
      </c>
      <c r="B1330" s="1" t="n">
        <v>44503</v>
      </c>
      <c r="C1330" s="1" t="n">
        <v>45260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62647-2021</t>
        </is>
      </c>
      <c r="B1331" s="1" t="n">
        <v>44503</v>
      </c>
      <c r="C1331" s="1" t="n">
        <v>45260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62709-2021</t>
        </is>
      </c>
      <c r="B1332" s="1" t="n">
        <v>44504</v>
      </c>
      <c r="C1332" s="1" t="n">
        <v>45260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62690-2021</t>
        </is>
      </c>
      <c r="B1333" s="1" t="n">
        <v>44504</v>
      </c>
      <c r="C1333" s="1" t="n">
        <v>45260</v>
      </c>
      <c r="D1333" t="inlineStr">
        <is>
          <t>VÄSTERNORRLANDS LÄN</t>
        </is>
      </c>
      <c r="E1333" t="inlineStr">
        <is>
          <t>ÖRNSKÖLDSVIK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62743-2021</t>
        </is>
      </c>
      <c r="B1334" s="1" t="n">
        <v>44504</v>
      </c>
      <c r="C1334" s="1" t="n">
        <v>45260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62968-2021</t>
        </is>
      </c>
      <c r="B1335" s="1" t="n">
        <v>44505</v>
      </c>
      <c r="C1335" s="1" t="n">
        <v>45260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62995-2021</t>
        </is>
      </c>
      <c r="B1336" s="1" t="n">
        <v>44505</v>
      </c>
      <c r="C1336" s="1" t="n">
        <v>45260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63039-2021</t>
        </is>
      </c>
      <c r="B1337" s="1" t="n">
        <v>44505</v>
      </c>
      <c r="C1337" s="1" t="n">
        <v>45260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63021-2021</t>
        </is>
      </c>
      <c r="B1338" s="1" t="n">
        <v>44505</v>
      </c>
      <c r="C1338" s="1" t="n">
        <v>45260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63365-2021</t>
        </is>
      </c>
      <c r="B1339" s="1" t="n">
        <v>44505</v>
      </c>
      <c r="C1339" s="1" t="n">
        <v>45260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63230-2021</t>
        </is>
      </c>
      <c r="B1340" s="1" t="n">
        <v>44505</v>
      </c>
      <c r="C1340" s="1" t="n">
        <v>45260</v>
      </c>
      <c r="D1340" t="inlineStr">
        <is>
          <t>VÄSTERNORRLANDS LÄN</t>
        </is>
      </c>
      <c r="E1340" t="inlineStr">
        <is>
          <t>ÖRNSKÖLDSVIK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63385-2021</t>
        </is>
      </c>
      <c r="B1341" s="1" t="n">
        <v>44505</v>
      </c>
      <c r="C1341" s="1" t="n">
        <v>45260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63237-2021</t>
        </is>
      </c>
      <c r="B1342" s="1" t="n">
        <v>44508</v>
      </c>
      <c r="C1342" s="1" t="n">
        <v>45260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63303-2021</t>
        </is>
      </c>
      <c r="B1343" s="1" t="n">
        <v>44508</v>
      </c>
      <c r="C1343" s="1" t="n">
        <v>45260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63447-2021</t>
        </is>
      </c>
      <c r="B1344" s="1" t="n">
        <v>44508</v>
      </c>
      <c r="C1344" s="1" t="n">
        <v>45260</v>
      </c>
      <c r="D1344" t="inlineStr">
        <is>
          <t>VÄSTERNORRLANDS LÄN</t>
        </is>
      </c>
      <c r="E1344" t="inlineStr">
        <is>
          <t>ÖRNSKÖLDSVIK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63241-2021</t>
        </is>
      </c>
      <c r="B1345" s="1" t="n">
        <v>44508</v>
      </c>
      <c r="C1345" s="1" t="n">
        <v>45260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63426-2021</t>
        </is>
      </c>
      <c r="B1346" s="1" t="n">
        <v>44508</v>
      </c>
      <c r="C1346" s="1" t="n">
        <v>45260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63443-2021</t>
        </is>
      </c>
      <c r="B1347" s="1" t="n">
        <v>44508</v>
      </c>
      <c r="C1347" s="1" t="n">
        <v>45260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63449-2021</t>
        </is>
      </c>
      <c r="B1348" s="1" t="n">
        <v>44508</v>
      </c>
      <c r="C1348" s="1" t="n">
        <v>45260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63458-2021</t>
        </is>
      </c>
      <c r="B1349" s="1" t="n">
        <v>44508</v>
      </c>
      <c r="C1349" s="1" t="n">
        <v>45260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63452-2021</t>
        </is>
      </c>
      <c r="B1350" s="1" t="n">
        <v>44508</v>
      </c>
      <c r="C1350" s="1" t="n">
        <v>45260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63508-2021</t>
        </is>
      </c>
      <c r="B1351" s="1" t="n">
        <v>44508</v>
      </c>
      <c r="C1351" s="1" t="n">
        <v>45260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63545-2021</t>
        </is>
      </c>
      <c r="B1352" s="1" t="n">
        <v>44508</v>
      </c>
      <c r="C1352" s="1" t="n">
        <v>45260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63806-2021</t>
        </is>
      </c>
      <c r="B1353" s="1" t="n">
        <v>44508</v>
      </c>
      <c r="C1353" s="1" t="n">
        <v>45260</v>
      </c>
      <c r="D1353" t="inlineStr">
        <is>
          <t>VÄSTERNORRLANDS LÄN</t>
        </is>
      </c>
      <c r="E1353" t="inlineStr">
        <is>
          <t>ÖRNSKÖLDSVIK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63784-2021</t>
        </is>
      </c>
      <c r="B1354" s="1" t="n">
        <v>44509</v>
      </c>
      <c r="C1354" s="1" t="n">
        <v>45260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63841-2021</t>
        </is>
      </c>
      <c r="B1355" s="1" t="n">
        <v>44509</v>
      </c>
      <c r="C1355" s="1" t="n">
        <v>45260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64108-2021</t>
        </is>
      </c>
      <c r="B1356" s="1" t="n">
        <v>44509</v>
      </c>
      <c r="C1356" s="1" t="n">
        <v>45260</v>
      </c>
      <c r="D1356" t="inlineStr">
        <is>
          <t>VÄSTERNORRLANDS LÄN</t>
        </is>
      </c>
      <c r="E1356" t="inlineStr">
        <is>
          <t>ÖRNSKÖLDSVIK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64113-2021</t>
        </is>
      </c>
      <c r="B1357" s="1" t="n">
        <v>44509</v>
      </c>
      <c r="C1357" s="1" t="n">
        <v>45260</v>
      </c>
      <c r="D1357" t="inlineStr">
        <is>
          <t>VÄSTERNORRLANDS LÄN</t>
        </is>
      </c>
      <c r="E1357" t="inlineStr">
        <is>
          <t>ÖRNSKÖLDSVIK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64116-2021</t>
        </is>
      </c>
      <c r="B1358" s="1" t="n">
        <v>44509</v>
      </c>
      <c r="C1358" s="1" t="n">
        <v>45260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64018-2021</t>
        </is>
      </c>
      <c r="B1359" s="1" t="n">
        <v>44510</v>
      </c>
      <c r="C1359" s="1" t="n">
        <v>45260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64114-2021</t>
        </is>
      </c>
      <c r="B1360" s="1" t="n">
        <v>44510</v>
      </c>
      <c r="C1360" s="1" t="n">
        <v>45260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64054-2021</t>
        </is>
      </c>
      <c r="B1361" s="1" t="n">
        <v>44510</v>
      </c>
      <c r="C1361" s="1" t="n">
        <v>45260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64434-2021</t>
        </is>
      </c>
      <c r="B1362" s="1" t="n">
        <v>44511</v>
      </c>
      <c r="C1362" s="1" t="n">
        <v>45260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64381-2021</t>
        </is>
      </c>
      <c r="B1363" s="1" t="n">
        <v>44511</v>
      </c>
      <c r="C1363" s="1" t="n">
        <v>45260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64437-2021</t>
        </is>
      </c>
      <c r="B1364" s="1" t="n">
        <v>44511</v>
      </c>
      <c r="C1364" s="1" t="n">
        <v>45260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64390-2021</t>
        </is>
      </c>
      <c r="B1365" s="1" t="n">
        <v>44511</v>
      </c>
      <c r="C1365" s="1" t="n">
        <v>45260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64542-2021</t>
        </is>
      </c>
      <c r="B1366" s="1" t="n">
        <v>44511</v>
      </c>
      <c r="C1366" s="1" t="n">
        <v>45260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64714-2021</t>
        </is>
      </c>
      <c r="B1367" s="1" t="n">
        <v>44512</v>
      </c>
      <c r="C1367" s="1" t="n">
        <v>45260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64707-2021</t>
        </is>
      </c>
      <c r="B1368" s="1" t="n">
        <v>44512</v>
      </c>
      <c r="C1368" s="1" t="n">
        <v>45260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64716-2021</t>
        </is>
      </c>
      <c r="B1369" s="1" t="n">
        <v>44512</v>
      </c>
      <c r="C1369" s="1" t="n">
        <v>45260</v>
      </c>
      <c r="D1369" t="inlineStr">
        <is>
          <t>VÄSTERNORRLANDS LÄN</t>
        </is>
      </c>
      <c r="E1369" t="inlineStr">
        <is>
          <t>ÖRNSKÖLDSVIK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64722-2021</t>
        </is>
      </c>
      <c r="B1370" s="1" t="n">
        <v>44512</v>
      </c>
      <c r="C1370" s="1" t="n">
        <v>45260</v>
      </c>
      <c r="D1370" t="inlineStr">
        <is>
          <t>VÄSTERNORRLANDS LÄN</t>
        </is>
      </c>
      <c r="E1370" t="inlineStr">
        <is>
          <t>ÖRNSKÖLDSVIK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64793-2021</t>
        </is>
      </c>
      <c r="B1371" s="1" t="n">
        <v>44512</v>
      </c>
      <c r="C1371" s="1" t="n">
        <v>45260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64911-2021</t>
        </is>
      </c>
      <c r="B1372" s="1" t="n">
        <v>44512</v>
      </c>
      <c r="C1372" s="1" t="n">
        <v>45260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64987-2021</t>
        </is>
      </c>
      <c r="B1373" s="1" t="n">
        <v>44514</v>
      </c>
      <c r="C1373" s="1" t="n">
        <v>45260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65107-2021</t>
        </is>
      </c>
      <c r="B1374" s="1" t="n">
        <v>44515</v>
      </c>
      <c r="C1374" s="1" t="n">
        <v>45260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65189-2021</t>
        </is>
      </c>
      <c r="B1375" s="1" t="n">
        <v>44515</v>
      </c>
      <c r="C1375" s="1" t="n">
        <v>45260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65503-2021</t>
        </is>
      </c>
      <c r="B1376" s="1" t="n">
        <v>44516</v>
      </c>
      <c r="C1376" s="1" t="n">
        <v>45260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65577-2021</t>
        </is>
      </c>
      <c r="B1377" s="1" t="n">
        <v>44516</v>
      </c>
      <c r="C1377" s="1" t="n">
        <v>45260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65785-2021</t>
        </is>
      </c>
      <c r="B1378" s="1" t="n">
        <v>44516</v>
      </c>
      <c r="C1378" s="1" t="n">
        <v>45260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66504-2021</t>
        </is>
      </c>
      <c r="B1379" s="1" t="n">
        <v>44517</v>
      </c>
      <c r="C1379" s="1" t="n">
        <v>45260</v>
      </c>
      <c r="D1379" t="inlineStr">
        <is>
          <t>VÄSTERNORRLANDS LÄN</t>
        </is>
      </c>
      <c r="E1379" t="inlineStr">
        <is>
          <t>ÖRNSKÖLDSVIK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66575-2021</t>
        </is>
      </c>
      <c r="B1380" s="1" t="n">
        <v>44519</v>
      </c>
      <c r="C1380" s="1" t="n">
        <v>45260</v>
      </c>
      <c r="D1380" t="inlineStr">
        <is>
          <t>VÄSTERNORRLANDS LÄN</t>
        </is>
      </c>
      <c r="E1380" t="inlineStr">
        <is>
          <t>ÖRNSKÖLDSVIK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66636-2021</t>
        </is>
      </c>
      <c r="B1381" s="1" t="n">
        <v>44519</v>
      </c>
      <c r="C1381" s="1" t="n">
        <v>45260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66750-2021</t>
        </is>
      </c>
      <c r="B1382" s="1" t="n">
        <v>44521</v>
      </c>
      <c r="C1382" s="1" t="n">
        <v>45260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66755-2021</t>
        </is>
      </c>
      <c r="B1383" s="1" t="n">
        <v>44521</v>
      </c>
      <c r="C1383" s="1" t="n">
        <v>45260</v>
      </c>
      <c r="D1383" t="inlineStr">
        <is>
          <t>VÄSTERNORRLANDS LÄN</t>
        </is>
      </c>
      <c r="E1383" t="inlineStr">
        <is>
          <t>ÖRNSKÖLDSVIK</t>
        </is>
      </c>
      <c r="G1383" t="n">
        <v>34.8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66749-2021</t>
        </is>
      </c>
      <c r="B1384" s="1" t="n">
        <v>44521</v>
      </c>
      <c r="C1384" s="1" t="n">
        <v>45260</v>
      </c>
      <c r="D1384" t="inlineStr">
        <is>
          <t>VÄSTERNORRLANDS LÄN</t>
        </is>
      </c>
      <c r="E1384" t="inlineStr">
        <is>
          <t>ÖRNSKÖLDSVIK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66753-2021</t>
        </is>
      </c>
      <c r="B1385" s="1" t="n">
        <v>44521</v>
      </c>
      <c r="C1385" s="1" t="n">
        <v>45260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66751-2021</t>
        </is>
      </c>
      <c r="B1386" s="1" t="n">
        <v>44521</v>
      </c>
      <c r="C1386" s="1" t="n">
        <v>45260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66752-2021</t>
        </is>
      </c>
      <c r="B1387" s="1" t="n">
        <v>44521</v>
      </c>
      <c r="C1387" s="1" t="n">
        <v>45260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67448-2021</t>
        </is>
      </c>
      <c r="B1388" s="1" t="n">
        <v>44524</v>
      </c>
      <c r="C1388" s="1" t="n">
        <v>45260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67452-2021</t>
        </is>
      </c>
      <c r="B1389" s="1" t="n">
        <v>44524</v>
      </c>
      <c r="C1389" s="1" t="n">
        <v>45260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67466-2021</t>
        </is>
      </c>
      <c r="B1390" s="1" t="n">
        <v>44524</v>
      </c>
      <c r="C1390" s="1" t="n">
        <v>45260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67806-2021</t>
        </is>
      </c>
      <c r="B1391" s="1" t="n">
        <v>44525</v>
      </c>
      <c r="C1391" s="1" t="n">
        <v>45260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67765-2021</t>
        </is>
      </c>
      <c r="B1392" s="1" t="n">
        <v>44525</v>
      </c>
      <c r="C1392" s="1" t="n">
        <v>45260</v>
      </c>
      <c r="D1392" t="inlineStr">
        <is>
          <t>VÄSTERNORRLANDS LÄN</t>
        </is>
      </c>
      <c r="E1392" t="inlineStr">
        <is>
          <t>ÖRNSKÖLDSVIK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67824-2021</t>
        </is>
      </c>
      <c r="B1393" s="1" t="n">
        <v>44525</v>
      </c>
      <c r="C1393" s="1" t="n">
        <v>45260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67816-2021</t>
        </is>
      </c>
      <c r="B1394" s="1" t="n">
        <v>44525</v>
      </c>
      <c r="C1394" s="1" t="n">
        <v>45260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67834-2021</t>
        </is>
      </c>
      <c r="B1395" s="1" t="n">
        <v>44525</v>
      </c>
      <c r="C1395" s="1" t="n">
        <v>45260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67865-2021</t>
        </is>
      </c>
      <c r="B1396" s="1" t="n">
        <v>44525</v>
      </c>
      <c r="C1396" s="1" t="n">
        <v>45260</v>
      </c>
      <c r="D1396" t="inlineStr">
        <is>
          <t>VÄSTERNORRLANDS LÄN</t>
        </is>
      </c>
      <c r="E1396" t="inlineStr">
        <is>
          <t>ÖRNSKÖLDSVIK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68145-2021</t>
        </is>
      </c>
      <c r="B1397" s="1" t="n">
        <v>44526</v>
      </c>
      <c r="C1397" s="1" t="n">
        <v>45260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68314-2021</t>
        </is>
      </c>
      <c r="B1398" s="1" t="n">
        <v>44526</v>
      </c>
      <c r="C1398" s="1" t="n">
        <v>45260</v>
      </c>
      <c r="D1398" t="inlineStr">
        <is>
          <t>VÄSTERNORRLANDS LÄN</t>
        </is>
      </c>
      <c r="E1398" t="inlineStr">
        <is>
          <t>ÖRNSKÖLDSVIK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68324-2021</t>
        </is>
      </c>
      <c r="B1399" s="1" t="n">
        <v>44527</v>
      </c>
      <c r="C1399" s="1" t="n">
        <v>45260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68152-2021</t>
        </is>
      </c>
      <c r="B1400" s="1" t="n">
        <v>44526</v>
      </c>
      <c r="C1400" s="1" t="n">
        <v>45260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68315-2021</t>
        </is>
      </c>
      <c r="B1401" s="1" t="n">
        <v>44526</v>
      </c>
      <c r="C1401" s="1" t="n">
        <v>45260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68326-2021</t>
        </is>
      </c>
      <c r="B1402" s="1" t="n">
        <v>44527</v>
      </c>
      <c r="C1402" s="1" t="n">
        <v>45260</v>
      </c>
      <c r="D1402" t="inlineStr">
        <is>
          <t>VÄSTERNORRLANDS LÄN</t>
        </is>
      </c>
      <c r="E1402" t="inlineStr">
        <is>
          <t>ÖRNSKÖLDSVIK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68084-2021</t>
        </is>
      </c>
      <c r="B1403" s="1" t="n">
        <v>44526</v>
      </c>
      <c r="C1403" s="1" t="n">
        <v>45260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68378-2021</t>
        </is>
      </c>
      <c r="B1404" s="1" t="n">
        <v>44529</v>
      </c>
      <c r="C1404" s="1" t="n">
        <v>45260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68748-2021</t>
        </is>
      </c>
      <c r="B1405" s="1" t="n">
        <v>44529</v>
      </c>
      <c r="C1405" s="1" t="n">
        <v>45260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68829-2021</t>
        </is>
      </c>
      <c r="B1406" s="1" t="n">
        <v>44529</v>
      </c>
      <c r="C1406" s="1" t="n">
        <v>45260</v>
      </c>
      <c r="D1406" t="inlineStr">
        <is>
          <t>VÄSTERNORRLANDS LÄN</t>
        </is>
      </c>
      <c r="E1406" t="inlineStr">
        <is>
          <t>ÖRNSKÖLDSVIK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68934-2021</t>
        </is>
      </c>
      <c r="B1407" s="1" t="n">
        <v>44529</v>
      </c>
      <c r="C1407" s="1" t="n">
        <v>45260</v>
      </c>
      <c r="D1407" t="inlineStr">
        <is>
          <t>VÄSTERNORRLANDS LÄN</t>
        </is>
      </c>
      <c r="E1407" t="inlineStr">
        <is>
          <t>ÖRNSKÖLDSVIK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68750-2021</t>
        </is>
      </c>
      <c r="B1408" s="1" t="n">
        <v>44529</v>
      </c>
      <c r="C1408" s="1" t="n">
        <v>45260</v>
      </c>
      <c r="D1408" t="inlineStr">
        <is>
          <t>VÄSTERNORRLANDS LÄN</t>
        </is>
      </c>
      <c r="E1408" t="inlineStr">
        <is>
          <t>ÖRNSKÖLDSVIK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68815-2021</t>
        </is>
      </c>
      <c r="B1409" s="1" t="n">
        <v>44529</v>
      </c>
      <c r="C1409" s="1" t="n">
        <v>45260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68753-2021</t>
        </is>
      </c>
      <c r="B1410" s="1" t="n">
        <v>44529</v>
      </c>
      <c r="C1410" s="1" t="n">
        <v>45260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68866-2021</t>
        </is>
      </c>
      <c r="B1411" s="1" t="n">
        <v>44529</v>
      </c>
      <c r="C1411" s="1" t="n">
        <v>45260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69000-2021</t>
        </is>
      </c>
      <c r="B1412" s="1" t="n">
        <v>44530</v>
      </c>
      <c r="C1412" s="1" t="n">
        <v>45260</v>
      </c>
      <c r="D1412" t="inlineStr">
        <is>
          <t>VÄSTERNORRLANDS LÄN</t>
        </is>
      </c>
      <c r="E1412" t="inlineStr">
        <is>
          <t>ÖRNSKÖLDSVIK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68876-2021</t>
        </is>
      </c>
      <c r="B1413" s="1" t="n">
        <v>44530</v>
      </c>
      <c r="C1413" s="1" t="n">
        <v>45260</v>
      </c>
      <c r="D1413" t="inlineStr">
        <is>
          <t>VÄSTERNORRLANDS LÄN</t>
        </is>
      </c>
      <c r="E1413" t="inlineStr">
        <is>
          <t>ÖRNSKÖLDSVIK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69296-2021</t>
        </is>
      </c>
      <c r="B1414" s="1" t="n">
        <v>44531</v>
      </c>
      <c r="C1414" s="1" t="n">
        <v>45260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69183-2021</t>
        </is>
      </c>
      <c r="B1415" s="1" t="n">
        <v>44531</v>
      </c>
      <c r="C1415" s="1" t="n">
        <v>45260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69414-2021</t>
        </is>
      </c>
      <c r="B1416" s="1" t="n">
        <v>44531</v>
      </c>
      <c r="C1416" s="1" t="n">
        <v>45260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69593-2021</t>
        </is>
      </c>
      <c r="B1417" s="1" t="n">
        <v>44532</v>
      </c>
      <c r="C1417" s="1" t="n">
        <v>45260</v>
      </c>
      <c r="D1417" t="inlineStr">
        <is>
          <t>VÄSTERNORRLANDS LÄN</t>
        </is>
      </c>
      <c r="E1417" t="inlineStr">
        <is>
          <t>ÖRNSKÖLDSVIK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69799-2021</t>
        </is>
      </c>
      <c r="B1418" s="1" t="n">
        <v>44532</v>
      </c>
      <c r="C1418" s="1" t="n">
        <v>45260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69771-2021</t>
        </is>
      </c>
      <c r="B1419" s="1" t="n">
        <v>44532</v>
      </c>
      <c r="C1419" s="1" t="n">
        <v>45260</v>
      </c>
      <c r="D1419" t="inlineStr">
        <is>
          <t>VÄSTERNORRLANDS LÄN</t>
        </is>
      </c>
      <c r="E1419" t="inlineStr">
        <is>
          <t>ÖRNSKÖLDSVIK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69786-2021</t>
        </is>
      </c>
      <c r="B1420" s="1" t="n">
        <v>44532</v>
      </c>
      <c r="C1420" s="1" t="n">
        <v>45260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69820-2021</t>
        </is>
      </c>
      <c r="B1421" s="1" t="n">
        <v>44532</v>
      </c>
      <c r="C1421" s="1" t="n">
        <v>45260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69772-2021</t>
        </is>
      </c>
      <c r="B1422" s="1" t="n">
        <v>44532</v>
      </c>
      <c r="C1422" s="1" t="n">
        <v>45260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69971-2021</t>
        </is>
      </c>
      <c r="B1423" s="1" t="n">
        <v>44533</v>
      </c>
      <c r="C1423" s="1" t="n">
        <v>45260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69962-2021</t>
        </is>
      </c>
      <c r="B1424" s="1" t="n">
        <v>44533</v>
      </c>
      <c r="C1424" s="1" t="n">
        <v>45260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70286-2021</t>
        </is>
      </c>
      <c r="B1425" s="1" t="n">
        <v>44536</v>
      </c>
      <c r="C1425" s="1" t="n">
        <v>45260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70307-2021</t>
        </is>
      </c>
      <c r="B1426" s="1" t="n">
        <v>44536</v>
      </c>
      <c r="C1426" s="1" t="n">
        <v>45260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70770-2021</t>
        </is>
      </c>
      <c r="B1427" s="1" t="n">
        <v>44536</v>
      </c>
      <c r="C1427" s="1" t="n">
        <v>45260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70581-2021</t>
        </is>
      </c>
      <c r="B1428" s="1" t="n">
        <v>44537</v>
      </c>
      <c r="C1428" s="1" t="n">
        <v>45260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70885-2021</t>
        </is>
      </c>
      <c r="B1429" s="1" t="n">
        <v>44537</v>
      </c>
      <c r="C1429" s="1" t="n">
        <v>45260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71074-2021</t>
        </is>
      </c>
      <c r="B1430" s="1" t="n">
        <v>44538</v>
      </c>
      <c r="C1430" s="1" t="n">
        <v>45260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71076-2021</t>
        </is>
      </c>
      <c r="B1431" s="1" t="n">
        <v>44538</v>
      </c>
      <c r="C1431" s="1" t="n">
        <v>45260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71430-2021</t>
        </is>
      </c>
      <c r="B1432" s="1" t="n">
        <v>44540</v>
      </c>
      <c r="C1432" s="1" t="n">
        <v>45260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71453-2021</t>
        </is>
      </c>
      <c r="B1433" s="1" t="n">
        <v>44540</v>
      </c>
      <c r="C1433" s="1" t="n">
        <v>45260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71547-2021</t>
        </is>
      </c>
      <c r="B1434" s="1" t="n">
        <v>44540</v>
      </c>
      <c r="C1434" s="1" t="n">
        <v>45260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71974-2021</t>
        </is>
      </c>
      <c r="B1435" s="1" t="n">
        <v>44544</v>
      </c>
      <c r="C1435" s="1" t="n">
        <v>45260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72397-2021</t>
        </is>
      </c>
      <c r="B1436" s="1" t="n">
        <v>44545</v>
      </c>
      <c r="C1436" s="1" t="n">
        <v>45260</v>
      </c>
      <c r="D1436" t="inlineStr">
        <is>
          <t>VÄSTERNORRLANDS LÄN</t>
        </is>
      </c>
      <c r="E1436" t="inlineStr">
        <is>
          <t>ÖRNSKÖLDSVIK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72642-2021</t>
        </is>
      </c>
      <c r="B1437" s="1" t="n">
        <v>44545</v>
      </c>
      <c r="C1437" s="1" t="n">
        <v>45260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72521-2021</t>
        </is>
      </c>
      <c r="B1438" s="1" t="n">
        <v>44546</v>
      </c>
      <c r="C1438" s="1" t="n">
        <v>45260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72519-2021</t>
        </is>
      </c>
      <c r="B1439" s="1" t="n">
        <v>44546</v>
      </c>
      <c r="C1439" s="1" t="n">
        <v>45260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72876-2021</t>
        </is>
      </c>
      <c r="B1440" s="1" t="n">
        <v>44547</v>
      </c>
      <c r="C1440" s="1" t="n">
        <v>45260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73344-2021</t>
        </is>
      </c>
      <c r="B1441" s="1" t="n">
        <v>44550</v>
      </c>
      <c r="C1441" s="1" t="n">
        <v>45260</v>
      </c>
      <c r="D1441" t="inlineStr">
        <is>
          <t>VÄSTERNORRLANDS LÄN</t>
        </is>
      </c>
      <c r="E1441" t="inlineStr">
        <is>
          <t>ÖRNSKÖLDSVIK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73269-2021</t>
        </is>
      </c>
      <c r="B1442" s="1" t="n">
        <v>44550</v>
      </c>
      <c r="C1442" s="1" t="n">
        <v>45260</v>
      </c>
      <c r="D1442" t="inlineStr">
        <is>
          <t>VÄSTERNORRLANDS LÄN</t>
        </is>
      </c>
      <c r="E1442" t="inlineStr">
        <is>
          <t>ÖRNSKÖLDSVIK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73637-2021</t>
        </is>
      </c>
      <c r="B1443" s="1" t="n">
        <v>44552</v>
      </c>
      <c r="C1443" s="1" t="n">
        <v>45260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73723-2021</t>
        </is>
      </c>
      <c r="B1444" s="1" t="n">
        <v>44552</v>
      </c>
      <c r="C1444" s="1" t="n">
        <v>45260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73733-2021</t>
        </is>
      </c>
      <c r="B1445" s="1" t="n">
        <v>44552</v>
      </c>
      <c r="C1445" s="1" t="n">
        <v>45260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73763-2021</t>
        </is>
      </c>
      <c r="B1446" s="1" t="n">
        <v>44552</v>
      </c>
      <c r="C1446" s="1" t="n">
        <v>45260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135-2022</t>
        </is>
      </c>
      <c r="B1447" s="1" t="n">
        <v>44564</v>
      </c>
      <c r="C1447" s="1" t="n">
        <v>45260</v>
      </c>
      <c r="D1447" t="inlineStr">
        <is>
          <t>VÄSTERNORRLANDS LÄN</t>
        </is>
      </c>
      <c r="E1447" t="inlineStr">
        <is>
          <t>ÖRNSKÖLDSVIK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352-2022</t>
        </is>
      </c>
      <c r="B1448" s="1" t="n">
        <v>44564</v>
      </c>
      <c r="C1448" s="1" t="n">
        <v>45260</v>
      </c>
      <c r="D1448" t="inlineStr">
        <is>
          <t>VÄSTERNORRLANDS LÄN</t>
        </is>
      </c>
      <c r="E1448" t="inlineStr">
        <is>
          <t>ÖRNSKÖLDSVIK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689-2022</t>
        </is>
      </c>
      <c r="B1449" s="1" t="n">
        <v>44566</v>
      </c>
      <c r="C1449" s="1" t="n">
        <v>45260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683-2022</t>
        </is>
      </c>
      <c r="B1450" s="1" t="n">
        <v>44566</v>
      </c>
      <c r="C1450" s="1" t="n">
        <v>45260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699-2022</t>
        </is>
      </c>
      <c r="B1451" s="1" t="n">
        <v>44568</v>
      </c>
      <c r="C1451" s="1" t="n">
        <v>45260</v>
      </c>
      <c r="D1451" t="inlineStr">
        <is>
          <t>VÄSTERNORRLANDS LÄN</t>
        </is>
      </c>
      <c r="E1451" t="inlineStr">
        <is>
          <t>ÖRNSKÖLDSVIK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832-2022</t>
        </is>
      </c>
      <c r="B1452" s="1" t="n">
        <v>44568</v>
      </c>
      <c r="C1452" s="1" t="n">
        <v>45260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851-2022</t>
        </is>
      </c>
      <c r="B1453" s="1" t="n">
        <v>44568</v>
      </c>
      <c r="C1453" s="1" t="n">
        <v>45260</v>
      </c>
      <c r="D1453" t="inlineStr">
        <is>
          <t>VÄSTERNORRLANDS LÄN</t>
        </is>
      </c>
      <c r="E1453" t="inlineStr">
        <is>
          <t>ÖRNSKÖLDSVIK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944-2022</t>
        </is>
      </c>
      <c r="B1454" s="1" t="n">
        <v>44568</v>
      </c>
      <c r="C1454" s="1" t="n">
        <v>45260</v>
      </c>
      <c r="D1454" t="inlineStr">
        <is>
          <t>VÄSTERNORRLANDS LÄN</t>
        </is>
      </c>
      <c r="E1454" t="inlineStr">
        <is>
          <t>ÖRNSKÖLDSVIK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974-2022</t>
        </is>
      </c>
      <c r="B1455" s="1" t="n">
        <v>44571</v>
      </c>
      <c r="C1455" s="1" t="n">
        <v>45260</v>
      </c>
      <c r="D1455" t="inlineStr">
        <is>
          <t>VÄSTERNORRLANDS LÄN</t>
        </is>
      </c>
      <c r="E1455" t="inlineStr">
        <is>
          <t>ÖRNSKÖLDSVIK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1471-2022</t>
        </is>
      </c>
      <c r="B1456" s="1" t="n">
        <v>44573</v>
      </c>
      <c r="C1456" s="1" t="n">
        <v>45260</v>
      </c>
      <c r="D1456" t="inlineStr">
        <is>
          <t>VÄSTERNORRLANDS LÄN</t>
        </is>
      </c>
      <c r="E1456" t="inlineStr">
        <is>
          <t>ÖRNSKÖLDSVIK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1681-2022</t>
        </is>
      </c>
      <c r="B1457" s="1" t="n">
        <v>44574</v>
      </c>
      <c r="C1457" s="1" t="n">
        <v>45260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1706-2022</t>
        </is>
      </c>
      <c r="B1458" s="1" t="n">
        <v>44574</v>
      </c>
      <c r="C1458" s="1" t="n">
        <v>45260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1738-2022</t>
        </is>
      </c>
      <c r="B1459" s="1" t="n">
        <v>44574</v>
      </c>
      <c r="C1459" s="1" t="n">
        <v>45260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1763-2022</t>
        </is>
      </c>
      <c r="B1460" s="1" t="n">
        <v>44574</v>
      </c>
      <c r="C1460" s="1" t="n">
        <v>45260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2268-2022</t>
        </is>
      </c>
      <c r="B1461" s="1" t="n">
        <v>44578</v>
      </c>
      <c r="C1461" s="1" t="n">
        <v>45260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2271-2022</t>
        </is>
      </c>
      <c r="B1462" s="1" t="n">
        <v>44578</v>
      </c>
      <c r="C1462" s="1" t="n">
        <v>45260</v>
      </c>
      <c r="D1462" t="inlineStr">
        <is>
          <t>VÄSTERNORRLANDS LÄN</t>
        </is>
      </c>
      <c r="E1462" t="inlineStr">
        <is>
          <t>ÖRNSKÖLDSVIK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2488-2022</t>
        </is>
      </c>
      <c r="B1463" s="1" t="n">
        <v>44579</v>
      </c>
      <c r="C1463" s="1" t="n">
        <v>45260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2752-2022</t>
        </is>
      </c>
      <c r="B1464" s="1" t="n">
        <v>44580</v>
      </c>
      <c r="C1464" s="1" t="n">
        <v>45260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2753-2022</t>
        </is>
      </c>
      <c r="B1465" s="1" t="n">
        <v>44580</v>
      </c>
      <c r="C1465" s="1" t="n">
        <v>45260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3329-2022</t>
        </is>
      </c>
      <c r="B1466" s="1" t="n">
        <v>44585</v>
      </c>
      <c r="C1466" s="1" t="n">
        <v>45260</v>
      </c>
      <c r="D1466" t="inlineStr">
        <is>
          <t>VÄSTERNORRLANDS LÄN</t>
        </is>
      </c>
      <c r="E1466" t="inlineStr">
        <is>
          <t>ÖRNSKÖLDSVIK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3942-2022</t>
        </is>
      </c>
      <c r="B1467" s="1" t="n">
        <v>44587</v>
      </c>
      <c r="C1467" s="1" t="n">
        <v>45260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4087-2022</t>
        </is>
      </c>
      <c r="B1468" s="1" t="n">
        <v>44588</v>
      </c>
      <c r="C1468" s="1" t="n">
        <v>45260</v>
      </c>
      <c r="D1468" t="inlineStr">
        <is>
          <t>VÄSTERNORRLANDS LÄN</t>
        </is>
      </c>
      <c r="E1468" t="inlineStr">
        <is>
          <t>ÖRNSKÖLDSVIK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4050-2022</t>
        </is>
      </c>
      <c r="B1469" s="1" t="n">
        <v>44588</v>
      </c>
      <c r="C1469" s="1" t="n">
        <v>45260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4428-2022</t>
        </is>
      </c>
      <c r="B1470" s="1" t="n">
        <v>44589</v>
      </c>
      <c r="C1470" s="1" t="n">
        <v>45260</v>
      </c>
      <c r="D1470" t="inlineStr">
        <is>
          <t>VÄSTERNORRLANDS LÄN</t>
        </is>
      </c>
      <c r="E1470" t="inlineStr">
        <is>
          <t>ÖRNSKÖLDSVIK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4794-2022</t>
        </is>
      </c>
      <c r="B1471" s="1" t="n">
        <v>44592</v>
      </c>
      <c r="C1471" s="1" t="n">
        <v>45260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5102-2022</t>
        </is>
      </c>
      <c r="B1472" s="1" t="n">
        <v>44593</v>
      </c>
      <c r="C1472" s="1" t="n">
        <v>45260</v>
      </c>
      <c r="D1472" t="inlineStr">
        <is>
          <t>VÄSTERNORRLANDS LÄN</t>
        </is>
      </c>
      <c r="E1472" t="inlineStr">
        <is>
          <t>ÖRNSKÖLDSVIK</t>
        </is>
      </c>
      <c r="G1472" t="n">
        <v>16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5392-2022</t>
        </is>
      </c>
      <c r="B1473" s="1" t="n">
        <v>44594</v>
      </c>
      <c r="C1473" s="1" t="n">
        <v>45260</v>
      </c>
      <c r="D1473" t="inlineStr">
        <is>
          <t>VÄSTERNORRLANDS LÄN</t>
        </is>
      </c>
      <c r="E1473" t="inlineStr">
        <is>
          <t>ÖRNSKÖLDSVIK</t>
        </is>
      </c>
      <c r="G1473" t="n">
        <v>22.3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5403-2022</t>
        </is>
      </c>
      <c r="B1474" s="1" t="n">
        <v>44594</v>
      </c>
      <c r="C1474" s="1" t="n">
        <v>45260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5994-2022</t>
        </is>
      </c>
      <c r="B1475" s="1" t="n">
        <v>44599</v>
      </c>
      <c r="C1475" s="1" t="n">
        <v>45260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6409-2022</t>
        </is>
      </c>
      <c r="B1476" s="1" t="n">
        <v>44600</v>
      </c>
      <c r="C1476" s="1" t="n">
        <v>45260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6594-2022</t>
        </is>
      </c>
      <c r="B1477" s="1" t="n">
        <v>44601</v>
      </c>
      <c r="C1477" s="1" t="n">
        <v>45260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7873-2022</t>
        </is>
      </c>
      <c r="B1478" s="1" t="n">
        <v>44608</v>
      </c>
      <c r="C1478" s="1" t="n">
        <v>45260</v>
      </c>
      <c r="D1478" t="inlineStr">
        <is>
          <t>VÄSTERNORRLANDS LÄN</t>
        </is>
      </c>
      <c r="E1478" t="inlineStr">
        <is>
          <t>ÖRNSKÖLDSVIK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7866-2022</t>
        </is>
      </c>
      <c r="B1479" s="1" t="n">
        <v>44608</v>
      </c>
      <c r="C1479" s="1" t="n">
        <v>45260</v>
      </c>
      <c r="D1479" t="inlineStr">
        <is>
          <t>VÄSTERNORRLANDS LÄN</t>
        </is>
      </c>
      <c r="E1479" t="inlineStr">
        <is>
          <t>ÖRNSKÖLDSVIK</t>
        </is>
      </c>
      <c r="G1479" t="n">
        <v>23.8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8581-2022</t>
        </is>
      </c>
      <c r="B1480" s="1" t="n">
        <v>44613</v>
      </c>
      <c r="C1480" s="1" t="n">
        <v>45260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9028-2022</t>
        </is>
      </c>
      <c r="B1481" s="1" t="n">
        <v>44615</v>
      </c>
      <c r="C1481" s="1" t="n">
        <v>45260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10423-2022</t>
        </is>
      </c>
      <c r="B1482" s="1" t="n">
        <v>44623</v>
      </c>
      <c r="C1482" s="1" t="n">
        <v>45260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10453-2022</t>
        </is>
      </c>
      <c r="B1483" s="1" t="n">
        <v>44623</v>
      </c>
      <c r="C1483" s="1" t="n">
        <v>45260</v>
      </c>
      <c r="D1483" t="inlineStr">
        <is>
          <t>VÄSTERNORRLANDS LÄN</t>
        </is>
      </c>
      <c r="E1483" t="inlineStr">
        <is>
          <t>ÖRNSKÖLDSVIK</t>
        </is>
      </c>
      <c r="G1483" t="n">
        <v>17.3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10472-2022</t>
        </is>
      </c>
      <c r="B1484" s="1" t="n">
        <v>44623</v>
      </c>
      <c r="C1484" s="1" t="n">
        <v>45260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10574-2022</t>
        </is>
      </c>
      <c r="B1485" s="1" t="n">
        <v>44623</v>
      </c>
      <c r="C1485" s="1" t="n">
        <v>45260</v>
      </c>
      <c r="D1485" t="inlineStr">
        <is>
          <t>VÄSTERNORRLANDS LÄN</t>
        </is>
      </c>
      <c r="E1485" t="inlineStr">
        <is>
          <t>ÖRNSKÖLDSVIK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10603-2022</t>
        </is>
      </c>
      <c r="B1486" s="1" t="n">
        <v>44623</v>
      </c>
      <c r="C1486" s="1" t="n">
        <v>45260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10559-2022</t>
        </is>
      </c>
      <c r="B1487" s="1" t="n">
        <v>44623</v>
      </c>
      <c r="C1487" s="1" t="n">
        <v>45260</v>
      </c>
      <c r="D1487" t="inlineStr">
        <is>
          <t>VÄSTERNORRLANDS LÄN</t>
        </is>
      </c>
      <c r="E1487" t="inlineStr">
        <is>
          <t>ÖRNSKÖLDSVIK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10606-2022</t>
        </is>
      </c>
      <c r="B1488" s="1" t="n">
        <v>44624</v>
      </c>
      <c r="C1488" s="1" t="n">
        <v>45260</v>
      </c>
      <c r="D1488" t="inlineStr">
        <is>
          <t>VÄSTERNORRLANDS LÄN</t>
        </is>
      </c>
      <c r="E1488" t="inlineStr">
        <is>
          <t>ÖRNSKÖLDSVIK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11142-2022</t>
        </is>
      </c>
      <c r="B1489" s="1" t="n">
        <v>44629</v>
      </c>
      <c r="C1489" s="1" t="n">
        <v>45260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11932-2022</t>
        </is>
      </c>
      <c r="B1490" s="1" t="n">
        <v>44635</v>
      </c>
      <c r="C1490" s="1" t="n">
        <v>45260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11976-2022</t>
        </is>
      </c>
      <c r="B1491" s="1" t="n">
        <v>44635</v>
      </c>
      <c r="C1491" s="1" t="n">
        <v>45260</v>
      </c>
      <c r="D1491" t="inlineStr">
        <is>
          <t>VÄSTERNORRLANDS LÄN</t>
        </is>
      </c>
      <c r="E1491" t="inlineStr">
        <is>
          <t>ÖRNSKÖLDSVIK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11984-2022</t>
        </is>
      </c>
      <c r="B1492" s="1" t="n">
        <v>44635</v>
      </c>
      <c r="C1492" s="1" t="n">
        <v>45260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12475-2022</t>
        </is>
      </c>
      <c r="B1493" s="1" t="n">
        <v>44638</v>
      </c>
      <c r="C1493" s="1" t="n">
        <v>45260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12621-2022</t>
        </is>
      </c>
      <c r="B1494" s="1" t="n">
        <v>44641</v>
      </c>
      <c r="C1494" s="1" t="n">
        <v>45260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12903-2022</t>
        </is>
      </c>
      <c r="B1495" s="1" t="n">
        <v>44642</v>
      </c>
      <c r="C1495" s="1" t="n">
        <v>45260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12960-2022</t>
        </is>
      </c>
      <c r="B1496" s="1" t="n">
        <v>44642</v>
      </c>
      <c r="C1496" s="1" t="n">
        <v>45260</v>
      </c>
      <c r="D1496" t="inlineStr">
        <is>
          <t>VÄSTERNORRLANDS LÄN</t>
        </is>
      </c>
      <c r="E1496" t="inlineStr">
        <is>
          <t>ÖRNSKÖLDSVIK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13787-2022</t>
        </is>
      </c>
      <c r="B1497" s="1" t="n">
        <v>44649</v>
      </c>
      <c r="C1497" s="1" t="n">
        <v>45260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13887-2022</t>
        </is>
      </c>
      <c r="B1498" s="1" t="n">
        <v>44649</v>
      </c>
      <c r="C1498" s="1" t="n">
        <v>45260</v>
      </c>
      <c r="D1498" t="inlineStr">
        <is>
          <t>VÄSTERNORRLANDS LÄN</t>
        </is>
      </c>
      <c r="E1498" t="inlineStr">
        <is>
          <t>ÖRNSKÖLDSVIK</t>
        </is>
      </c>
      <c r="G1498" t="n">
        <v>20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14403-2022</t>
        </is>
      </c>
      <c r="B1499" s="1" t="n">
        <v>44652</v>
      </c>
      <c r="C1499" s="1" t="n">
        <v>45260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15030-2022</t>
        </is>
      </c>
      <c r="B1500" s="1" t="n">
        <v>44657</v>
      </c>
      <c r="C1500" s="1" t="n">
        <v>45260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15103-2022</t>
        </is>
      </c>
      <c r="B1501" s="1" t="n">
        <v>44658</v>
      </c>
      <c r="C1501" s="1" t="n">
        <v>45260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15702-2022</t>
        </is>
      </c>
      <c r="B1502" s="1" t="n">
        <v>44663</v>
      </c>
      <c r="C1502" s="1" t="n">
        <v>45260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15692-2022</t>
        </is>
      </c>
      <c r="B1503" s="1" t="n">
        <v>44663</v>
      </c>
      <c r="C1503" s="1" t="n">
        <v>45260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16060-2022</t>
        </is>
      </c>
      <c r="B1504" s="1" t="n">
        <v>44665</v>
      </c>
      <c r="C1504" s="1" t="n">
        <v>45260</v>
      </c>
      <c r="D1504" t="inlineStr">
        <is>
          <t>VÄSTERNORRLANDS LÄN</t>
        </is>
      </c>
      <c r="E1504" t="inlineStr">
        <is>
          <t>ÖRNSKÖLDSVIK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16209-2022</t>
        </is>
      </c>
      <c r="B1505" s="1" t="n">
        <v>44670</v>
      </c>
      <c r="C1505" s="1" t="n">
        <v>45260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16211-2022</t>
        </is>
      </c>
      <c r="B1506" s="1" t="n">
        <v>44670</v>
      </c>
      <c r="C1506" s="1" t="n">
        <v>45260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16249-2022</t>
        </is>
      </c>
      <c r="B1507" s="1" t="n">
        <v>44670</v>
      </c>
      <c r="C1507" s="1" t="n">
        <v>45260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16336-2022</t>
        </is>
      </c>
      <c r="B1508" s="1" t="n">
        <v>44670</v>
      </c>
      <c r="C1508" s="1" t="n">
        <v>45260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16477-2022</t>
        </is>
      </c>
      <c r="B1509" s="1" t="n">
        <v>44671</v>
      </c>
      <c r="C1509" s="1" t="n">
        <v>45260</v>
      </c>
      <c r="D1509" t="inlineStr">
        <is>
          <t>VÄSTERNORRLANDS LÄN</t>
        </is>
      </c>
      <c r="E1509" t="inlineStr">
        <is>
          <t>ÖRNSKÖLDSVIK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16558-2022</t>
        </is>
      </c>
      <c r="B1510" s="1" t="n">
        <v>44672</v>
      </c>
      <c r="C1510" s="1" t="n">
        <v>45260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16725-2022</t>
        </is>
      </c>
      <c r="B1511" s="1" t="n">
        <v>44673</v>
      </c>
      <c r="C1511" s="1" t="n">
        <v>45260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17167-2022</t>
        </is>
      </c>
      <c r="B1512" s="1" t="n">
        <v>44677</v>
      </c>
      <c r="C1512" s="1" t="n">
        <v>45260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17219-2022</t>
        </is>
      </c>
      <c r="B1513" s="1" t="n">
        <v>44677</v>
      </c>
      <c r="C1513" s="1" t="n">
        <v>45260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17357-2022</t>
        </is>
      </c>
      <c r="B1514" s="1" t="n">
        <v>44678</v>
      </c>
      <c r="C1514" s="1" t="n">
        <v>45260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17386-2022</t>
        </is>
      </c>
      <c r="B1515" s="1" t="n">
        <v>44678</v>
      </c>
      <c r="C1515" s="1" t="n">
        <v>45260</v>
      </c>
      <c r="D1515" t="inlineStr">
        <is>
          <t>VÄSTERNORRLANDS LÄN</t>
        </is>
      </c>
      <c r="E1515" t="inlineStr">
        <is>
          <t>ÖRNSKÖLDSVIK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17589-2022</t>
        </is>
      </c>
      <c r="B1516" s="1" t="n">
        <v>44679</v>
      </c>
      <c r="C1516" s="1" t="n">
        <v>45260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17739-2022</t>
        </is>
      </c>
      <c r="B1517" s="1" t="n">
        <v>44680</v>
      </c>
      <c r="C1517" s="1" t="n">
        <v>45260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17778-2022</t>
        </is>
      </c>
      <c r="B1518" s="1" t="n">
        <v>44682</v>
      </c>
      <c r="C1518" s="1" t="n">
        <v>45260</v>
      </c>
      <c r="D1518" t="inlineStr">
        <is>
          <t>VÄSTERNORRLANDS LÄN</t>
        </is>
      </c>
      <c r="E1518" t="inlineStr">
        <is>
          <t>ÖRNSKÖLDSVIK</t>
        </is>
      </c>
      <c r="G1518" t="n">
        <v>15.6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17781-2022</t>
        </is>
      </c>
      <c r="B1519" s="1" t="n">
        <v>44682</v>
      </c>
      <c r="C1519" s="1" t="n">
        <v>45260</v>
      </c>
      <c r="D1519" t="inlineStr">
        <is>
          <t>VÄSTERNORRLANDS LÄN</t>
        </is>
      </c>
      <c r="E1519" t="inlineStr">
        <is>
          <t>ÖRNSKÖLDSVIK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17779-2022</t>
        </is>
      </c>
      <c r="B1520" s="1" t="n">
        <v>44682</v>
      </c>
      <c r="C1520" s="1" t="n">
        <v>45260</v>
      </c>
      <c r="D1520" t="inlineStr">
        <is>
          <t>VÄSTERNORRLANDS LÄN</t>
        </is>
      </c>
      <c r="E1520" t="inlineStr">
        <is>
          <t>ÖRNSKÖLDSVIK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17940-2022</t>
        </is>
      </c>
      <c r="B1521" s="1" t="n">
        <v>44683</v>
      </c>
      <c r="C1521" s="1" t="n">
        <v>45260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17874-2022</t>
        </is>
      </c>
      <c r="B1522" s="1" t="n">
        <v>44683</v>
      </c>
      <c r="C1522" s="1" t="n">
        <v>45260</v>
      </c>
      <c r="D1522" t="inlineStr">
        <is>
          <t>VÄSTERNORRLANDS LÄN</t>
        </is>
      </c>
      <c r="E1522" t="inlineStr">
        <is>
          <t>ÖRNSKÖLDSVIK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18021-2022</t>
        </is>
      </c>
      <c r="B1523" s="1" t="n">
        <v>44683</v>
      </c>
      <c r="C1523" s="1" t="n">
        <v>45260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18023-2022</t>
        </is>
      </c>
      <c r="B1524" s="1" t="n">
        <v>44683</v>
      </c>
      <c r="C1524" s="1" t="n">
        <v>45260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18075-2022</t>
        </is>
      </c>
      <c r="B1525" s="1" t="n">
        <v>44684</v>
      </c>
      <c r="C1525" s="1" t="n">
        <v>45260</v>
      </c>
      <c r="D1525" t="inlineStr">
        <is>
          <t>VÄSTERNORRLANDS LÄN</t>
        </is>
      </c>
      <c r="E1525" t="inlineStr">
        <is>
          <t>ÖRNSKÖLDSVIK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18074-2022</t>
        </is>
      </c>
      <c r="B1526" s="1" t="n">
        <v>44684</v>
      </c>
      <c r="C1526" s="1" t="n">
        <v>45260</v>
      </c>
      <c r="D1526" t="inlineStr">
        <is>
          <t>VÄSTERNORRLANDS LÄN</t>
        </is>
      </c>
      <c r="E1526" t="inlineStr">
        <is>
          <t>ÖRNSKÖLDSVIK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18201-2022</t>
        </is>
      </c>
      <c r="B1527" s="1" t="n">
        <v>44685</v>
      </c>
      <c r="C1527" s="1" t="n">
        <v>45260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18422-2022</t>
        </is>
      </c>
      <c r="B1528" s="1" t="n">
        <v>44687</v>
      </c>
      <c r="C1528" s="1" t="n">
        <v>45260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18659-2022</t>
        </is>
      </c>
      <c r="B1529" s="1" t="n">
        <v>44687</v>
      </c>
      <c r="C1529" s="1" t="n">
        <v>45260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18722-2022</t>
        </is>
      </c>
      <c r="B1530" s="1" t="n">
        <v>44687</v>
      </c>
      <c r="C1530" s="1" t="n">
        <v>45260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18770-2022</t>
        </is>
      </c>
      <c r="B1531" s="1" t="n">
        <v>44689</v>
      </c>
      <c r="C1531" s="1" t="n">
        <v>45260</v>
      </c>
      <c r="D1531" t="inlineStr">
        <is>
          <t>VÄSTERNORRLANDS LÄN</t>
        </is>
      </c>
      <c r="E1531" t="inlineStr">
        <is>
          <t>ÖRNSKÖLDSVIK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18867-2022</t>
        </is>
      </c>
      <c r="B1532" s="1" t="n">
        <v>44690</v>
      </c>
      <c r="C1532" s="1" t="n">
        <v>45260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19193-2022</t>
        </is>
      </c>
      <c r="B1533" s="1" t="n">
        <v>44691</v>
      </c>
      <c r="C1533" s="1" t="n">
        <v>45260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19194-2022</t>
        </is>
      </c>
      <c r="B1534" s="1" t="n">
        <v>44691</v>
      </c>
      <c r="C1534" s="1" t="n">
        <v>45260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19680-2022</t>
        </is>
      </c>
      <c r="B1535" s="1" t="n">
        <v>44694</v>
      </c>
      <c r="C1535" s="1" t="n">
        <v>45260</v>
      </c>
      <c r="D1535" t="inlineStr">
        <is>
          <t>VÄSTERNORRLANDS LÄN</t>
        </is>
      </c>
      <c r="E1535" t="inlineStr">
        <is>
          <t>ÖRNSKÖLDSVIK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19682-2022</t>
        </is>
      </c>
      <c r="B1536" s="1" t="n">
        <v>44694</v>
      </c>
      <c r="C1536" s="1" t="n">
        <v>45260</v>
      </c>
      <c r="D1536" t="inlineStr">
        <is>
          <t>VÄSTERNORRLANDS LÄN</t>
        </is>
      </c>
      <c r="E1536" t="inlineStr">
        <is>
          <t>ÖRNSKÖLDSVIK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19788-2022</t>
        </is>
      </c>
      <c r="B1537" s="1" t="n">
        <v>44694</v>
      </c>
      <c r="C1537" s="1" t="n">
        <v>45260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19792-2022</t>
        </is>
      </c>
      <c r="B1538" s="1" t="n">
        <v>44695</v>
      </c>
      <c r="C1538" s="1" t="n">
        <v>45260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19061-2022</t>
        </is>
      </c>
      <c r="B1539" s="1" t="n">
        <v>44697</v>
      </c>
      <c r="C1539" s="1" t="n">
        <v>45260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20137-2022</t>
        </is>
      </c>
      <c r="B1540" s="1" t="n">
        <v>44698</v>
      </c>
      <c r="C1540" s="1" t="n">
        <v>45260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20096-2022</t>
        </is>
      </c>
      <c r="B1541" s="1" t="n">
        <v>44698</v>
      </c>
      <c r="C1541" s="1" t="n">
        <v>45260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20097-2022</t>
        </is>
      </c>
      <c r="B1542" s="1" t="n">
        <v>44698</v>
      </c>
      <c r="C1542" s="1" t="n">
        <v>45260</v>
      </c>
      <c r="D1542" t="inlineStr">
        <is>
          <t>VÄSTERNORRLANDS LÄN</t>
        </is>
      </c>
      <c r="E1542" t="inlineStr">
        <is>
          <t>ÖRNSKÖLDSVIK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20127-2022</t>
        </is>
      </c>
      <c r="B1543" s="1" t="n">
        <v>44698</v>
      </c>
      <c r="C1543" s="1" t="n">
        <v>45260</v>
      </c>
      <c r="D1543" t="inlineStr">
        <is>
          <t>VÄSTERNORRLANDS LÄN</t>
        </is>
      </c>
      <c r="E1543" t="inlineStr">
        <is>
          <t>ÖRNSKÖLDSVIK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20138-2022</t>
        </is>
      </c>
      <c r="B1544" s="1" t="n">
        <v>44698</v>
      </c>
      <c r="C1544" s="1" t="n">
        <v>45260</v>
      </c>
      <c r="D1544" t="inlineStr">
        <is>
          <t>VÄSTERNORRLANDS LÄN</t>
        </is>
      </c>
      <c r="E1544" t="inlineStr">
        <is>
          <t>ÖRNSKÖLDSVIK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20474-2022</t>
        </is>
      </c>
      <c r="B1545" s="1" t="n">
        <v>44699</v>
      </c>
      <c r="C1545" s="1" t="n">
        <v>45260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20463-2022</t>
        </is>
      </c>
      <c r="B1546" s="1" t="n">
        <v>44699</v>
      </c>
      <c r="C1546" s="1" t="n">
        <v>45260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20470-2022</t>
        </is>
      </c>
      <c r="B1547" s="1" t="n">
        <v>44699</v>
      </c>
      <c r="C1547" s="1" t="n">
        <v>45260</v>
      </c>
      <c r="D1547" t="inlineStr">
        <is>
          <t>VÄSTERNORRLANDS LÄN</t>
        </is>
      </c>
      <c r="E1547" t="inlineStr">
        <is>
          <t>ÖRNSKÖLDSVIK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20476-2022</t>
        </is>
      </c>
      <c r="B1548" s="1" t="n">
        <v>44699</v>
      </c>
      <c r="C1548" s="1" t="n">
        <v>45260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20475-2022</t>
        </is>
      </c>
      <c r="B1549" s="1" t="n">
        <v>44699</v>
      </c>
      <c r="C1549" s="1" t="n">
        <v>45260</v>
      </c>
      <c r="D1549" t="inlineStr">
        <is>
          <t>VÄSTERNORRLANDS LÄN</t>
        </is>
      </c>
      <c r="E1549" t="inlineStr">
        <is>
          <t>ÖRNSKÖLDSVIK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20532-2022</t>
        </is>
      </c>
      <c r="B1550" s="1" t="n">
        <v>44700</v>
      </c>
      <c r="C1550" s="1" t="n">
        <v>45260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20533-2022</t>
        </is>
      </c>
      <c r="B1551" s="1" t="n">
        <v>44700</v>
      </c>
      <c r="C1551" s="1" t="n">
        <v>45260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20534-2022</t>
        </is>
      </c>
      <c r="B1552" s="1" t="n">
        <v>44700</v>
      </c>
      <c r="C1552" s="1" t="n">
        <v>45260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20542-2022</t>
        </is>
      </c>
      <c r="B1553" s="1" t="n">
        <v>44700</v>
      </c>
      <c r="C1553" s="1" t="n">
        <v>45260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20600-2022</t>
        </is>
      </c>
      <c r="B1554" s="1" t="n">
        <v>44700</v>
      </c>
      <c r="C1554" s="1" t="n">
        <v>45260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20540-2022</t>
        </is>
      </c>
      <c r="B1555" s="1" t="n">
        <v>44700</v>
      </c>
      <c r="C1555" s="1" t="n">
        <v>45260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20620-2022</t>
        </is>
      </c>
      <c r="B1556" s="1" t="n">
        <v>44700</v>
      </c>
      <c r="C1556" s="1" t="n">
        <v>45260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20549-2022</t>
        </is>
      </c>
      <c r="B1557" s="1" t="n">
        <v>44700</v>
      </c>
      <c r="C1557" s="1" t="n">
        <v>45260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20676-2022</t>
        </is>
      </c>
      <c r="B1558" s="1" t="n">
        <v>44700</v>
      </c>
      <c r="C1558" s="1" t="n">
        <v>45260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21038-2022</t>
        </is>
      </c>
      <c r="B1559" s="1" t="n">
        <v>44704</v>
      </c>
      <c r="C1559" s="1" t="n">
        <v>45260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21020-2022</t>
        </is>
      </c>
      <c r="B1560" s="1" t="n">
        <v>44704</v>
      </c>
      <c r="C1560" s="1" t="n">
        <v>45260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21319-2022</t>
        </is>
      </c>
      <c r="B1561" s="1" t="n">
        <v>44705</v>
      </c>
      <c r="C1561" s="1" t="n">
        <v>45260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21240-2022</t>
        </is>
      </c>
      <c r="B1562" s="1" t="n">
        <v>44705</v>
      </c>
      <c r="C1562" s="1" t="n">
        <v>45260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21318-2022</t>
        </is>
      </c>
      <c r="B1563" s="1" t="n">
        <v>44705</v>
      </c>
      <c r="C1563" s="1" t="n">
        <v>45260</v>
      </c>
      <c r="D1563" t="inlineStr">
        <is>
          <t>VÄSTERNORRLANDS LÄN</t>
        </is>
      </c>
      <c r="E1563" t="inlineStr">
        <is>
          <t>ÖRNSKÖLDSVIK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21258-2022</t>
        </is>
      </c>
      <c r="B1564" s="1" t="n">
        <v>44706</v>
      </c>
      <c r="C1564" s="1" t="n">
        <v>45260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21517-2022</t>
        </is>
      </c>
      <c r="B1565" s="1" t="n">
        <v>44706</v>
      </c>
      <c r="C1565" s="1" t="n">
        <v>45260</v>
      </c>
      <c r="D1565" t="inlineStr">
        <is>
          <t>VÄSTERNORRLANDS LÄN</t>
        </is>
      </c>
      <c r="E1565" t="inlineStr">
        <is>
          <t>ÖRNSKÖLDSVIK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21590-2022</t>
        </is>
      </c>
      <c r="B1566" s="1" t="n">
        <v>44706</v>
      </c>
      <c r="C1566" s="1" t="n">
        <v>45260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21625-2022</t>
        </is>
      </c>
      <c r="B1567" s="1" t="n">
        <v>44706</v>
      </c>
      <c r="C1567" s="1" t="n">
        <v>45260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21569-2022</t>
        </is>
      </c>
      <c r="B1568" s="1" t="n">
        <v>44706</v>
      </c>
      <c r="C1568" s="1" t="n">
        <v>45260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21533-2022</t>
        </is>
      </c>
      <c r="B1569" s="1" t="n">
        <v>44706</v>
      </c>
      <c r="C1569" s="1" t="n">
        <v>45260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21595-2022</t>
        </is>
      </c>
      <c r="B1570" s="1" t="n">
        <v>44706</v>
      </c>
      <c r="C1570" s="1" t="n">
        <v>45260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21558-2022</t>
        </is>
      </c>
      <c r="B1571" s="1" t="n">
        <v>44706</v>
      </c>
      <c r="C1571" s="1" t="n">
        <v>45260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21601-2022</t>
        </is>
      </c>
      <c r="B1572" s="1" t="n">
        <v>44706</v>
      </c>
      <c r="C1572" s="1" t="n">
        <v>45260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21706-2022</t>
        </is>
      </c>
      <c r="B1573" s="1" t="n">
        <v>44707</v>
      </c>
      <c r="C1573" s="1" t="n">
        <v>45260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21703-2022</t>
        </is>
      </c>
      <c r="B1574" s="1" t="n">
        <v>44707</v>
      </c>
      <c r="C1574" s="1" t="n">
        <v>45260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21707-2022</t>
        </is>
      </c>
      <c r="B1575" s="1" t="n">
        <v>44707</v>
      </c>
      <c r="C1575" s="1" t="n">
        <v>45260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21704-2022</t>
        </is>
      </c>
      <c r="B1576" s="1" t="n">
        <v>44707</v>
      </c>
      <c r="C1576" s="1" t="n">
        <v>45260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21705-2022</t>
        </is>
      </c>
      <c r="B1577" s="1" t="n">
        <v>44708</v>
      </c>
      <c r="C1577" s="1" t="n">
        <v>45260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21725-2022</t>
        </is>
      </c>
      <c r="B1578" s="1" t="n">
        <v>44708</v>
      </c>
      <c r="C1578" s="1" t="n">
        <v>45260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21733-2022</t>
        </is>
      </c>
      <c r="B1579" s="1" t="n">
        <v>44708</v>
      </c>
      <c r="C1579" s="1" t="n">
        <v>45260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21790-2022</t>
        </is>
      </c>
      <c r="B1580" s="1" t="n">
        <v>44708</v>
      </c>
      <c r="C1580" s="1" t="n">
        <v>45260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21870-2022</t>
        </is>
      </c>
      <c r="B1581" s="1" t="n">
        <v>44711</v>
      </c>
      <c r="C1581" s="1" t="n">
        <v>45260</v>
      </c>
      <c r="D1581" t="inlineStr">
        <is>
          <t>VÄSTERNORRLANDS LÄN</t>
        </is>
      </c>
      <c r="E1581" t="inlineStr">
        <is>
          <t>ÖRNSKÖLDSVIK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21896-2022</t>
        </is>
      </c>
      <c r="B1582" s="1" t="n">
        <v>44711</v>
      </c>
      <c r="C1582" s="1" t="n">
        <v>45260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21988-2022</t>
        </is>
      </c>
      <c r="B1583" s="1" t="n">
        <v>44711</v>
      </c>
      <c r="C1583" s="1" t="n">
        <v>45260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22077-2022</t>
        </is>
      </c>
      <c r="B1584" s="1" t="n">
        <v>44712</v>
      </c>
      <c r="C1584" s="1" t="n">
        <v>45260</v>
      </c>
      <c r="D1584" t="inlineStr">
        <is>
          <t>VÄSTERNORRLANDS LÄN</t>
        </is>
      </c>
      <c r="E1584" t="inlineStr">
        <is>
          <t>ÖRNSKÖLDSVIK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22078-2022</t>
        </is>
      </c>
      <c r="B1585" s="1" t="n">
        <v>44712</v>
      </c>
      <c r="C1585" s="1" t="n">
        <v>45260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22139-2022</t>
        </is>
      </c>
      <c r="B1586" s="1" t="n">
        <v>44712</v>
      </c>
      <c r="C1586" s="1" t="n">
        <v>45260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22285-2022</t>
        </is>
      </c>
      <c r="B1587" s="1" t="n">
        <v>44712</v>
      </c>
      <c r="C1587" s="1" t="n">
        <v>45260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22492-2022</t>
        </is>
      </c>
      <c r="B1588" s="1" t="n">
        <v>44713</v>
      </c>
      <c r="C1588" s="1" t="n">
        <v>45260</v>
      </c>
      <c r="D1588" t="inlineStr">
        <is>
          <t>VÄSTERNORRLANDS LÄN</t>
        </is>
      </c>
      <c r="E1588" t="inlineStr">
        <is>
          <t>ÖRNSKÖLDSVIK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22525-2022</t>
        </is>
      </c>
      <c r="B1589" s="1" t="n">
        <v>44713</v>
      </c>
      <c r="C1589" s="1" t="n">
        <v>45260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22378-2022</t>
        </is>
      </c>
      <c r="B1590" s="1" t="n">
        <v>44713</v>
      </c>
      <c r="C1590" s="1" t="n">
        <v>45260</v>
      </c>
      <c r="D1590" t="inlineStr">
        <is>
          <t>VÄSTERNORRLANDS LÄN</t>
        </is>
      </c>
      <c r="E1590" t="inlineStr">
        <is>
          <t>ÖRNSKÖLDSVIK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22398-2022</t>
        </is>
      </c>
      <c r="B1591" s="1" t="n">
        <v>44713</v>
      </c>
      <c r="C1591" s="1" t="n">
        <v>45260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22414-2022</t>
        </is>
      </c>
      <c r="B1592" s="1" t="n">
        <v>44713</v>
      </c>
      <c r="C1592" s="1" t="n">
        <v>45260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22434-2022</t>
        </is>
      </c>
      <c r="B1593" s="1" t="n">
        <v>44713</v>
      </c>
      <c r="C1593" s="1" t="n">
        <v>45260</v>
      </c>
      <c r="D1593" t="inlineStr">
        <is>
          <t>VÄSTERNORRLANDS LÄN</t>
        </is>
      </c>
      <c r="E1593" t="inlineStr">
        <is>
          <t>ÖRNSKÖLDSVIK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22452-2022</t>
        </is>
      </c>
      <c r="B1594" s="1" t="n">
        <v>44713</v>
      </c>
      <c r="C1594" s="1" t="n">
        <v>45260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22569-2022</t>
        </is>
      </c>
      <c r="B1595" s="1" t="n">
        <v>44713</v>
      </c>
      <c r="C1595" s="1" t="n">
        <v>45260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22570-2022</t>
        </is>
      </c>
      <c r="B1596" s="1" t="n">
        <v>44714</v>
      </c>
      <c r="C1596" s="1" t="n">
        <v>45260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22666-2022</t>
        </is>
      </c>
      <c r="B1597" s="1" t="n">
        <v>44714</v>
      </c>
      <c r="C1597" s="1" t="n">
        <v>45260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22671-2022</t>
        </is>
      </c>
      <c r="B1598" s="1" t="n">
        <v>44714</v>
      </c>
      <c r="C1598" s="1" t="n">
        <v>45260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22749-2022</t>
        </is>
      </c>
      <c r="B1599" s="1" t="n">
        <v>44714</v>
      </c>
      <c r="C1599" s="1" t="n">
        <v>45260</v>
      </c>
      <c r="D1599" t="inlineStr">
        <is>
          <t>VÄSTERNORRLANDS LÄN</t>
        </is>
      </c>
      <c r="E1599" t="inlineStr">
        <is>
          <t>ÖRNSKÖLDSVIK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22840-2022</t>
        </is>
      </c>
      <c r="B1600" s="1" t="n">
        <v>44715</v>
      </c>
      <c r="C1600" s="1" t="n">
        <v>45260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22931-2022</t>
        </is>
      </c>
      <c r="B1601" s="1" t="n">
        <v>44715</v>
      </c>
      <c r="C1601" s="1" t="n">
        <v>45260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23130-2022</t>
        </is>
      </c>
      <c r="B1602" s="1" t="n">
        <v>44719</v>
      </c>
      <c r="C1602" s="1" t="n">
        <v>45260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23124-2022</t>
        </is>
      </c>
      <c r="B1603" s="1" t="n">
        <v>44719</v>
      </c>
      <c r="C1603" s="1" t="n">
        <v>45260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23249-2022</t>
        </is>
      </c>
      <c r="B1604" s="1" t="n">
        <v>44720</v>
      </c>
      <c r="C1604" s="1" t="n">
        <v>45260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23647-2022</t>
        </is>
      </c>
      <c r="B1605" s="1" t="n">
        <v>44721</v>
      </c>
      <c r="C1605" s="1" t="n">
        <v>45260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24108-2022</t>
        </is>
      </c>
      <c r="B1606" s="1" t="n">
        <v>44725</v>
      </c>
      <c r="C1606" s="1" t="n">
        <v>45260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24201-2022</t>
        </is>
      </c>
      <c r="B1607" s="1" t="n">
        <v>44725</v>
      </c>
      <c r="C1607" s="1" t="n">
        <v>45260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24318-2022</t>
        </is>
      </c>
      <c r="B1608" s="1" t="n">
        <v>44726</v>
      </c>
      <c r="C1608" s="1" t="n">
        <v>45260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24202-2022</t>
        </is>
      </c>
      <c r="B1609" s="1" t="n">
        <v>44725</v>
      </c>
      <c r="C1609" s="1" t="n">
        <v>45260</v>
      </c>
      <c r="D1609" t="inlineStr">
        <is>
          <t>VÄSTERNORRLANDS LÄN</t>
        </is>
      </c>
      <c r="E1609" t="inlineStr">
        <is>
          <t>ÖRNSKÖLDSVIK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24248-2022</t>
        </is>
      </c>
      <c r="B1610" s="1" t="n">
        <v>44725</v>
      </c>
      <c r="C1610" s="1" t="n">
        <v>45260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24554-2022</t>
        </is>
      </c>
      <c r="B1611" s="1" t="n">
        <v>44726</v>
      </c>
      <c r="C1611" s="1" t="n">
        <v>45260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24569-2022</t>
        </is>
      </c>
      <c r="B1612" s="1" t="n">
        <v>44726</v>
      </c>
      <c r="C1612" s="1" t="n">
        <v>45260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24863-2022</t>
        </is>
      </c>
      <c r="B1613" s="1" t="n">
        <v>44728</v>
      </c>
      <c r="C1613" s="1" t="n">
        <v>45260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25473-2022</t>
        </is>
      </c>
      <c r="B1614" s="1" t="n">
        <v>44732</v>
      </c>
      <c r="C1614" s="1" t="n">
        <v>45260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25545-2022</t>
        </is>
      </c>
      <c r="B1615" s="1" t="n">
        <v>44732</v>
      </c>
      <c r="C1615" s="1" t="n">
        <v>45260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25554-2022</t>
        </is>
      </c>
      <c r="B1616" s="1" t="n">
        <v>44732</v>
      </c>
      <c r="C1616" s="1" t="n">
        <v>45260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25737-2022</t>
        </is>
      </c>
      <c r="B1617" s="1" t="n">
        <v>44733</v>
      </c>
      <c r="C1617" s="1" t="n">
        <v>45260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25976-2022</t>
        </is>
      </c>
      <c r="B1618" s="1" t="n">
        <v>44734</v>
      </c>
      <c r="C1618" s="1" t="n">
        <v>45260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25942-2022</t>
        </is>
      </c>
      <c r="B1619" s="1" t="n">
        <v>44734</v>
      </c>
      <c r="C1619" s="1" t="n">
        <v>45260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26023-2022</t>
        </is>
      </c>
      <c r="B1620" s="1" t="n">
        <v>44734</v>
      </c>
      <c r="C1620" s="1" t="n">
        <v>45260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26472-2022</t>
        </is>
      </c>
      <c r="B1621" s="1" t="n">
        <v>44739</v>
      </c>
      <c r="C1621" s="1" t="n">
        <v>45260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26521-2022</t>
        </is>
      </c>
      <c r="B1622" s="1" t="n">
        <v>44739</v>
      </c>
      <c r="C1622" s="1" t="n">
        <v>45260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26647-2022</t>
        </is>
      </c>
      <c r="B1623" s="1" t="n">
        <v>44739</v>
      </c>
      <c r="C1623" s="1" t="n">
        <v>45260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26635-2022</t>
        </is>
      </c>
      <c r="B1624" s="1" t="n">
        <v>44739</v>
      </c>
      <c r="C1624" s="1" t="n">
        <v>45260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26685-2022</t>
        </is>
      </c>
      <c r="B1625" s="1" t="n">
        <v>44739</v>
      </c>
      <c r="C1625" s="1" t="n">
        <v>45260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26847-2022</t>
        </is>
      </c>
      <c r="B1626" s="1" t="n">
        <v>44740</v>
      </c>
      <c r="C1626" s="1" t="n">
        <v>45260</v>
      </c>
      <c r="D1626" t="inlineStr">
        <is>
          <t>VÄSTERNORRLANDS LÄN</t>
        </is>
      </c>
      <c r="E1626" t="inlineStr">
        <is>
          <t>ÖRNSKÖLDSVIK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26194-2022</t>
        </is>
      </c>
      <c r="B1627" s="1" t="n">
        <v>44740</v>
      </c>
      <c r="C1627" s="1" t="n">
        <v>45260</v>
      </c>
      <c r="D1627" t="inlineStr">
        <is>
          <t>VÄSTERNORRLANDS LÄN</t>
        </is>
      </c>
      <c r="E1627" t="inlineStr">
        <is>
          <t>ÖRNSKÖLDSVIK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26775-2022</t>
        </is>
      </c>
      <c r="B1628" s="1" t="n">
        <v>44740</v>
      </c>
      <c r="C1628" s="1" t="n">
        <v>45260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26844-2022</t>
        </is>
      </c>
      <c r="B1629" s="1" t="n">
        <v>44740</v>
      </c>
      <c r="C1629" s="1" t="n">
        <v>45260</v>
      </c>
      <c r="D1629" t="inlineStr">
        <is>
          <t>VÄSTERNORRLANDS LÄN</t>
        </is>
      </c>
      <c r="E1629" t="inlineStr">
        <is>
          <t>ÖRNSKÖLDSVIK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27163-2022</t>
        </is>
      </c>
      <c r="B1630" s="1" t="n">
        <v>44741</v>
      </c>
      <c r="C1630" s="1" t="n">
        <v>45260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27153-2022</t>
        </is>
      </c>
      <c r="B1631" s="1" t="n">
        <v>44741</v>
      </c>
      <c r="C1631" s="1" t="n">
        <v>45260</v>
      </c>
      <c r="D1631" t="inlineStr">
        <is>
          <t>VÄSTERNORRLANDS LÄN</t>
        </is>
      </c>
      <c r="E1631" t="inlineStr">
        <is>
          <t>ÖRNSKÖLDSVIK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27362-2022</t>
        </is>
      </c>
      <c r="B1632" s="1" t="n">
        <v>44742</v>
      </c>
      <c r="C1632" s="1" t="n">
        <v>45260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27467-2022</t>
        </is>
      </c>
      <c r="B1633" s="1" t="n">
        <v>44742</v>
      </c>
      <c r="C1633" s="1" t="n">
        <v>45260</v>
      </c>
      <c r="D1633" t="inlineStr">
        <is>
          <t>VÄSTERNORRLANDS LÄN</t>
        </is>
      </c>
      <c r="E1633" t="inlineStr">
        <is>
          <t>ÖRNSKÖLDSVIK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27368-2022</t>
        </is>
      </c>
      <c r="B1634" s="1" t="n">
        <v>44742</v>
      </c>
      <c r="C1634" s="1" t="n">
        <v>45260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27522-2022</t>
        </is>
      </c>
      <c r="B1635" s="1" t="n">
        <v>44742</v>
      </c>
      <c r="C1635" s="1" t="n">
        <v>45260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27536-2022</t>
        </is>
      </c>
      <c r="B1636" s="1" t="n">
        <v>44742</v>
      </c>
      <c r="C1636" s="1" t="n">
        <v>45260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27509-2022</t>
        </is>
      </c>
      <c r="B1637" s="1" t="n">
        <v>44742</v>
      </c>
      <c r="C1637" s="1" t="n">
        <v>45260</v>
      </c>
      <c r="D1637" t="inlineStr">
        <is>
          <t>VÄSTERNORRLANDS LÄN</t>
        </is>
      </c>
      <c r="E1637" t="inlineStr">
        <is>
          <t>ÖRNSKÖLDSVIK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27524-2022</t>
        </is>
      </c>
      <c r="B1638" s="1" t="n">
        <v>44742</v>
      </c>
      <c r="C1638" s="1" t="n">
        <v>45260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27634-2022</t>
        </is>
      </c>
      <c r="B1639" s="1" t="n">
        <v>44742</v>
      </c>
      <c r="C1639" s="1" t="n">
        <v>45260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27711-2022</t>
        </is>
      </c>
      <c r="B1640" s="1" t="n">
        <v>44743</v>
      </c>
      <c r="C1640" s="1" t="n">
        <v>45260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27728-2022</t>
        </is>
      </c>
      <c r="B1641" s="1" t="n">
        <v>44743</v>
      </c>
      <c r="C1641" s="1" t="n">
        <v>45260</v>
      </c>
      <c r="D1641" t="inlineStr">
        <is>
          <t>VÄSTERNORRLANDS LÄN</t>
        </is>
      </c>
      <c r="E1641" t="inlineStr">
        <is>
          <t>ÖRNSKÖLDSVIK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27689-2022</t>
        </is>
      </c>
      <c r="B1642" s="1" t="n">
        <v>44743</v>
      </c>
      <c r="C1642" s="1" t="n">
        <v>45260</v>
      </c>
      <c r="D1642" t="inlineStr">
        <is>
          <t>VÄSTERNORRLANDS LÄN</t>
        </is>
      </c>
      <c r="E1642" t="inlineStr">
        <is>
          <t>ÖRNSKÖLDSVIK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27869-2022</t>
        </is>
      </c>
      <c r="B1643" s="1" t="n">
        <v>44743</v>
      </c>
      <c r="C1643" s="1" t="n">
        <v>45260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27720-2022</t>
        </is>
      </c>
      <c r="B1644" s="1" t="n">
        <v>44743</v>
      </c>
      <c r="C1644" s="1" t="n">
        <v>45260</v>
      </c>
      <c r="D1644" t="inlineStr">
        <is>
          <t>VÄSTERNORRLANDS LÄN</t>
        </is>
      </c>
      <c r="E1644" t="inlineStr">
        <is>
          <t>ÖRNSKÖLDSVIK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27801-2022</t>
        </is>
      </c>
      <c r="B1645" s="1" t="n">
        <v>44743</v>
      </c>
      <c r="C1645" s="1" t="n">
        <v>45260</v>
      </c>
      <c r="D1645" t="inlineStr">
        <is>
          <t>VÄSTERNORRLANDS LÄN</t>
        </is>
      </c>
      <c r="E1645" t="inlineStr">
        <is>
          <t>ÖRNSKÖLDSVIK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27829-2022</t>
        </is>
      </c>
      <c r="B1646" s="1" t="n">
        <v>44743</v>
      </c>
      <c r="C1646" s="1" t="n">
        <v>45260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27862-2022</t>
        </is>
      </c>
      <c r="B1647" s="1" t="n">
        <v>44743</v>
      </c>
      <c r="C1647" s="1" t="n">
        <v>45260</v>
      </c>
      <c r="D1647" t="inlineStr">
        <is>
          <t>VÄSTERNORRLANDS LÄN</t>
        </is>
      </c>
      <c r="E1647" t="inlineStr">
        <is>
          <t>ÖRNSKÖLDSVIK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28095-2022</t>
        </is>
      </c>
      <c r="B1648" s="1" t="n">
        <v>44746</v>
      </c>
      <c r="C1648" s="1" t="n">
        <v>45260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28238-2022</t>
        </is>
      </c>
      <c r="B1649" s="1" t="n">
        <v>44746</v>
      </c>
      <c r="C1649" s="1" t="n">
        <v>45260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28239-2022</t>
        </is>
      </c>
      <c r="B1650" s="1" t="n">
        <v>44746</v>
      </c>
      <c r="C1650" s="1" t="n">
        <v>45260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28234-2022</t>
        </is>
      </c>
      <c r="B1651" s="1" t="n">
        <v>44746</v>
      </c>
      <c r="C1651" s="1" t="n">
        <v>45260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28415-2022</t>
        </is>
      </c>
      <c r="B1652" s="1" t="n">
        <v>44747</v>
      </c>
      <c r="C1652" s="1" t="n">
        <v>45260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28387-2022</t>
        </is>
      </c>
      <c r="B1653" s="1" t="n">
        <v>44747</v>
      </c>
      <c r="C1653" s="1" t="n">
        <v>45260</v>
      </c>
      <c r="D1653" t="inlineStr">
        <is>
          <t>VÄSTERNORRLANDS LÄN</t>
        </is>
      </c>
      <c r="E1653" t="inlineStr">
        <is>
          <t>ÖRNSKÖLDSVIK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28373-2022</t>
        </is>
      </c>
      <c r="B1654" s="1" t="n">
        <v>44747</v>
      </c>
      <c r="C1654" s="1" t="n">
        <v>45260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28412-2022</t>
        </is>
      </c>
      <c r="B1655" s="1" t="n">
        <v>44747</v>
      </c>
      <c r="C1655" s="1" t="n">
        <v>45260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28441-2022</t>
        </is>
      </c>
      <c r="B1656" s="1" t="n">
        <v>44747</v>
      </c>
      <c r="C1656" s="1" t="n">
        <v>45260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28451-2022</t>
        </is>
      </c>
      <c r="B1657" s="1" t="n">
        <v>44747</v>
      </c>
      <c r="C1657" s="1" t="n">
        <v>45260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28571-2022</t>
        </is>
      </c>
      <c r="B1658" s="1" t="n">
        <v>44748</v>
      </c>
      <c r="C1658" s="1" t="n">
        <v>45260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28562-2022</t>
        </is>
      </c>
      <c r="B1659" s="1" t="n">
        <v>44748</v>
      </c>
      <c r="C1659" s="1" t="n">
        <v>45260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28642-2022</t>
        </is>
      </c>
      <c r="B1660" s="1" t="n">
        <v>44748</v>
      </c>
      <c r="C1660" s="1" t="n">
        <v>45260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28650-2022</t>
        </is>
      </c>
      <c r="B1661" s="1" t="n">
        <v>44748</v>
      </c>
      <c r="C1661" s="1" t="n">
        <v>45260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28640-2022</t>
        </is>
      </c>
      <c r="B1662" s="1" t="n">
        <v>44748</v>
      </c>
      <c r="C1662" s="1" t="n">
        <v>45260</v>
      </c>
      <c r="D1662" t="inlineStr">
        <is>
          <t>VÄSTERNORRLANDS LÄN</t>
        </is>
      </c>
      <c r="E1662" t="inlineStr">
        <is>
          <t>ÖRNSKÖLDSVIK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29038-2022</t>
        </is>
      </c>
      <c r="B1663" s="1" t="n">
        <v>44750</v>
      </c>
      <c r="C1663" s="1" t="n">
        <v>45260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28848-2022</t>
        </is>
      </c>
      <c r="B1664" s="1" t="n">
        <v>44749</v>
      </c>
      <c r="C1664" s="1" t="n">
        <v>45260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29151-2022</t>
        </is>
      </c>
      <c r="B1665" s="1" t="n">
        <v>44750</v>
      </c>
      <c r="C1665" s="1" t="n">
        <v>45260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29126-2022</t>
        </is>
      </c>
      <c r="B1666" s="1" t="n">
        <v>44750</v>
      </c>
      <c r="C1666" s="1" t="n">
        <v>45260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29439-2022</t>
        </is>
      </c>
      <c r="B1667" s="1" t="n">
        <v>44753</v>
      </c>
      <c r="C1667" s="1" t="n">
        <v>45260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29534-2022</t>
        </is>
      </c>
      <c r="B1668" s="1" t="n">
        <v>44753</v>
      </c>
      <c r="C1668" s="1" t="n">
        <v>45260</v>
      </c>
      <c r="D1668" t="inlineStr">
        <is>
          <t>VÄSTERNORRLANDS LÄN</t>
        </is>
      </c>
      <c r="E1668" t="inlineStr">
        <is>
          <t>ÖRNSKÖLDSVIK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29795-2022</t>
        </is>
      </c>
      <c r="B1669" s="1" t="n">
        <v>44755</v>
      </c>
      <c r="C1669" s="1" t="n">
        <v>45260</v>
      </c>
      <c r="D1669" t="inlineStr">
        <is>
          <t>VÄSTERNORRLANDS LÄN</t>
        </is>
      </c>
      <c r="E1669" t="inlineStr">
        <is>
          <t>ÖRNSKÖLDSVIK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29796-2022</t>
        </is>
      </c>
      <c r="B1670" s="1" t="n">
        <v>44755</v>
      </c>
      <c r="C1670" s="1" t="n">
        <v>45260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29904-2022</t>
        </is>
      </c>
      <c r="B1671" s="1" t="n">
        <v>44756</v>
      </c>
      <c r="C1671" s="1" t="n">
        <v>45260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30247-2022</t>
        </is>
      </c>
      <c r="B1672" s="1" t="n">
        <v>44758</v>
      </c>
      <c r="C1672" s="1" t="n">
        <v>45260</v>
      </c>
      <c r="D1672" t="inlineStr">
        <is>
          <t>VÄSTERNORRLANDS LÄN</t>
        </is>
      </c>
      <c r="E1672" t="inlineStr">
        <is>
          <t>ÖRNSKÖLDSVIK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30410-2022</t>
        </is>
      </c>
      <c r="B1673" s="1" t="n">
        <v>44761</v>
      </c>
      <c r="C1673" s="1" t="n">
        <v>45260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30408-2022</t>
        </is>
      </c>
      <c r="B1674" s="1" t="n">
        <v>44761</v>
      </c>
      <c r="C1674" s="1" t="n">
        <v>45260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30716-2022</t>
        </is>
      </c>
      <c r="B1675" s="1" t="n">
        <v>44764</v>
      </c>
      <c r="C1675" s="1" t="n">
        <v>45260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30776-2022</t>
        </is>
      </c>
      <c r="B1676" s="1" t="n">
        <v>44764</v>
      </c>
      <c r="C1676" s="1" t="n">
        <v>45260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31007-2022</t>
        </is>
      </c>
      <c r="B1677" s="1" t="n">
        <v>44768</v>
      </c>
      <c r="C1677" s="1" t="n">
        <v>45260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31008-2022</t>
        </is>
      </c>
      <c r="B1678" s="1" t="n">
        <v>44768</v>
      </c>
      <c r="C1678" s="1" t="n">
        <v>45260</v>
      </c>
      <c r="D1678" t="inlineStr">
        <is>
          <t>VÄSTERNORRLANDS LÄN</t>
        </is>
      </c>
      <c r="E1678" t="inlineStr">
        <is>
          <t>ÖRNSKÖLDSVIK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30982-2022</t>
        </is>
      </c>
      <c r="B1679" s="1" t="n">
        <v>44768</v>
      </c>
      <c r="C1679" s="1" t="n">
        <v>45260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31084-2022</t>
        </is>
      </c>
      <c r="B1680" s="1" t="n">
        <v>44769</v>
      </c>
      <c r="C1680" s="1" t="n">
        <v>45260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31144-2022</t>
        </is>
      </c>
      <c r="B1681" s="1" t="n">
        <v>44770</v>
      </c>
      <c r="C1681" s="1" t="n">
        <v>45260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31409-2022</t>
        </is>
      </c>
      <c r="B1682" s="1" t="n">
        <v>44774</v>
      </c>
      <c r="C1682" s="1" t="n">
        <v>45260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31579-2022</t>
        </is>
      </c>
      <c r="B1683" s="1" t="n">
        <v>44775</v>
      </c>
      <c r="C1683" s="1" t="n">
        <v>45260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31770-2022</t>
        </is>
      </c>
      <c r="B1684" s="1" t="n">
        <v>44776</v>
      </c>
      <c r="C1684" s="1" t="n">
        <v>45260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31847-2022</t>
        </is>
      </c>
      <c r="B1685" s="1" t="n">
        <v>44776</v>
      </c>
      <c r="C1685" s="1" t="n">
        <v>45260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31866-2022</t>
        </is>
      </c>
      <c r="B1686" s="1" t="n">
        <v>44777</v>
      </c>
      <c r="C1686" s="1" t="n">
        <v>45260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31918-2022</t>
        </is>
      </c>
      <c r="B1687" s="1" t="n">
        <v>44777</v>
      </c>
      <c r="C1687" s="1" t="n">
        <v>45260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32031-2022</t>
        </is>
      </c>
      <c r="B1688" s="1" t="n">
        <v>44778</v>
      </c>
      <c r="C1688" s="1" t="n">
        <v>45260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32079-2022</t>
        </is>
      </c>
      <c r="B1689" s="1" t="n">
        <v>44778</v>
      </c>
      <c r="C1689" s="1" t="n">
        <v>45260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32078-2022</t>
        </is>
      </c>
      <c r="B1690" s="1" t="n">
        <v>44778</v>
      </c>
      <c r="C1690" s="1" t="n">
        <v>45260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32482-2022</t>
        </is>
      </c>
      <c r="B1691" s="1" t="n">
        <v>44782</v>
      </c>
      <c r="C1691" s="1" t="n">
        <v>45260</v>
      </c>
      <c r="D1691" t="inlineStr">
        <is>
          <t>VÄSTERNORRLANDS LÄN</t>
        </is>
      </c>
      <c r="E1691" t="inlineStr">
        <is>
          <t>ÖRNSKÖLDSVIK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32619-2022</t>
        </is>
      </c>
      <c r="B1692" s="1" t="n">
        <v>44783</v>
      </c>
      <c r="C1692" s="1" t="n">
        <v>45260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32713-2022</t>
        </is>
      </c>
      <c r="B1693" s="1" t="n">
        <v>44783</v>
      </c>
      <c r="C1693" s="1" t="n">
        <v>45260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32550-2022</t>
        </is>
      </c>
      <c r="B1694" s="1" t="n">
        <v>44783</v>
      </c>
      <c r="C1694" s="1" t="n">
        <v>45260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32564-2022</t>
        </is>
      </c>
      <c r="B1695" s="1" t="n">
        <v>44783</v>
      </c>
      <c r="C1695" s="1" t="n">
        <v>45260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32756-2022</t>
        </is>
      </c>
      <c r="B1696" s="1" t="n">
        <v>44783</v>
      </c>
      <c r="C1696" s="1" t="n">
        <v>45260</v>
      </c>
      <c r="D1696" t="inlineStr">
        <is>
          <t>VÄSTERNORRLANDS LÄN</t>
        </is>
      </c>
      <c r="E1696" t="inlineStr">
        <is>
          <t>ÖRNSKÖLDSVIK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32753-2022</t>
        </is>
      </c>
      <c r="B1697" s="1" t="n">
        <v>44783</v>
      </c>
      <c r="C1697" s="1" t="n">
        <v>45260</v>
      </c>
      <c r="D1697" t="inlineStr">
        <is>
          <t>VÄSTERNORRLANDS LÄN</t>
        </is>
      </c>
      <c r="E1697" t="inlineStr">
        <is>
          <t>ÖRNSKÖLDSVIK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32821-2022</t>
        </is>
      </c>
      <c r="B1698" s="1" t="n">
        <v>44784</v>
      </c>
      <c r="C1698" s="1" t="n">
        <v>45260</v>
      </c>
      <c r="D1698" t="inlineStr">
        <is>
          <t>VÄSTERNORRLANDS LÄN</t>
        </is>
      </c>
      <c r="E1698" t="inlineStr">
        <is>
          <t>ÖRNSKÖLDSVIK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32850-2022</t>
        </is>
      </c>
      <c r="B1699" s="1" t="n">
        <v>44784</v>
      </c>
      <c r="C1699" s="1" t="n">
        <v>45260</v>
      </c>
      <c r="D1699" t="inlineStr">
        <is>
          <t>VÄSTERNORRLANDS LÄN</t>
        </is>
      </c>
      <c r="E1699" t="inlineStr">
        <is>
          <t>ÖRNSKÖLDSVIK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32861-2022</t>
        </is>
      </c>
      <c r="B1700" s="1" t="n">
        <v>44784</v>
      </c>
      <c r="C1700" s="1" t="n">
        <v>45260</v>
      </c>
      <c r="D1700" t="inlineStr">
        <is>
          <t>VÄSTERNORRLANDS LÄN</t>
        </is>
      </c>
      <c r="E1700" t="inlineStr">
        <is>
          <t>ÖRNSKÖLDSVIK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32908-2022</t>
        </is>
      </c>
      <c r="B1701" s="1" t="n">
        <v>44784</v>
      </c>
      <c r="C1701" s="1" t="n">
        <v>45260</v>
      </c>
      <c r="D1701" t="inlineStr">
        <is>
          <t>VÄSTERNORRLANDS LÄN</t>
        </is>
      </c>
      <c r="E1701" t="inlineStr">
        <is>
          <t>ÖRNSKÖLDSVIK</t>
        </is>
      </c>
      <c r="G1701" t="n">
        <v>13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32890-2022</t>
        </is>
      </c>
      <c r="B1702" s="1" t="n">
        <v>44784</v>
      </c>
      <c r="C1702" s="1" t="n">
        <v>45260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32896-2022</t>
        </is>
      </c>
      <c r="B1703" s="1" t="n">
        <v>44784</v>
      </c>
      <c r="C1703" s="1" t="n">
        <v>45260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33152-2022</t>
        </is>
      </c>
      <c r="B1704" s="1" t="n">
        <v>44785</v>
      </c>
      <c r="C1704" s="1" t="n">
        <v>45260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33095-2022</t>
        </is>
      </c>
      <c r="B1705" s="1" t="n">
        <v>44785</v>
      </c>
      <c r="C1705" s="1" t="n">
        <v>45260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33129-2022</t>
        </is>
      </c>
      <c r="B1706" s="1" t="n">
        <v>44785</v>
      </c>
      <c r="C1706" s="1" t="n">
        <v>45260</v>
      </c>
      <c r="D1706" t="inlineStr">
        <is>
          <t>VÄSTERNORRLANDS LÄN</t>
        </is>
      </c>
      <c r="E1706" t="inlineStr">
        <is>
          <t>ÖRNSKÖLDSVIK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33183-2022</t>
        </is>
      </c>
      <c r="B1707" s="1" t="n">
        <v>44785</v>
      </c>
      <c r="C1707" s="1" t="n">
        <v>45260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33194-2022</t>
        </is>
      </c>
      <c r="B1708" s="1" t="n">
        <v>44785</v>
      </c>
      <c r="C1708" s="1" t="n">
        <v>45260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33201-2022</t>
        </is>
      </c>
      <c r="B1709" s="1" t="n">
        <v>44785</v>
      </c>
      <c r="C1709" s="1" t="n">
        <v>45260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Kyrkan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33185-2022</t>
        </is>
      </c>
      <c r="B1710" s="1" t="n">
        <v>44785</v>
      </c>
      <c r="C1710" s="1" t="n">
        <v>45260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33238-2022</t>
        </is>
      </c>
      <c r="B1711" s="1" t="n">
        <v>44786</v>
      </c>
      <c r="C1711" s="1" t="n">
        <v>45260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33438-2022</t>
        </is>
      </c>
      <c r="B1712" s="1" t="n">
        <v>44788</v>
      </c>
      <c r="C1712" s="1" t="n">
        <v>45260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33651-2022</t>
        </is>
      </c>
      <c r="B1713" s="1" t="n">
        <v>44789</v>
      </c>
      <c r="C1713" s="1" t="n">
        <v>45260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33555-2022</t>
        </is>
      </c>
      <c r="B1714" s="1" t="n">
        <v>44789</v>
      </c>
      <c r="C1714" s="1" t="n">
        <v>45260</v>
      </c>
      <c r="D1714" t="inlineStr">
        <is>
          <t>VÄSTERNORRLANDS LÄN</t>
        </is>
      </c>
      <c r="E1714" t="inlineStr">
        <is>
          <t>ÖRNSKÖLDSVIK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33598-2022</t>
        </is>
      </c>
      <c r="B1715" s="1" t="n">
        <v>44789</v>
      </c>
      <c r="C1715" s="1" t="n">
        <v>45260</v>
      </c>
      <c r="D1715" t="inlineStr">
        <is>
          <t>VÄSTERNORRLANDS LÄN</t>
        </is>
      </c>
      <c r="E1715" t="inlineStr">
        <is>
          <t>ÖRNSKÖLDSVIK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33757-2022</t>
        </is>
      </c>
      <c r="B1716" s="1" t="n">
        <v>44789</v>
      </c>
      <c r="C1716" s="1" t="n">
        <v>45260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Kyrkan</t>
        </is>
      </c>
      <c r="G1716" t="n">
        <v>21.6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33684-2022</t>
        </is>
      </c>
      <c r="B1717" s="1" t="n">
        <v>44789</v>
      </c>
      <c r="C1717" s="1" t="n">
        <v>45260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33911-2022</t>
        </is>
      </c>
      <c r="B1718" s="1" t="n">
        <v>44790</v>
      </c>
      <c r="C1718" s="1" t="n">
        <v>45260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33918-2022</t>
        </is>
      </c>
      <c r="B1719" s="1" t="n">
        <v>44790</v>
      </c>
      <c r="C1719" s="1" t="n">
        <v>45260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34089-2022</t>
        </is>
      </c>
      <c r="B1720" s="1" t="n">
        <v>44791</v>
      </c>
      <c r="C1720" s="1" t="n">
        <v>45260</v>
      </c>
      <c r="D1720" t="inlineStr">
        <is>
          <t>VÄSTERNORRLANDS LÄN</t>
        </is>
      </c>
      <c r="E1720" t="inlineStr">
        <is>
          <t>ÖRNSKÖLDSVIK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34263-2022</t>
        </is>
      </c>
      <c r="B1721" s="1" t="n">
        <v>44792</v>
      </c>
      <c r="C1721" s="1" t="n">
        <v>45260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34250-2022</t>
        </is>
      </c>
      <c r="B1722" s="1" t="n">
        <v>44792</v>
      </c>
      <c r="C1722" s="1" t="n">
        <v>45260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34334-2022</t>
        </is>
      </c>
      <c r="B1723" s="1" t="n">
        <v>44792</v>
      </c>
      <c r="C1723" s="1" t="n">
        <v>45260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34389-2022</t>
        </is>
      </c>
      <c r="B1724" s="1" t="n">
        <v>44792</v>
      </c>
      <c r="C1724" s="1" t="n">
        <v>45260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34309-2022</t>
        </is>
      </c>
      <c r="B1725" s="1" t="n">
        <v>44792</v>
      </c>
      <c r="C1725" s="1" t="n">
        <v>45260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34333-2022</t>
        </is>
      </c>
      <c r="B1726" s="1" t="n">
        <v>44792</v>
      </c>
      <c r="C1726" s="1" t="n">
        <v>45260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34449-2022</t>
        </is>
      </c>
      <c r="B1727" s="1" t="n">
        <v>44792</v>
      </c>
      <c r="C1727" s="1" t="n">
        <v>45260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34545-2022</t>
        </is>
      </c>
      <c r="B1728" s="1" t="n">
        <v>44794</v>
      </c>
      <c r="C1728" s="1" t="n">
        <v>45260</v>
      </c>
      <c r="D1728" t="inlineStr">
        <is>
          <t>VÄSTERNORRLANDS LÄN</t>
        </is>
      </c>
      <c r="E1728" t="inlineStr">
        <is>
          <t>ÖRNSKÖLDSVIK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34546-2022</t>
        </is>
      </c>
      <c r="B1729" s="1" t="n">
        <v>44794</v>
      </c>
      <c r="C1729" s="1" t="n">
        <v>45260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34692-2022</t>
        </is>
      </c>
      <c r="B1730" s="1" t="n">
        <v>44795</v>
      </c>
      <c r="C1730" s="1" t="n">
        <v>45260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34904-2022</t>
        </is>
      </c>
      <c r="B1731" s="1" t="n">
        <v>44796</v>
      </c>
      <c r="C1731" s="1" t="n">
        <v>45260</v>
      </c>
      <c r="D1731" t="inlineStr">
        <is>
          <t>VÄSTERNORRLANDS LÄN</t>
        </is>
      </c>
      <c r="E1731" t="inlineStr">
        <is>
          <t>ÖRNSKÖLDSVIK</t>
        </is>
      </c>
      <c r="G1731" t="n">
        <v>9.699999999999999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35012-2022</t>
        </is>
      </c>
      <c r="B1732" s="1" t="n">
        <v>44797</v>
      </c>
      <c r="C1732" s="1" t="n">
        <v>45260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35077-2022</t>
        </is>
      </c>
      <c r="B1733" s="1" t="n">
        <v>44797</v>
      </c>
      <c r="C1733" s="1" t="n">
        <v>45260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35085-2022</t>
        </is>
      </c>
      <c r="B1734" s="1" t="n">
        <v>44797</v>
      </c>
      <c r="C1734" s="1" t="n">
        <v>45260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35075-2022</t>
        </is>
      </c>
      <c r="B1735" s="1" t="n">
        <v>44797</v>
      </c>
      <c r="C1735" s="1" t="n">
        <v>45260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35109-2022</t>
        </is>
      </c>
      <c r="B1736" s="1" t="n">
        <v>44797</v>
      </c>
      <c r="C1736" s="1" t="n">
        <v>45260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35066-2022</t>
        </is>
      </c>
      <c r="B1737" s="1" t="n">
        <v>44797</v>
      </c>
      <c r="C1737" s="1" t="n">
        <v>45260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35204-2022</t>
        </is>
      </c>
      <c r="B1738" s="1" t="n">
        <v>44797</v>
      </c>
      <c r="C1738" s="1" t="n">
        <v>45260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35262-2022</t>
        </is>
      </c>
      <c r="B1739" s="1" t="n">
        <v>44797</v>
      </c>
      <c r="C1739" s="1" t="n">
        <v>45260</v>
      </c>
      <c r="D1739" t="inlineStr">
        <is>
          <t>VÄSTERNORRLANDS LÄN</t>
        </is>
      </c>
      <c r="E1739" t="inlineStr">
        <is>
          <t>ÖRNSKÖLDSVIK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35250-2022</t>
        </is>
      </c>
      <c r="B1740" s="1" t="n">
        <v>44798</v>
      </c>
      <c r="C1740" s="1" t="n">
        <v>45260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35269-2022</t>
        </is>
      </c>
      <c r="B1741" s="1" t="n">
        <v>44798</v>
      </c>
      <c r="C1741" s="1" t="n">
        <v>45260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Kyrkan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35341-2022</t>
        </is>
      </c>
      <c r="B1742" s="1" t="n">
        <v>44798</v>
      </c>
      <c r="C1742" s="1" t="n">
        <v>45260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35248-2022</t>
        </is>
      </c>
      <c r="B1743" s="1" t="n">
        <v>44798</v>
      </c>
      <c r="C1743" s="1" t="n">
        <v>45260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35266-2022</t>
        </is>
      </c>
      <c r="B1744" s="1" t="n">
        <v>44798</v>
      </c>
      <c r="C1744" s="1" t="n">
        <v>45260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13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35408-2022</t>
        </is>
      </c>
      <c r="B1745" s="1" t="n">
        <v>44798</v>
      </c>
      <c r="C1745" s="1" t="n">
        <v>45260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35415-2022</t>
        </is>
      </c>
      <c r="B1746" s="1" t="n">
        <v>44798</v>
      </c>
      <c r="C1746" s="1" t="n">
        <v>45260</v>
      </c>
      <c r="D1746" t="inlineStr">
        <is>
          <t>VÄSTERNORRLANDS LÄN</t>
        </is>
      </c>
      <c r="E1746" t="inlineStr">
        <is>
          <t>ÖRNSKÖLDSVIK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35451-2022</t>
        </is>
      </c>
      <c r="B1747" s="1" t="n">
        <v>44798</v>
      </c>
      <c r="C1747" s="1" t="n">
        <v>45260</v>
      </c>
      <c r="D1747" t="inlineStr">
        <is>
          <t>VÄSTERNORRLANDS LÄN</t>
        </is>
      </c>
      <c r="E1747" t="inlineStr">
        <is>
          <t>ÖRNSKÖLDSVIK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35475-2022</t>
        </is>
      </c>
      <c r="B1748" s="1" t="n">
        <v>44798</v>
      </c>
      <c r="C1748" s="1" t="n">
        <v>45260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35416-2022</t>
        </is>
      </c>
      <c r="B1749" s="1" t="n">
        <v>44798</v>
      </c>
      <c r="C1749" s="1" t="n">
        <v>45260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36146-2022</t>
        </is>
      </c>
      <c r="B1750" s="1" t="n">
        <v>44803</v>
      </c>
      <c r="C1750" s="1" t="n">
        <v>45260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36163-2022</t>
        </is>
      </c>
      <c r="B1751" s="1" t="n">
        <v>44803</v>
      </c>
      <c r="C1751" s="1" t="n">
        <v>45260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36144-2022</t>
        </is>
      </c>
      <c r="B1752" s="1" t="n">
        <v>44803</v>
      </c>
      <c r="C1752" s="1" t="n">
        <v>45260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36151-2022</t>
        </is>
      </c>
      <c r="B1753" s="1" t="n">
        <v>44803</v>
      </c>
      <c r="C1753" s="1" t="n">
        <v>45260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36323-2022</t>
        </is>
      </c>
      <c r="B1754" s="1" t="n">
        <v>44803</v>
      </c>
      <c r="C1754" s="1" t="n">
        <v>45260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36401-2022</t>
        </is>
      </c>
      <c r="B1755" s="1" t="n">
        <v>44804</v>
      </c>
      <c r="C1755" s="1" t="n">
        <v>45260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36554-2022</t>
        </is>
      </c>
      <c r="B1756" s="1" t="n">
        <v>44804</v>
      </c>
      <c r="C1756" s="1" t="n">
        <v>45260</v>
      </c>
      <c r="D1756" t="inlineStr">
        <is>
          <t>VÄSTERNORRLANDS LÄN</t>
        </is>
      </c>
      <c r="E1756" t="inlineStr">
        <is>
          <t>ÖRNSKÖLDSVIK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36398-2022</t>
        </is>
      </c>
      <c r="B1757" s="1" t="n">
        <v>44804</v>
      </c>
      <c r="C1757" s="1" t="n">
        <v>45260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36449-2022</t>
        </is>
      </c>
      <c r="B1758" s="1" t="n">
        <v>44804</v>
      </c>
      <c r="C1758" s="1" t="n">
        <v>45260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36704-2022</t>
        </is>
      </c>
      <c r="B1759" s="1" t="n">
        <v>44804</v>
      </c>
      <c r="C1759" s="1" t="n">
        <v>45260</v>
      </c>
      <c r="D1759" t="inlineStr">
        <is>
          <t>VÄSTERNORRLANDS LÄN</t>
        </is>
      </c>
      <c r="E1759" t="inlineStr">
        <is>
          <t>ÖRNSKÖLDSVIK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36796-2022</t>
        </is>
      </c>
      <c r="B1760" s="1" t="n">
        <v>44805</v>
      </c>
      <c r="C1760" s="1" t="n">
        <v>45260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36777-2022</t>
        </is>
      </c>
      <c r="B1761" s="1" t="n">
        <v>44805</v>
      </c>
      <c r="C1761" s="1" t="n">
        <v>45260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37083-2022</t>
        </is>
      </c>
      <c r="B1762" s="1" t="n">
        <v>44805</v>
      </c>
      <c r="C1762" s="1" t="n">
        <v>45260</v>
      </c>
      <c r="D1762" t="inlineStr">
        <is>
          <t>VÄSTERNORRLANDS LÄN</t>
        </is>
      </c>
      <c r="E1762" t="inlineStr">
        <is>
          <t>ÖRNSKÖLDSVIK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36923-2022</t>
        </is>
      </c>
      <c r="B1763" s="1" t="n">
        <v>44806</v>
      </c>
      <c r="C1763" s="1" t="n">
        <v>45260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36998-2022</t>
        </is>
      </c>
      <c r="B1764" s="1" t="n">
        <v>44806</v>
      </c>
      <c r="C1764" s="1" t="n">
        <v>45260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37054-2022</t>
        </is>
      </c>
      <c r="B1765" s="1" t="n">
        <v>44806</v>
      </c>
      <c r="C1765" s="1" t="n">
        <v>45260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37015-2022</t>
        </is>
      </c>
      <c r="B1766" s="1" t="n">
        <v>44806</v>
      </c>
      <c r="C1766" s="1" t="n">
        <v>45260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37247-2022</t>
        </is>
      </c>
      <c r="B1767" s="1" t="n">
        <v>44807</v>
      </c>
      <c r="C1767" s="1" t="n">
        <v>45260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37619-2022</t>
        </is>
      </c>
      <c r="B1768" s="1" t="n">
        <v>44810</v>
      </c>
      <c r="C1768" s="1" t="n">
        <v>45260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37716-2022</t>
        </is>
      </c>
      <c r="B1769" s="1" t="n">
        <v>44810</v>
      </c>
      <c r="C1769" s="1" t="n">
        <v>45260</v>
      </c>
      <c r="D1769" t="inlineStr">
        <is>
          <t>VÄSTERNORRLANDS LÄN</t>
        </is>
      </c>
      <c r="E1769" t="inlineStr">
        <is>
          <t>ÖRNSKÖLDSVIK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37857-2022</t>
        </is>
      </c>
      <c r="B1770" s="1" t="n">
        <v>44811</v>
      </c>
      <c r="C1770" s="1" t="n">
        <v>45260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37974-2022</t>
        </is>
      </c>
      <c r="B1771" s="1" t="n">
        <v>44811</v>
      </c>
      <c r="C1771" s="1" t="n">
        <v>45260</v>
      </c>
      <c r="D1771" t="inlineStr">
        <is>
          <t>VÄSTERNORRLANDS LÄN</t>
        </is>
      </c>
      <c r="E1771" t="inlineStr">
        <is>
          <t>ÖRNSKÖLDSVIK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37859-2022</t>
        </is>
      </c>
      <c r="B1772" s="1" t="n">
        <v>44811</v>
      </c>
      <c r="C1772" s="1" t="n">
        <v>45260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37891-2022</t>
        </is>
      </c>
      <c r="B1773" s="1" t="n">
        <v>44811</v>
      </c>
      <c r="C1773" s="1" t="n">
        <v>45260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37954-2022</t>
        </is>
      </c>
      <c r="B1774" s="1" t="n">
        <v>44811</v>
      </c>
      <c r="C1774" s="1" t="n">
        <v>45260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37858-2022</t>
        </is>
      </c>
      <c r="B1775" s="1" t="n">
        <v>44811</v>
      </c>
      <c r="C1775" s="1" t="n">
        <v>45260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37914-2022</t>
        </is>
      </c>
      <c r="B1776" s="1" t="n">
        <v>44811</v>
      </c>
      <c r="C1776" s="1" t="n">
        <v>45260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38117-2022</t>
        </is>
      </c>
      <c r="B1777" s="1" t="n">
        <v>44811</v>
      </c>
      <c r="C1777" s="1" t="n">
        <v>45260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38116-2022</t>
        </is>
      </c>
      <c r="B1778" s="1" t="n">
        <v>44811</v>
      </c>
      <c r="C1778" s="1" t="n">
        <v>45260</v>
      </c>
      <c r="D1778" t="inlineStr">
        <is>
          <t>VÄSTERNORRLANDS LÄN</t>
        </is>
      </c>
      <c r="E1778" t="inlineStr">
        <is>
          <t>ÖRNSKÖLDSVIK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38118-2022</t>
        </is>
      </c>
      <c r="B1779" s="1" t="n">
        <v>44811</v>
      </c>
      <c r="C1779" s="1" t="n">
        <v>45260</v>
      </c>
      <c r="D1779" t="inlineStr">
        <is>
          <t>VÄSTERNORRLANDS LÄN</t>
        </is>
      </c>
      <c r="E1779" t="inlineStr">
        <is>
          <t>ÖRNSKÖLDSVIK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38374-2022</t>
        </is>
      </c>
      <c r="B1780" s="1" t="n">
        <v>44812</v>
      </c>
      <c r="C1780" s="1" t="n">
        <v>45260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38366-2022</t>
        </is>
      </c>
      <c r="B1781" s="1" t="n">
        <v>44812</v>
      </c>
      <c r="C1781" s="1" t="n">
        <v>45260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38756-2022</t>
        </is>
      </c>
      <c r="B1782" s="1" t="n">
        <v>44816</v>
      </c>
      <c r="C1782" s="1" t="n">
        <v>45260</v>
      </c>
      <c r="D1782" t="inlineStr">
        <is>
          <t>VÄSTERNORRLANDS LÄN</t>
        </is>
      </c>
      <c r="E1782" t="inlineStr">
        <is>
          <t>ÖRNSKÖLDSVIK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38933-2022</t>
        </is>
      </c>
      <c r="B1783" s="1" t="n">
        <v>44816</v>
      </c>
      <c r="C1783" s="1" t="n">
        <v>45260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38821-2022</t>
        </is>
      </c>
      <c r="B1784" s="1" t="n">
        <v>44816</v>
      </c>
      <c r="C1784" s="1" t="n">
        <v>45260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38822-2022</t>
        </is>
      </c>
      <c r="B1785" s="1" t="n">
        <v>44816</v>
      </c>
      <c r="C1785" s="1" t="n">
        <v>45260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38811-2022</t>
        </is>
      </c>
      <c r="B1786" s="1" t="n">
        <v>44816</v>
      </c>
      <c r="C1786" s="1" t="n">
        <v>45260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38923-2022</t>
        </is>
      </c>
      <c r="B1787" s="1" t="n">
        <v>44816</v>
      </c>
      <c r="C1787" s="1" t="n">
        <v>45260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38925-2022</t>
        </is>
      </c>
      <c r="B1788" s="1" t="n">
        <v>44816</v>
      </c>
      <c r="C1788" s="1" t="n">
        <v>45260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38913-2022</t>
        </is>
      </c>
      <c r="B1789" s="1" t="n">
        <v>44816</v>
      </c>
      <c r="C1789" s="1" t="n">
        <v>45260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39240-2022</t>
        </is>
      </c>
      <c r="B1790" s="1" t="n">
        <v>44817</v>
      </c>
      <c r="C1790" s="1" t="n">
        <v>45260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39470-2022</t>
        </is>
      </c>
      <c r="B1791" s="1" t="n">
        <v>44818</v>
      </c>
      <c r="C1791" s="1" t="n">
        <v>45260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39587-2022</t>
        </is>
      </c>
      <c r="B1792" s="1" t="n">
        <v>44818</v>
      </c>
      <c r="C1792" s="1" t="n">
        <v>45260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39485-2022</t>
        </is>
      </c>
      <c r="B1793" s="1" t="n">
        <v>44818</v>
      </c>
      <c r="C1793" s="1" t="n">
        <v>45260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39491-2022</t>
        </is>
      </c>
      <c r="B1794" s="1" t="n">
        <v>44818</v>
      </c>
      <c r="C1794" s="1" t="n">
        <v>45260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39500-2022</t>
        </is>
      </c>
      <c r="B1795" s="1" t="n">
        <v>44818</v>
      </c>
      <c r="C1795" s="1" t="n">
        <v>45260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40197-2022</t>
        </is>
      </c>
      <c r="B1796" s="1" t="n">
        <v>44818</v>
      </c>
      <c r="C1796" s="1" t="n">
        <v>45260</v>
      </c>
      <c r="D1796" t="inlineStr">
        <is>
          <t>VÄSTERNORRLANDS LÄN</t>
        </is>
      </c>
      <c r="E1796" t="inlineStr">
        <is>
          <t>ÖRNSKÖLDSVIK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40226-2022</t>
        </is>
      </c>
      <c r="B1797" s="1" t="n">
        <v>44818</v>
      </c>
      <c r="C1797" s="1" t="n">
        <v>45260</v>
      </c>
      <c r="D1797" t="inlineStr">
        <is>
          <t>VÄSTERNORRLANDS LÄN</t>
        </is>
      </c>
      <c r="E1797" t="inlineStr">
        <is>
          <t>ÖRNSKÖLDSVIK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39739-2022</t>
        </is>
      </c>
      <c r="B1798" s="1" t="n">
        <v>44819</v>
      </c>
      <c r="C1798" s="1" t="n">
        <v>45260</v>
      </c>
      <c r="D1798" t="inlineStr">
        <is>
          <t>VÄSTERNORRLANDS LÄN</t>
        </is>
      </c>
      <c r="E1798" t="inlineStr">
        <is>
          <t>ÖRNSKÖLDSVIK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39931-2022</t>
        </is>
      </c>
      <c r="B1799" s="1" t="n">
        <v>44820</v>
      </c>
      <c r="C1799" s="1" t="n">
        <v>45260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40046-2022</t>
        </is>
      </c>
      <c r="B1800" s="1" t="n">
        <v>44820</v>
      </c>
      <c r="C1800" s="1" t="n">
        <v>45260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40102-2022</t>
        </is>
      </c>
      <c r="B1801" s="1" t="n">
        <v>44820</v>
      </c>
      <c r="C1801" s="1" t="n">
        <v>45260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40413-2022</t>
        </is>
      </c>
      <c r="B1802" s="1" t="n">
        <v>44823</v>
      </c>
      <c r="C1802" s="1" t="n">
        <v>45260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40505-2022</t>
        </is>
      </c>
      <c r="B1803" s="1" t="n">
        <v>44823</v>
      </c>
      <c r="C1803" s="1" t="n">
        <v>45260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40590-2022</t>
        </is>
      </c>
      <c r="B1804" s="1" t="n">
        <v>44823</v>
      </c>
      <c r="C1804" s="1" t="n">
        <v>45260</v>
      </c>
      <c r="D1804" t="inlineStr">
        <is>
          <t>VÄSTERNORRLANDS LÄN</t>
        </is>
      </c>
      <c r="E1804" t="inlineStr">
        <is>
          <t>ÖRNSKÖLDSVIK</t>
        </is>
      </c>
      <c r="G1804" t="n">
        <v>10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40483-2022</t>
        </is>
      </c>
      <c r="B1805" s="1" t="n">
        <v>44823</v>
      </c>
      <c r="C1805" s="1" t="n">
        <v>45260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41036-2022</t>
        </is>
      </c>
      <c r="B1806" s="1" t="n">
        <v>44825</v>
      </c>
      <c r="C1806" s="1" t="n">
        <v>45260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41191-2022</t>
        </is>
      </c>
      <c r="B1807" s="1" t="n">
        <v>44825</v>
      </c>
      <c r="C1807" s="1" t="n">
        <v>45260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41068-2022</t>
        </is>
      </c>
      <c r="B1808" s="1" t="n">
        <v>44825</v>
      </c>
      <c r="C1808" s="1" t="n">
        <v>45260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41166-2022</t>
        </is>
      </c>
      <c r="B1809" s="1" t="n">
        <v>44826</v>
      </c>
      <c r="C1809" s="1" t="n">
        <v>45260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41188-2022</t>
        </is>
      </c>
      <c r="B1810" s="1" t="n">
        <v>44825</v>
      </c>
      <c r="C1810" s="1" t="n">
        <v>45260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41184-2022</t>
        </is>
      </c>
      <c r="B1811" s="1" t="n">
        <v>44825</v>
      </c>
      <c r="C1811" s="1" t="n">
        <v>45260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41186-2022</t>
        </is>
      </c>
      <c r="B1812" s="1" t="n">
        <v>44826</v>
      </c>
      <c r="C1812" s="1" t="n">
        <v>45260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41190-2022</t>
        </is>
      </c>
      <c r="B1813" s="1" t="n">
        <v>44826</v>
      </c>
      <c r="C1813" s="1" t="n">
        <v>45260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41253-2022</t>
        </is>
      </c>
      <c r="B1814" s="1" t="n">
        <v>44825</v>
      </c>
      <c r="C1814" s="1" t="n">
        <v>45260</v>
      </c>
      <c r="D1814" t="inlineStr">
        <is>
          <t>VÄSTERNORRLANDS LÄN</t>
        </is>
      </c>
      <c r="E1814" t="inlineStr">
        <is>
          <t>ÖRNSKÖLDSVIK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41387-2022</t>
        </is>
      </c>
      <c r="B1815" s="1" t="n">
        <v>44826</v>
      </c>
      <c r="C1815" s="1" t="n">
        <v>45260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41248-2022</t>
        </is>
      </c>
      <c r="B1816" s="1" t="n">
        <v>44826</v>
      </c>
      <c r="C1816" s="1" t="n">
        <v>45260</v>
      </c>
      <c r="D1816" t="inlineStr">
        <is>
          <t>VÄSTERNORRLANDS LÄN</t>
        </is>
      </c>
      <c r="E1816" t="inlineStr">
        <is>
          <t>ÖRNSKÖLDSVIK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41262-2022</t>
        </is>
      </c>
      <c r="B1817" s="1" t="n">
        <v>44826</v>
      </c>
      <c r="C1817" s="1" t="n">
        <v>45260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41310-2022</t>
        </is>
      </c>
      <c r="B1818" s="1" t="n">
        <v>44826</v>
      </c>
      <c r="C1818" s="1" t="n">
        <v>45260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41469-2022</t>
        </is>
      </c>
      <c r="B1819" s="1" t="n">
        <v>44826</v>
      </c>
      <c r="C1819" s="1" t="n">
        <v>45260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41641-2022</t>
        </is>
      </c>
      <c r="B1820" s="1" t="n">
        <v>44827</v>
      </c>
      <c r="C1820" s="1" t="n">
        <v>45260</v>
      </c>
      <c r="D1820" t="inlineStr">
        <is>
          <t>VÄSTERNORRLANDS LÄN</t>
        </is>
      </c>
      <c r="E1820" t="inlineStr">
        <is>
          <t>ÖRNSKÖLDSVIK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41687-2022</t>
        </is>
      </c>
      <c r="B1821" s="1" t="n">
        <v>44827</v>
      </c>
      <c r="C1821" s="1" t="n">
        <v>45260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41758-2022</t>
        </is>
      </c>
      <c r="B1822" s="1" t="n">
        <v>44827</v>
      </c>
      <c r="C1822" s="1" t="n">
        <v>45260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41600-2022</t>
        </is>
      </c>
      <c r="B1823" s="1" t="n">
        <v>44827</v>
      </c>
      <c r="C1823" s="1" t="n">
        <v>45260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41847-2022</t>
        </is>
      </c>
      <c r="B1824" s="1" t="n">
        <v>44828</v>
      </c>
      <c r="C1824" s="1" t="n">
        <v>45260</v>
      </c>
      <c r="D1824" t="inlineStr">
        <is>
          <t>VÄSTERNORRLANDS LÄN</t>
        </is>
      </c>
      <c r="E1824" t="inlineStr">
        <is>
          <t>ÖRNSKÖLDSVIK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41860-2022</t>
        </is>
      </c>
      <c r="B1825" s="1" t="n">
        <v>44829</v>
      </c>
      <c r="C1825" s="1" t="n">
        <v>45260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42048-2022</t>
        </is>
      </c>
      <c r="B1826" s="1" t="n">
        <v>44830</v>
      </c>
      <c r="C1826" s="1" t="n">
        <v>45260</v>
      </c>
      <c r="D1826" t="inlineStr">
        <is>
          <t>VÄSTERNORRLANDS LÄN</t>
        </is>
      </c>
      <c r="E1826" t="inlineStr">
        <is>
          <t>ÖRNSKÖLDSVIK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42167-2022</t>
        </is>
      </c>
      <c r="B1827" s="1" t="n">
        <v>44830</v>
      </c>
      <c r="C1827" s="1" t="n">
        <v>45260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42134-2022</t>
        </is>
      </c>
      <c r="B1828" s="1" t="n">
        <v>44830</v>
      </c>
      <c r="C1828" s="1" t="n">
        <v>45260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42202-2022</t>
        </is>
      </c>
      <c r="B1829" s="1" t="n">
        <v>44830</v>
      </c>
      <c r="C1829" s="1" t="n">
        <v>45260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42366-2022</t>
        </is>
      </c>
      <c r="B1830" s="1" t="n">
        <v>44831</v>
      </c>
      <c r="C1830" s="1" t="n">
        <v>45260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42363-2022</t>
        </is>
      </c>
      <c r="B1831" s="1" t="n">
        <v>44831</v>
      </c>
      <c r="C1831" s="1" t="n">
        <v>45260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42320-2022</t>
        </is>
      </c>
      <c r="B1832" s="1" t="n">
        <v>44831</v>
      </c>
      <c r="C1832" s="1" t="n">
        <v>45260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42344-2022</t>
        </is>
      </c>
      <c r="B1833" s="1" t="n">
        <v>44831</v>
      </c>
      <c r="C1833" s="1" t="n">
        <v>45260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42365-2022</t>
        </is>
      </c>
      <c r="B1834" s="1" t="n">
        <v>44831</v>
      </c>
      <c r="C1834" s="1" t="n">
        <v>45260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42730-2022</t>
        </is>
      </c>
      <c r="B1835" s="1" t="n">
        <v>44832</v>
      </c>
      <c r="C1835" s="1" t="n">
        <v>45260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42762-2022</t>
        </is>
      </c>
      <c r="B1836" s="1" t="n">
        <v>44832</v>
      </c>
      <c r="C1836" s="1" t="n">
        <v>45260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42705-2022</t>
        </is>
      </c>
      <c r="B1837" s="1" t="n">
        <v>44832</v>
      </c>
      <c r="C1837" s="1" t="n">
        <v>45260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42715-2022</t>
        </is>
      </c>
      <c r="B1838" s="1" t="n">
        <v>44832</v>
      </c>
      <c r="C1838" s="1" t="n">
        <v>45260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42852-2022</t>
        </is>
      </c>
      <c r="B1839" s="1" t="n">
        <v>44832</v>
      </c>
      <c r="C1839" s="1" t="n">
        <v>45260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42912-2022</t>
        </is>
      </c>
      <c r="B1840" s="1" t="n">
        <v>44833</v>
      </c>
      <c r="C1840" s="1" t="n">
        <v>45260</v>
      </c>
      <c r="D1840" t="inlineStr">
        <is>
          <t>VÄSTERNORRLANDS LÄN</t>
        </is>
      </c>
      <c r="E1840" t="inlineStr">
        <is>
          <t>ÖRNSKÖLDSVIK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43176-2022</t>
        </is>
      </c>
      <c r="B1841" s="1" t="n">
        <v>44834</v>
      </c>
      <c r="C1841" s="1" t="n">
        <v>45260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19.8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43259-2022</t>
        </is>
      </c>
      <c r="B1842" s="1" t="n">
        <v>44834</v>
      </c>
      <c r="C1842" s="1" t="n">
        <v>45260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43439-2022</t>
        </is>
      </c>
      <c r="B1843" s="1" t="n">
        <v>44835</v>
      </c>
      <c r="C1843" s="1" t="n">
        <v>45260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43576-2022</t>
        </is>
      </c>
      <c r="B1844" s="1" t="n">
        <v>44834</v>
      </c>
      <c r="C1844" s="1" t="n">
        <v>45260</v>
      </c>
      <c r="D1844" t="inlineStr">
        <is>
          <t>VÄSTERNORRLANDS LÄN</t>
        </is>
      </c>
      <c r="E1844" t="inlineStr">
        <is>
          <t>ÖRNSKÖLDSVIK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43654-2022</t>
        </is>
      </c>
      <c r="B1845" s="1" t="n">
        <v>44837</v>
      </c>
      <c r="C1845" s="1" t="n">
        <v>45260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43660-2022</t>
        </is>
      </c>
      <c r="B1846" s="1" t="n">
        <v>44837</v>
      </c>
      <c r="C1846" s="1" t="n">
        <v>45260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43783-2022</t>
        </is>
      </c>
      <c r="B1847" s="1" t="n">
        <v>44837</v>
      </c>
      <c r="C1847" s="1" t="n">
        <v>45260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80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43642-2022</t>
        </is>
      </c>
      <c r="B1848" s="1" t="n">
        <v>44837</v>
      </c>
      <c r="C1848" s="1" t="n">
        <v>45260</v>
      </c>
      <c r="D1848" t="inlineStr">
        <is>
          <t>VÄSTERNORRLANDS LÄN</t>
        </is>
      </c>
      <c r="E1848" t="inlineStr">
        <is>
          <t>ÖRNSKÖLDSVIK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43814-2022</t>
        </is>
      </c>
      <c r="B1849" s="1" t="n">
        <v>44837</v>
      </c>
      <c r="C1849" s="1" t="n">
        <v>45260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43933-2022</t>
        </is>
      </c>
      <c r="B1850" s="1" t="n">
        <v>44837</v>
      </c>
      <c r="C1850" s="1" t="n">
        <v>45260</v>
      </c>
      <c r="D1850" t="inlineStr">
        <is>
          <t>VÄSTERNORRLANDS LÄN</t>
        </is>
      </c>
      <c r="E1850" t="inlineStr">
        <is>
          <t>ÖRNSKÖLDSVIK</t>
        </is>
      </c>
      <c r="G1850" t="n">
        <v>34.6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43881-2022</t>
        </is>
      </c>
      <c r="B1851" s="1" t="n">
        <v>44837</v>
      </c>
      <c r="C1851" s="1" t="n">
        <v>45260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43906-2022</t>
        </is>
      </c>
      <c r="B1852" s="1" t="n">
        <v>44837</v>
      </c>
      <c r="C1852" s="1" t="n">
        <v>45260</v>
      </c>
      <c r="D1852" t="inlineStr">
        <is>
          <t>VÄSTERNORRLANDS LÄN</t>
        </is>
      </c>
      <c r="E1852" t="inlineStr">
        <is>
          <t>ÖRNSKÖLDSVIK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43985-2022</t>
        </is>
      </c>
      <c r="B1853" s="1" t="n">
        <v>44838</v>
      </c>
      <c r="C1853" s="1" t="n">
        <v>45260</v>
      </c>
      <c r="D1853" t="inlineStr">
        <is>
          <t>VÄSTERNORRLANDS LÄN</t>
        </is>
      </c>
      <c r="E1853" t="inlineStr">
        <is>
          <t>ÖRNSKÖLDSVIK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44081-2022</t>
        </is>
      </c>
      <c r="B1854" s="1" t="n">
        <v>44839</v>
      </c>
      <c r="C1854" s="1" t="n">
        <v>45260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44176-2022</t>
        </is>
      </c>
      <c r="B1855" s="1" t="n">
        <v>44839</v>
      </c>
      <c r="C1855" s="1" t="n">
        <v>45260</v>
      </c>
      <c r="D1855" t="inlineStr">
        <is>
          <t>VÄSTERNORRLANDS LÄN</t>
        </is>
      </c>
      <c r="E1855" t="inlineStr">
        <is>
          <t>ÖRNSKÖLDSVIK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44094-2022</t>
        </is>
      </c>
      <c r="B1856" s="1" t="n">
        <v>44839</v>
      </c>
      <c r="C1856" s="1" t="n">
        <v>45260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44083-2022</t>
        </is>
      </c>
      <c r="B1857" s="1" t="n">
        <v>44839</v>
      </c>
      <c r="C1857" s="1" t="n">
        <v>45260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44199-2022</t>
        </is>
      </c>
      <c r="B1858" s="1" t="n">
        <v>44839</v>
      </c>
      <c r="C1858" s="1" t="n">
        <v>45260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44431-2022</t>
        </is>
      </c>
      <c r="B1859" s="1" t="n">
        <v>44839</v>
      </c>
      <c r="C1859" s="1" t="n">
        <v>45260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44330-2022</t>
        </is>
      </c>
      <c r="B1860" s="1" t="n">
        <v>44839</v>
      </c>
      <c r="C1860" s="1" t="n">
        <v>45260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44357-2022</t>
        </is>
      </c>
      <c r="B1861" s="1" t="n">
        <v>44839</v>
      </c>
      <c r="C1861" s="1" t="n">
        <v>45260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44417-2022</t>
        </is>
      </c>
      <c r="B1862" s="1" t="n">
        <v>44839</v>
      </c>
      <c r="C1862" s="1" t="n">
        <v>45260</v>
      </c>
      <c r="D1862" t="inlineStr">
        <is>
          <t>VÄSTERNORRLANDS LÄN</t>
        </is>
      </c>
      <c r="E1862" t="inlineStr">
        <is>
          <t>ÖRNSKÖLDSVIK</t>
        </is>
      </c>
      <c r="G1862" t="n">
        <v>8.5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44642-2022</t>
        </is>
      </c>
      <c r="B1863" s="1" t="n">
        <v>44839</v>
      </c>
      <c r="C1863" s="1" t="n">
        <v>45260</v>
      </c>
      <c r="D1863" t="inlineStr">
        <is>
          <t>VÄSTERNORRLANDS LÄN</t>
        </is>
      </c>
      <c r="E1863" t="inlineStr">
        <is>
          <t>ÖRNSKÖLDSVIK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44322-2022</t>
        </is>
      </c>
      <c r="B1864" s="1" t="n">
        <v>44839</v>
      </c>
      <c r="C1864" s="1" t="n">
        <v>45260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44355-2022</t>
        </is>
      </c>
      <c r="B1865" s="1" t="n">
        <v>44839</v>
      </c>
      <c r="C1865" s="1" t="n">
        <v>45260</v>
      </c>
      <c r="D1865" t="inlineStr">
        <is>
          <t>VÄSTERNORRLANDS LÄN</t>
        </is>
      </c>
      <c r="E1865" t="inlineStr">
        <is>
          <t>ÖRNSKÖLDSVIK</t>
        </is>
      </c>
      <c r="G1865" t="n">
        <v>14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44843-2022</t>
        </is>
      </c>
      <c r="B1866" s="1" t="n">
        <v>44839</v>
      </c>
      <c r="C1866" s="1" t="n">
        <v>45260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44522-2022</t>
        </is>
      </c>
      <c r="B1867" s="1" t="n">
        <v>44840</v>
      </c>
      <c r="C1867" s="1" t="n">
        <v>45260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44490-2022</t>
        </is>
      </c>
      <c r="B1868" s="1" t="n">
        <v>44840</v>
      </c>
      <c r="C1868" s="1" t="n">
        <v>45260</v>
      </c>
      <c r="D1868" t="inlineStr">
        <is>
          <t>VÄSTERNORRLANDS LÄN</t>
        </is>
      </c>
      <c r="E1868" t="inlineStr">
        <is>
          <t>ÖRNSKÖLDSVIK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44528-2022</t>
        </is>
      </c>
      <c r="B1869" s="1" t="n">
        <v>44840</v>
      </c>
      <c r="C1869" s="1" t="n">
        <v>45260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44739-2022</t>
        </is>
      </c>
      <c r="B1870" s="1" t="n">
        <v>44840</v>
      </c>
      <c r="C1870" s="1" t="n">
        <v>45260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44799-2022</t>
        </is>
      </c>
      <c r="B1871" s="1" t="n">
        <v>44841</v>
      </c>
      <c r="C1871" s="1" t="n">
        <v>45260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44888-2022</t>
        </is>
      </c>
      <c r="B1872" s="1" t="n">
        <v>44841</v>
      </c>
      <c r="C1872" s="1" t="n">
        <v>45260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44784-2022</t>
        </is>
      </c>
      <c r="B1873" s="1" t="n">
        <v>44841</v>
      </c>
      <c r="C1873" s="1" t="n">
        <v>45260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44852-2022</t>
        </is>
      </c>
      <c r="B1874" s="1" t="n">
        <v>44841</v>
      </c>
      <c r="C1874" s="1" t="n">
        <v>45260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44961-2022</t>
        </is>
      </c>
      <c r="B1875" s="1" t="n">
        <v>44841</v>
      </c>
      <c r="C1875" s="1" t="n">
        <v>45260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45001-2022</t>
        </is>
      </c>
      <c r="B1876" s="1" t="n">
        <v>44841</v>
      </c>
      <c r="C1876" s="1" t="n">
        <v>45260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44948-2022</t>
        </is>
      </c>
      <c r="B1877" s="1" t="n">
        <v>44841</v>
      </c>
      <c r="C1877" s="1" t="n">
        <v>45260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45112-2022</t>
        </is>
      </c>
      <c r="B1878" s="1" t="n">
        <v>44843</v>
      </c>
      <c r="C1878" s="1" t="n">
        <v>45260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45169-2022</t>
        </is>
      </c>
      <c r="B1879" s="1" t="n">
        <v>44844</v>
      </c>
      <c r="C1879" s="1" t="n">
        <v>45260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45142-2022</t>
        </is>
      </c>
      <c r="B1880" s="1" t="n">
        <v>44844</v>
      </c>
      <c r="C1880" s="1" t="n">
        <v>45260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45252-2022</t>
        </is>
      </c>
      <c r="B1881" s="1" t="n">
        <v>44844</v>
      </c>
      <c r="C1881" s="1" t="n">
        <v>45260</v>
      </c>
      <c r="D1881" t="inlineStr">
        <is>
          <t>VÄSTERNORRLANDS LÄN</t>
        </is>
      </c>
      <c r="E1881" t="inlineStr">
        <is>
          <t>ÖRNSKÖLDSVIK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45251-2022</t>
        </is>
      </c>
      <c r="B1882" s="1" t="n">
        <v>44844</v>
      </c>
      <c r="C1882" s="1" t="n">
        <v>45260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45148-2022</t>
        </is>
      </c>
      <c r="B1883" s="1" t="n">
        <v>44844</v>
      </c>
      <c r="C1883" s="1" t="n">
        <v>45260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45248-2022</t>
        </is>
      </c>
      <c r="B1884" s="1" t="n">
        <v>44844</v>
      </c>
      <c r="C1884" s="1" t="n">
        <v>45260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45254-2022</t>
        </is>
      </c>
      <c r="B1885" s="1" t="n">
        <v>44844</v>
      </c>
      <c r="C1885" s="1" t="n">
        <v>45260</v>
      </c>
      <c r="D1885" t="inlineStr">
        <is>
          <t>VÄSTERNORRLANDS LÄN</t>
        </is>
      </c>
      <c r="E1885" t="inlineStr">
        <is>
          <t>ÖRNSKÖLDSVIK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45320-2022</t>
        </is>
      </c>
      <c r="B1886" s="1" t="n">
        <v>44844</v>
      </c>
      <c r="C1886" s="1" t="n">
        <v>45260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45312-2022</t>
        </is>
      </c>
      <c r="B1887" s="1" t="n">
        <v>44844</v>
      </c>
      <c r="C1887" s="1" t="n">
        <v>45260</v>
      </c>
      <c r="D1887" t="inlineStr">
        <is>
          <t>VÄSTERNORRLANDS LÄN</t>
        </is>
      </c>
      <c r="E1887" t="inlineStr">
        <is>
          <t>ÖRNSKÖLDSVIK</t>
        </is>
      </c>
      <c r="G1887" t="n">
        <v>9.9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45470-2022</t>
        </is>
      </c>
      <c r="B1888" s="1" t="n">
        <v>44845</v>
      </c>
      <c r="C1888" s="1" t="n">
        <v>45260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45513-2022</t>
        </is>
      </c>
      <c r="B1889" s="1" t="n">
        <v>44845</v>
      </c>
      <c r="C1889" s="1" t="n">
        <v>45260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45610-2022</t>
        </is>
      </c>
      <c r="B1890" s="1" t="n">
        <v>44845</v>
      </c>
      <c r="C1890" s="1" t="n">
        <v>45260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45765-2022</t>
        </is>
      </c>
      <c r="B1891" s="1" t="n">
        <v>44846</v>
      </c>
      <c r="C1891" s="1" t="n">
        <v>45260</v>
      </c>
      <c r="D1891" t="inlineStr">
        <is>
          <t>VÄSTERNORRLANDS LÄN</t>
        </is>
      </c>
      <c r="E1891" t="inlineStr">
        <is>
          <t>ÖRNSKÖLDSVIK</t>
        </is>
      </c>
      <c r="G1891" t="n">
        <v>14.6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45812-2022</t>
        </is>
      </c>
      <c r="B1892" s="1" t="n">
        <v>44846</v>
      </c>
      <c r="C1892" s="1" t="n">
        <v>45260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45829-2022</t>
        </is>
      </c>
      <c r="B1893" s="1" t="n">
        <v>44846</v>
      </c>
      <c r="C1893" s="1" t="n">
        <v>45260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45894-2022</t>
        </is>
      </c>
      <c r="B1894" s="1" t="n">
        <v>44846</v>
      </c>
      <c r="C1894" s="1" t="n">
        <v>45260</v>
      </c>
      <c r="D1894" t="inlineStr">
        <is>
          <t>VÄSTERNORRLANDS LÄN</t>
        </is>
      </c>
      <c r="E1894" t="inlineStr">
        <is>
          <t>ÖRNSKÖLDSVIK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46029-2022</t>
        </is>
      </c>
      <c r="B1895" s="1" t="n">
        <v>44847</v>
      </c>
      <c r="C1895" s="1" t="n">
        <v>45260</v>
      </c>
      <c r="D1895" t="inlineStr">
        <is>
          <t>VÄSTERNORRLANDS LÄN</t>
        </is>
      </c>
      <c r="E1895" t="inlineStr">
        <is>
          <t>ÖRNSKÖLDSVIK</t>
        </is>
      </c>
      <c r="G1895" t="n">
        <v>20.2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46134-2022</t>
        </is>
      </c>
      <c r="B1896" s="1" t="n">
        <v>44847</v>
      </c>
      <c r="C1896" s="1" t="n">
        <v>45260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46230-2022</t>
        </is>
      </c>
      <c r="B1897" s="1" t="n">
        <v>44847</v>
      </c>
      <c r="C1897" s="1" t="n">
        <v>45260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46224-2022</t>
        </is>
      </c>
      <c r="B1898" s="1" t="n">
        <v>44847</v>
      </c>
      <c r="C1898" s="1" t="n">
        <v>45260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46213-2022</t>
        </is>
      </c>
      <c r="B1899" s="1" t="n">
        <v>44847</v>
      </c>
      <c r="C1899" s="1" t="n">
        <v>45260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46372-2022</t>
        </is>
      </c>
      <c r="B1900" s="1" t="n">
        <v>44848</v>
      </c>
      <c r="C1900" s="1" t="n">
        <v>45260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46427-2022</t>
        </is>
      </c>
      <c r="B1901" s="1" t="n">
        <v>44848</v>
      </c>
      <c r="C1901" s="1" t="n">
        <v>45260</v>
      </c>
      <c r="D1901" t="inlineStr">
        <is>
          <t>VÄSTERNORRLANDS LÄN</t>
        </is>
      </c>
      <c r="E1901" t="inlineStr">
        <is>
          <t>ÖRNSKÖLDSVIK</t>
        </is>
      </c>
      <c r="G1901" t="n">
        <v>11.4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46501-2022</t>
        </is>
      </c>
      <c r="B1902" s="1" t="n">
        <v>44848</v>
      </c>
      <c r="C1902" s="1" t="n">
        <v>45260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46493-2022</t>
        </is>
      </c>
      <c r="B1903" s="1" t="n">
        <v>44848</v>
      </c>
      <c r="C1903" s="1" t="n">
        <v>45260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46461-2022</t>
        </is>
      </c>
      <c r="B1904" s="1" t="n">
        <v>44848</v>
      </c>
      <c r="C1904" s="1" t="n">
        <v>45260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46528-2022</t>
        </is>
      </c>
      <c r="B1905" s="1" t="n">
        <v>44848</v>
      </c>
      <c r="C1905" s="1" t="n">
        <v>45260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46532-2022</t>
        </is>
      </c>
      <c r="B1906" s="1" t="n">
        <v>44848</v>
      </c>
      <c r="C1906" s="1" t="n">
        <v>45260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46702-2022</t>
        </is>
      </c>
      <c r="B1907" s="1" t="n">
        <v>44851</v>
      </c>
      <c r="C1907" s="1" t="n">
        <v>45260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46711-2022</t>
        </is>
      </c>
      <c r="B1908" s="1" t="n">
        <v>44851</v>
      </c>
      <c r="C1908" s="1" t="n">
        <v>45260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46760-2022</t>
        </is>
      </c>
      <c r="B1909" s="1" t="n">
        <v>44851</v>
      </c>
      <c r="C1909" s="1" t="n">
        <v>45260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46712-2022</t>
        </is>
      </c>
      <c r="B1910" s="1" t="n">
        <v>44851</v>
      </c>
      <c r="C1910" s="1" t="n">
        <v>45260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46700-2022</t>
        </is>
      </c>
      <c r="B1911" s="1" t="n">
        <v>44851</v>
      </c>
      <c r="C1911" s="1" t="n">
        <v>45260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46747-2022</t>
        </is>
      </c>
      <c r="B1912" s="1" t="n">
        <v>44851</v>
      </c>
      <c r="C1912" s="1" t="n">
        <v>45260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47449-2022</t>
        </is>
      </c>
      <c r="B1913" s="1" t="n">
        <v>44852</v>
      </c>
      <c r="C1913" s="1" t="n">
        <v>45260</v>
      </c>
      <c r="D1913" t="inlineStr">
        <is>
          <t>VÄSTERNORRLANDS LÄN</t>
        </is>
      </c>
      <c r="E1913" t="inlineStr">
        <is>
          <t>ÖRNSKÖLDSVIK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47606-2022</t>
        </is>
      </c>
      <c r="B1914" s="1" t="n">
        <v>44852</v>
      </c>
      <c r="C1914" s="1" t="n">
        <v>45260</v>
      </c>
      <c r="D1914" t="inlineStr">
        <is>
          <t>VÄSTERNORRLANDS LÄN</t>
        </is>
      </c>
      <c r="E1914" t="inlineStr">
        <is>
          <t>ÖRNSKÖLDSVIK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47631-2022</t>
        </is>
      </c>
      <c r="B1915" s="1" t="n">
        <v>44852</v>
      </c>
      <c r="C1915" s="1" t="n">
        <v>45260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47044-2022</t>
        </is>
      </c>
      <c r="B1916" s="1" t="n">
        <v>44852</v>
      </c>
      <c r="C1916" s="1" t="n">
        <v>45260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47058-2022</t>
        </is>
      </c>
      <c r="B1917" s="1" t="n">
        <v>44852</v>
      </c>
      <c r="C1917" s="1" t="n">
        <v>45260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47066-2022</t>
        </is>
      </c>
      <c r="B1918" s="1" t="n">
        <v>44852</v>
      </c>
      <c r="C1918" s="1" t="n">
        <v>45260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47361-2022</t>
        </is>
      </c>
      <c r="B1919" s="1" t="n">
        <v>44853</v>
      </c>
      <c r="C1919" s="1" t="n">
        <v>45260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47424-2022</t>
        </is>
      </c>
      <c r="B1920" s="1" t="n">
        <v>44853</v>
      </c>
      <c r="C1920" s="1" t="n">
        <v>45260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47592-2022</t>
        </is>
      </c>
      <c r="B1921" s="1" t="n">
        <v>44854</v>
      </c>
      <c r="C1921" s="1" t="n">
        <v>45260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47666-2022</t>
        </is>
      </c>
      <c r="B1922" s="1" t="n">
        <v>44854</v>
      </c>
      <c r="C1922" s="1" t="n">
        <v>45260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47598-2022</t>
        </is>
      </c>
      <c r="B1923" s="1" t="n">
        <v>44854</v>
      </c>
      <c r="C1923" s="1" t="n">
        <v>45260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47671-2022</t>
        </is>
      </c>
      <c r="B1924" s="1" t="n">
        <v>44854</v>
      </c>
      <c r="C1924" s="1" t="n">
        <v>45260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47678-2022</t>
        </is>
      </c>
      <c r="B1925" s="1" t="n">
        <v>44854</v>
      </c>
      <c r="C1925" s="1" t="n">
        <v>45260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48424-2022</t>
        </is>
      </c>
      <c r="B1926" s="1" t="n">
        <v>44854</v>
      </c>
      <c r="C1926" s="1" t="n">
        <v>45260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48612-2022</t>
        </is>
      </c>
      <c r="B1927" s="1" t="n">
        <v>44854</v>
      </c>
      <c r="C1927" s="1" t="n">
        <v>45260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47851-2022</t>
        </is>
      </c>
      <c r="B1928" s="1" t="n">
        <v>44855</v>
      </c>
      <c r="C1928" s="1" t="n">
        <v>45260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47830-2022</t>
        </is>
      </c>
      <c r="B1929" s="1" t="n">
        <v>44855</v>
      </c>
      <c r="C1929" s="1" t="n">
        <v>45260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47879-2022</t>
        </is>
      </c>
      <c r="B1930" s="1" t="n">
        <v>44855</v>
      </c>
      <c r="C1930" s="1" t="n">
        <v>45260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47922-2022</t>
        </is>
      </c>
      <c r="B1931" s="1" t="n">
        <v>44855</v>
      </c>
      <c r="C1931" s="1" t="n">
        <v>45260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47972-2022</t>
        </is>
      </c>
      <c r="B1932" s="1" t="n">
        <v>44855</v>
      </c>
      <c r="C1932" s="1" t="n">
        <v>45260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48004-2022</t>
        </is>
      </c>
      <c r="B1933" s="1" t="n">
        <v>44855</v>
      </c>
      <c r="C1933" s="1" t="n">
        <v>45260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47836-2022</t>
        </is>
      </c>
      <c r="B1934" s="1" t="n">
        <v>44855</v>
      </c>
      <c r="C1934" s="1" t="n">
        <v>45260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48121-2022</t>
        </is>
      </c>
      <c r="B1935" s="1" t="n">
        <v>44857</v>
      </c>
      <c r="C1935" s="1" t="n">
        <v>45260</v>
      </c>
      <c r="D1935" t="inlineStr">
        <is>
          <t>VÄSTERNORRLANDS LÄN</t>
        </is>
      </c>
      <c r="E1935" t="inlineStr">
        <is>
          <t>ÖRNSKÖLDSVIK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48220-2022</t>
        </is>
      </c>
      <c r="B1936" s="1" t="n">
        <v>44858</v>
      </c>
      <c r="C1936" s="1" t="n">
        <v>45260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48457-2022</t>
        </is>
      </c>
      <c r="B1937" s="1" t="n">
        <v>44858</v>
      </c>
      <c r="C1937" s="1" t="n">
        <v>45260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48252-2022</t>
        </is>
      </c>
      <c r="B1938" s="1" t="n">
        <v>44858</v>
      </c>
      <c r="C1938" s="1" t="n">
        <v>45260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48611-2022</t>
        </is>
      </c>
      <c r="B1939" s="1" t="n">
        <v>44859</v>
      </c>
      <c r="C1939" s="1" t="n">
        <v>45260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48587-2022</t>
        </is>
      </c>
      <c r="B1940" s="1" t="n">
        <v>44859</v>
      </c>
      <c r="C1940" s="1" t="n">
        <v>45260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48579-2022</t>
        </is>
      </c>
      <c r="B1941" s="1" t="n">
        <v>44859</v>
      </c>
      <c r="C1941" s="1" t="n">
        <v>45260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48607-2022</t>
        </is>
      </c>
      <c r="B1942" s="1" t="n">
        <v>44859</v>
      </c>
      <c r="C1942" s="1" t="n">
        <v>45260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48633-2022</t>
        </is>
      </c>
      <c r="B1943" s="1" t="n">
        <v>44859</v>
      </c>
      <c r="C1943" s="1" t="n">
        <v>45260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48760-2022</t>
        </is>
      </c>
      <c r="B1944" s="1" t="n">
        <v>44859</v>
      </c>
      <c r="C1944" s="1" t="n">
        <v>45260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48810-2022</t>
        </is>
      </c>
      <c r="B1945" s="1" t="n">
        <v>44859</v>
      </c>
      <c r="C1945" s="1" t="n">
        <v>45260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48996-2022</t>
        </is>
      </c>
      <c r="B1946" s="1" t="n">
        <v>44860</v>
      </c>
      <c r="C1946" s="1" t="n">
        <v>45260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48992-2022</t>
        </is>
      </c>
      <c r="B1947" s="1" t="n">
        <v>44860</v>
      </c>
      <c r="C1947" s="1" t="n">
        <v>45260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49001-2022</t>
        </is>
      </c>
      <c r="B1948" s="1" t="n">
        <v>44860</v>
      </c>
      <c r="C1948" s="1" t="n">
        <v>45260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49025-2022</t>
        </is>
      </c>
      <c r="B1949" s="1" t="n">
        <v>44860</v>
      </c>
      <c r="C1949" s="1" t="n">
        <v>45260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49056-2022</t>
        </is>
      </c>
      <c r="B1950" s="1" t="n">
        <v>44860</v>
      </c>
      <c r="C1950" s="1" t="n">
        <v>45260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49235-2022</t>
        </is>
      </c>
      <c r="B1951" s="1" t="n">
        <v>44861</v>
      </c>
      <c r="C1951" s="1" t="n">
        <v>45260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49362-2022</t>
        </is>
      </c>
      <c r="B1952" s="1" t="n">
        <v>44861</v>
      </c>
      <c r="C1952" s="1" t="n">
        <v>45260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49454-2022</t>
        </is>
      </c>
      <c r="B1953" s="1" t="n">
        <v>44861</v>
      </c>
      <c r="C1953" s="1" t="n">
        <v>45260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49367-2022</t>
        </is>
      </c>
      <c r="B1954" s="1" t="n">
        <v>44861</v>
      </c>
      <c r="C1954" s="1" t="n">
        <v>45260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49336-2022</t>
        </is>
      </c>
      <c r="B1955" s="1" t="n">
        <v>44861</v>
      </c>
      <c r="C1955" s="1" t="n">
        <v>45260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49290-2022</t>
        </is>
      </c>
      <c r="B1956" s="1" t="n">
        <v>44861</v>
      </c>
      <c r="C1956" s="1" t="n">
        <v>45260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49361-2022</t>
        </is>
      </c>
      <c r="B1957" s="1" t="n">
        <v>44861</v>
      </c>
      <c r="C1957" s="1" t="n">
        <v>45260</v>
      </c>
      <c r="D1957" t="inlineStr">
        <is>
          <t>VÄSTERNORRLANDS LÄN</t>
        </is>
      </c>
      <c r="E1957" t="inlineStr">
        <is>
          <t>ÖRNSKÖLDSVIK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49419-2022</t>
        </is>
      </c>
      <c r="B1958" s="1" t="n">
        <v>44861</v>
      </c>
      <c r="C1958" s="1" t="n">
        <v>45260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49598-2022</t>
        </is>
      </c>
      <c r="B1959" s="1" t="n">
        <v>44862</v>
      </c>
      <c r="C1959" s="1" t="n">
        <v>45260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49779-2022</t>
        </is>
      </c>
      <c r="B1960" s="1" t="n">
        <v>44862</v>
      </c>
      <c r="C1960" s="1" t="n">
        <v>45260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50732-2022</t>
        </is>
      </c>
      <c r="B1961" s="1" t="n">
        <v>44862</v>
      </c>
      <c r="C1961" s="1" t="n">
        <v>45260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50562-2022</t>
        </is>
      </c>
      <c r="B1962" s="1" t="n">
        <v>44862</v>
      </c>
      <c r="C1962" s="1" t="n">
        <v>45260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50217-2022</t>
        </is>
      </c>
      <c r="B1963" s="1" t="n">
        <v>44865</v>
      </c>
      <c r="C1963" s="1" t="n">
        <v>45260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49915-2022</t>
        </is>
      </c>
      <c r="B1964" s="1" t="n">
        <v>44865</v>
      </c>
      <c r="C1964" s="1" t="n">
        <v>45260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50200-2022</t>
        </is>
      </c>
      <c r="B1965" s="1" t="n">
        <v>44865</v>
      </c>
      <c r="C1965" s="1" t="n">
        <v>45260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50213-2022</t>
        </is>
      </c>
      <c r="B1966" s="1" t="n">
        <v>44865</v>
      </c>
      <c r="C1966" s="1" t="n">
        <v>45260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50229-2022</t>
        </is>
      </c>
      <c r="B1967" s="1" t="n">
        <v>44865</v>
      </c>
      <c r="C1967" s="1" t="n">
        <v>45260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50240-2022</t>
        </is>
      </c>
      <c r="B1968" s="1" t="n">
        <v>44865</v>
      </c>
      <c r="C1968" s="1" t="n">
        <v>45260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50259-2022</t>
        </is>
      </c>
      <c r="B1969" s="1" t="n">
        <v>44865</v>
      </c>
      <c r="C1969" s="1" t="n">
        <v>45260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50243-2022</t>
        </is>
      </c>
      <c r="B1970" s="1" t="n">
        <v>44865</v>
      </c>
      <c r="C1970" s="1" t="n">
        <v>45260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50344-2022</t>
        </is>
      </c>
      <c r="B1971" s="1" t="n">
        <v>44866</v>
      </c>
      <c r="C1971" s="1" t="n">
        <v>45260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50833-2022</t>
        </is>
      </c>
      <c r="B1972" s="1" t="n">
        <v>44867</v>
      </c>
      <c r="C1972" s="1" t="n">
        <v>45260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50887-2022</t>
        </is>
      </c>
      <c r="B1973" s="1" t="n">
        <v>44867</v>
      </c>
      <c r="C1973" s="1" t="n">
        <v>45260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50867-2022</t>
        </is>
      </c>
      <c r="B1974" s="1" t="n">
        <v>44867</v>
      </c>
      <c r="C1974" s="1" t="n">
        <v>45260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50926-2022</t>
        </is>
      </c>
      <c r="B1975" s="1" t="n">
        <v>44867</v>
      </c>
      <c r="C1975" s="1" t="n">
        <v>45260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51003-2022</t>
        </is>
      </c>
      <c r="B1976" s="1" t="n">
        <v>44867</v>
      </c>
      <c r="C1976" s="1" t="n">
        <v>45260</v>
      </c>
      <c r="D1976" t="inlineStr">
        <is>
          <t>VÄSTERNORRLANDS LÄN</t>
        </is>
      </c>
      <c r="E1976" t="inlineStr">
        <is>
          <t>ÖRNSKÖLDSVIK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51114-2022</t>
        </is>
      </c>
      <c r="B1977" s="1" t="n">
        <v>44868</v>
      </c>
      <c r="C1977" s="1" t="n">
        <v>45260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51329-2022</t>
        </is>
      </c>
      <c r="B1978" s="1" t="n">
        <v>44869</v>
      </c>
      <c r="C1978" s="1" t="n">
        <v>45260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51454-2022</t>
        </is>
      </c>
      <c r="B1979" s="1" t="n">
        <v>44869</v>
      </c>
      <c r="C1979" s="1" t="n">
        <v>45260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51506-2022</t>
        </is>
      </c>
      <c r="B1980" s="1" t="n">
        <v>44869</v>
      </c>
      <c r="C1980" s="1" t="n">
        <v>45260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51630-2022</t>
        </is>
      </c>
      <c r="B1981" s="1" t="n">
        <v>44872</v>
      </c>
      <c r="C1981" s="1" t="n">
        <v>45260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51832-2022</t>
        </is>
      </c>
      <c r="B1982" s="1" t="n">
        <v>44872</v>
      </c>
      <c r="C1982" s="1" t="n">
        <v>45260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51879-2022</t>
        </is>
      </c>
      <c r="B1983" s="1" t="n">
        <v>44872</v>
      </c>
      <c r="C1983" s="1" t="n">
        <v>45260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51967-2022</t>
        </is>
      </c>
      <c r="B1984" s="1" t="n">
        <v>44872</v>
      </c>
      <c r="C1984" s="1" t="n">
        <v>45260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52796-2022</t>
        </is>
      </c>
      <c r="B1985" s="1" t="n">
        <v>44872</v>
      </c>
      <c r="C1985" s="1" t="n">
        <v>45260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51992-2022</t>
        </is>
      </c>
      <c r="B1986" s="1" t="n">
        <v>44872</v>
      </c>
      <c r="C1986" s="1" t="n">
        <v>45260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52065-2022</t>
        </is>
      </c>
      <c r="B1987" s="1" t="n">
        <v>44873</v>
      </c>
      <c r="C1987" s="1" t="n">
        <v>45260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52194-2022</t>
        </is>
      </c>
      <c r="B1988" s="1" t="n">
        <v>44873</v>
      </c>
      <c r="C1988" s="1" t="n">
        <v>45260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53095-2022</t>
        </is>
      </c>
      <c r="B1989" s="1" t="n">
        <v>44873</v>
      </c>
      <c r="C1989" s="1" t="n">
        <v>45260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52467-2022</t>
        </is>
      </c>
      <c r="B1990" s="1" t="n">
        <v>44874</v>
      </c>
      <c r="C1990" s="1" t="n">
        <v>45260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52473-2022</t>
        </is>
      </c>
      <c r="B1991" s="1" t="n">
        <v>44874</v>
      </c>
      <c r="C1991" s="1" t="n">
        <v>45260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52572-2022</t>
        </is>
      </c>
      <c r="B1992" s="1" t="n">
        <v>44874</v>
      </c>
      <c r="C1992" s="1" t="n">
        <v>45260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52604-2022</t>
        </is>
      </c>
      <c r="B1993" s="1" t="n">
        <v>44874</v>
      </c>
      <c r="C1993" s="1" t="n">
        <v>45260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52575-2022</t>
        </is>
      </c>
      <c r="B1994" s="1" t="n">
        <v>44874</v>
      </c>
      <c r="C1994" s="1" t="n">
        <v>45260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52748-2022</t>
        </is>
      </c>
      <c r="B1995" s="1" t="n">
        <v>44874</v>
      </c>
      <c r="C1995" s="1" t="n">
        <v>45260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52780-2022</t>
        </is>
      </c>
      <c r="B1996" s="1" t="n">
        <v>44875</v>
      </c>
      <c r="C1996" s="1" t="n">
        <v>45260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52760-2022</t>
        </is>
      </c>
      <c r="B1997" s="1" t="n">
        <v>44875</v>
      </c>
      <c r="C1997" s="1" t="n">
        <v>45260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52900-2022</t>
        </is>
      </c>
      <c r="B1998" s="1" t="n">
        <v>44875</v>
      </c>
      <c r="C1998" s="1" t="n">
        <v>45260</v>
      </c>
      <c r="D1998" t="inlineStr">
        <is>
          <t>VÄSTERNORRLANDS LÄN</t>
        </is>
      </c>
      <c r="E1998" t="inlineStr">
        <is>
          <t>ÖRNSKÖLDSVIK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52865-2022</t>
        </is>
      </c>
      <c r="B1999" s="1" t="n">
        <v>44875</v>
      </c>
      <c r="C1999" s="1" t="n">
        <v>45260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53050-2022</t>
        </is>
      </c>
      <c r="B2000" s="1" t="n">
        <v>44876</v>
      </c>
      <c r="C2000" s="1" t="n">
        <v>45260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53147-2022</t>
        </is>
      </c>
      <c r="B2001" s="1" t="n">
        <v>44876</v>
      </c>
      <c r="C2001" s="1" t="n">
        <v>45260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53223-2022</t>
        </is>
      </c>
      <c r="B2002" s="1" t="n">
        <v>44876</v>
      </c>
      <c r="C2002" s="1" t="n">
        <v>45260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54325-2022</t>
        </is>
      </c>
      <c r="B2003" s="1" t="n">
        <v>44879</v>
      </c>
      <c r="C2003" s="1" t="n">
        <v>45260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54333-2022</t>
        </is>
      </c>
      <c r="B2004" s="1" t="n">
        <v>44879</v>
      </c>
      <c r="C2004" s="1" t="n">
        <v>45260</v>
      </c>
      <c r="D2004" t="inlineStr">
        <is>
          <t>VÄSTERNORRLANDS LÄN</t>
        </is>
      </c>
      <c r="E2004" t="inlineStr">
        <is>
          <t>ÖRNSKÖLDSVIK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53791-2022</t>
        </is>
      </c>
      <c r="B2005" s="1" t="n">
        <v>44880</v>
      </c>
      <c r="C2005" s="1" t="n">
        <v>45260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53827-2022</t>
        </is>
      </c>
      <c r="B2006" s="1" t="n">
        <v>44880</v>
      </c>
      <c r="C2006" s="1" t="n">
        <v>45260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53989-2022</t>
        </is>
      </c>
      <c r="B2007" s="1" t="n">
        <v>44881</v>
      </c>
      <c r="C2007" s="1" t="n">
        <v>45260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54223-2022</t>
        </is>
      </c>
      <c r="B2008" s="1" t="n">
        <v>44881</v>
      </c>
      <c r="C2008" s="1" t="n">
        <v>45260</v>
      </c>
      <c r="D2008" t="inlineStr">
        <is>
          <t>VÄSTERNORRLANDS LÄN</t>
        </is>
      </c>
      <c r="E2008" t="inlineStr">
        <is>
          <t>ÖRNSKÖLDSVIK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54714-2022</t>
        </is>
      </c>
      <c r="B2009" s="1" t="n">
        <v>44881</v>
      </c>
      <c r="C2009" s="1" t="n">
        <v>45260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54296-2022</t>
        </is>
      </c>
      <c r="B2010" s="1" t="n">
        <v>44882</v>
      </c>
      <c r="C2010" s="1" t="n">
        <v>45260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54331-2022</t>
        </is>
      </c>
      <c r="B2011" s="1" t="n">
        <v>44882</v>
      </c>
      <c r="C2011" s="1" t="n">
        <v>45260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55273-2022</t>
        </is>
      </c>
      <c r="B2012" s="1" t="n">
        <v>44882</v>
      </c>
      <c r="C2012" s="1" t="n">
        <v>45260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55283-2022</t>
        </is>
      </c>
      <c r="B2013" s="1" t="n">
        <v>44882</v>
      </c>
      <c r="C2013" s="1" t="n">
        <v>45260</v>
      </c>
      <c r="D2013" t="inlineStr">
        <is>
          <t>VÄSTERNORRLANDS LÄN</t>
        </is>
      </c>
      <c r="E2013" t="inlineStr">
        <is>
          <t>ÖRNSKÖLDSVIK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54607-2022</t>
        </is>
      </c>
      <c r="B2014" s="1" t="n">
        <v>44883</v>
      </c>
      <c r="C2014" s="1" t="n">
        <v>45260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54893-2022</t>
        </is>
      </c>
      <c r="B2015" s="1" t="n">
        <v>44886</v>
      </c>
      <c r="C2015" s="1" t="n">
        <v>45260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54982-2022</t>
        </is>
      </c>
      <c r="B2016" s="1" t="n">
        <v>44886</v>
      </c>
      <c r="C2016" s="1" t="n">
        <v>45260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55168-2022</t>
        </is>
      </c>
      <c r="B2017" s="1" t="n">
        <v>44886</v>
      </c>
      <c r="C2017" s="1" t="n">
        <v>45260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54981-2022</t>
        </is>
      </c>
      <c r="B2018" s="1" t="n">
        <v>44886</v>
      </c>
      <c r="C2018" s="1" t="n">
        <v>45260</v>
      </c>
      <c r="D2018" t="inlineStr">
        <is>
          <t>VÄSTERNORRLANDS LÄN</t>
        </is>
      </c>
      <c r="E2018" t="inlineStr">
        <is>
          <t>ÖRNSKÖLDSVIK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55121-2022</t>
        </is>
      </c>
      <c r="B2019" s="1" t="n">
        <v>44886</v>
      </c>
      <c r="C2019" s="1" t="n">
        <v>45260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55091-2022</t>
        </is>
      </c>
      <c r="B2020" s="1" t="n">
        <v>44886</v>
      </c>
      <c r="C2020" s="1" t="n">
        <v>45260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55125-2022</t>
        </is>
      </c>
      <c r="B2021" s="1" t="n">
        <v>44886</v>
      </c>
      <c r="C2021" s="1" t="n">
        <v>45260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55131-2022</t>
        </is>
      </c>
      <c r="B2022" s="1" t="n">
        <v>44886</v>
      </c>
      <c r="C2022" s="1" t="n">
        <v>45260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55162-2022</t>
        </is>
      </c>
      <c r="B2023" s="1" t="n">
        <v>44886</v>
      </c>
      <c r="C2023" s="1" t="n">
        <v>45260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55151-2022</t>
        </is>
      </c>
      <c r="B2024" s="1" t="n">
        <v>44886</v>
      </c>
      <c r="C2024" s="1" t="n">
        <v>45260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55292-2022</t>
        </is>
      </c>
      <c r="B2025" s="1" t="n">
        <v>44887</v>
      </c>
      <c r="C2025" s="1" t="n">
        <v>45260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55329-2022</t>
        </is>
      </c>
      <c r="B2026" s="1" t="n">
        <v>44887</v>
      </c>
      <c r="C2026" s="1" t="n">
        <v>45260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56470-2022</t>
        </is>
      </c>
      <c r="B2027" s="1" t="n">
        <v>44887</v>
      </c>
      <c r="C2027" s="1" t="n">
        <v>45260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56023-2022</t>
        </is>
      </c>
      <c r="B2028" s="1" t="n">
        <v>44887</v>
      </c>
      <c r="C2028" s="1" t="n">
        <v>45260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56465-2022</t>
        </is>
      </c>
      <c r="B2029" s="1" t="n">
        <v>44887</v>
      </c>
      <c r="C2029" s="1" t="n">
        <v>45260</v>
      </c>
      <c r="D2029" t="inlineStr">
        <is>
          <t>VÄSTERNORRLANDS LÄN</t>
        </is>
      </c>
      <c r="E2029" t="inlineStr">
        <is>
          <t>ÖRNSKÖLDSVIK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55486-2022</t>
        </is>
      </c>
      <c r="B2030" s="1" t="n">
        <v>44887</v>
      </c>
      <c r="C2030" s="1" t="n">
        <v>45260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55426-2022</t>
        </is>
      </c>
      <c r="B2031" s="1" t="n">
        <v>44887</v>
      </c>
      <c r="C2031" s="1" t="n">
        <v>45260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55483-2022</t>
        </is>
      </c>
      <c r="B2032" s="1" t="n">
        <v>44887</v>
      </c>
      <c r="C2032" s="1" t="n">
        <v>45260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56485-2022</t>
        </is>
      </c>
      <c r="B2033" s="1" t="n">
        <v>44887</v>
      </c>
      <c r="C2033" s="1" t="n">
        <v>45260</v>
      </c>
      <c r="D2033" t="inlineStr">
        <is>
          <t>VÄSTERNORRLANDS LÄN</t>
        </is>
      </c>
      <c r="E2033" t="inlineStr">
        <is>
          <t>ÖRNSKÖLDSVIK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55568-2022</t>
        </is>
      </c>
      <c r="B2034" s="1" t="n">
        <v>44888</v>
      </c>
      <c r="C2034" s="1" t="n">
        <v>45260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55643-2022</t>
        </is>
      </c>
      <c r="B2035" s="1" t="n">
        <v>44888</v>
      </c>
      <c r="C2035" s="1" t="n">
        <v>45260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55752-2022</t>
        </is>
      </c>
      <c r="B2036" s="1" t="n">
        <v>44888</v>
      </c>
      <c r="C2036" s="1" t="n">
        <v>45260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55780-2022</t>
        </is>
      </c>
      <c r="B2037" s="1" t="n">
        <v>44888</v>
      </c>
      <c r="C2037" s="1" t="n">
        <v>45260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55726-2022</t>
        </is>
      </c>
      <c r="B2038" s="1" t="n">
        <v>44888</v>
      </c>
      <c r="C2038" s="1" t="n">
        <v>45260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55823-2022</t>
        </is>
      </c>
      <c r="B2039" s="1" t="n">
        <v>44888</v>
      </c>
      <c r="C2039" s="1" t="n">
        <v>45260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55803-2022</t>
        </is>
      </c>
      <c r="B2040" s="1" t="n">
        <v>44888</v>
      </c>
      <c r="C2040" s="1" t="n">
        <v>45260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56873-2022</t>
        </is>
      </c>
      <c r="B2041" s="1" t="n">
        <v>44888</v>
      </c>
      <c r="C2041" s="1" t="n">
        <v>45260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56904-2022</t>
        </is>
      </c>
      <c r="B2042" s="1" t="n">
        <v>44888</v>
      </c>
      <c r="C2042" s="1" t="n">
        <v>45260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56082-2022</t>
        </is>
      </c>
      <c r="B2043" s="1" t="n">
        <v>44889</v>
      </c>
      <c r="C2043" s="1" t="n">
        <v>45260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56189-2022</t>
        </is>
      </c>
      <c r="B2044" s="1" t="n">
        <v>44889</v>
      </c>
      <c r="C2044" s="1" t="n">
        <v>45260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55937-2022</t>
        </is>
      </c>
      <c r="B2045" s="1" t="n">
        <v>44889</v>
      </c>
      <c r="C2045" s="1" t="n">
        <v>45260</v>
      </c>
      <c r="D2045" t="inlineStr">
        <is>
          <t>VÄSTERNORRLANDS LÄN</t>
        </is>
      </c>
      <c r="E2045" t="inlineStr">
        <is>
          <t>ÖRNSKÖLDSVIK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55916-2022</t>
        </is>
      </c>
      <c r="B2046" s="1" t="n">
        <v>44889</v>
      </c>
      <c r="C2046" s="1" t="n">
        <v>45260</v>
      </c>
      <c r="D2046" t="inlineStr">
        <is>
          <t>VÄSTERNORRLANDS LÄN</t>
        </is>
      </c>
      <c r="E2046" t="inlineStr">
        <is>
          <t>ÖRNSKÖLDSVIK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55911-2022</t>
        </is>
      </c>
      <c r="B2047" s="1" t="n">
        <v>44889</v>
      </c>
      <c r="C2047" s="1" t="n">
        <v>45260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55915-2022</t>
        </is>
      </c>
      <c r="B2048" s="1" t="n">
        <v>44889</v>
      </c>
      <c r="C2048" s="1" t="n">
        <v>45260</v>
      </c>
      <c r="D2048" t="inlineStr">
        <is>
          <t>VÄSTERNORRLANDS LÄN</t>
        </is>
      </c>
      <c r="E2048" t="inlineStr">
        <is>
          <t>ÖRNSKÖLDSVIK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55942-2022</t>
        </is>
      </c>
      <c r="B2049" s="1" t="n">
        <v>44889</v>
      </c>
      <c r="C2049" s="1" t="n">
        <v>45260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55913-2022</t>
        </is>
      </c>
      <c r="B2050" s="1" t="n">
        <v>44889</v>
      </c>
      <c r="C2050" s="1" t="n">
        <v>45260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56348-2022</t>
        </is>
      </c>
      <c r="B2051" s="1" t="n">
        <v>44890</v>
      </c>
      <c r="C2051" s="1" t="n">
        <v>45260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56397-2022</t>
        </is>
      </c>
      <c r="B2052" s="1" t="n">
        <v>44890</v>
      </c>
      <c r="C2052" s="1" t="n">
        <v>45260</v>
      </c>
      <c r="D2052" t="inlineStr">
        <is>
          <t>VÄSTERNORRLANDS LÄN</t>
        </is>
      </c>
      <c r="E2052" t="inlineStr">
        <is>
          <t>ÖRNSKÖLDSVIK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56694-2022</t>
        </is>
      </c>
      <c r="B2053" s="1" t="n">
        <v>44893</v>
      </c>
      <c r="C2053" s="1" t="n">
        <v>45260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56467-2022</t>
        </is>
      </c>
      <c r="B2054" s="1" t="n">
        <v>44893</v>
      </c>
      <c r="C2054" s="1" t="n">
        <v>45260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56492-2022</t>
        </is>
      </c>
      <c r="B2055" s="1" t="n">
        <v>44893</v>
      </c>
      <c r="C2055" s="1" t="n">
        <v>45260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HYPERLINK("https://klasma.github.io/Logging_2284/knärot/A 56492-2022 karta knärot.png", "A 56492-2022")</f>
        <v/>
      </c>
      <c r="V2055">
        <f>HYPERLINK("https://klasma.github.io/Logging_2284/klagomål/A 56492-2022 FSC-klagomål.docx", "A 56492-2022")</f>
        <v/>
      </c>
      <c r="W2055">
        <f>HYPERLINK("https://klasma.github.io/Logging_2284/klagomålsmail/A 56492-2022 FSC-klagomål mail.docx", "A 56492-2022")</f>
        <v/>
      </c>
      <c r="X2055">
        <f>HYPERLINK("https://klasma.github.io/Logging_2284/tillsyn/A 56492-2022 tillsynsbegäran.docx", "A 56492-2022")</f>
        <v/>
      </c>
      <c r="Y2055">
        <f>HYPERLINK("https://klasma.github.io/Logging_2284/tillsynsmail/A 56492-2022 tillsynsbegäran mail.docx", "A 56492-2022")</f>
        <v/>
      </c>
    </row>
    <row r="2056" ht="15" customHeight="1">
      <c r="A2056" t="inlineStr">
        <is>
          <t>A 56657-2022</t>
        </is>
      </c>
      <c r="B2056" s="1" t="n">
        <v>44893</v>
      </c>
      <c r="C2056" s="1" t="n">
        <v>45260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56662-2022</t>
        </is>
      </c>
      <c r="B2057" s="1" t="n">
        <v>44893</v>
      </c>
      <c r="C2057" s="1" t="n">
        <v>45260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56636-2022</t>
        </is>
      </c>
      <c r="B2058" s="1" t="n">
        <v>44893</v>
      </c>
      <c r="C2058" s="1" t="n">
        <v>45260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56658-2022</t>
        </is>
      </c>
      <c r="B2059" s="1" t="n">
        <v>44893</v>
      </c>
      <c r="C2059" s="1" t="n">
        <v>45260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56695-2022</t>
        </is>
      </c>
      <c r="B2060" s="1" t="n">
        <v>44893</v>
      </c>
      <c r="C2060" s="1" t="n">
        <v>45260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58057-2022</t>
        </is>
      </c>
      <c r="B2061" s="1" t="n">
        <v>44893</v>
      </c>
      <c r="C2061" s="1" t="n">
        <v>45260</v>
      </c>
      <c r="D2061" t="inlineStr">
        <is>
          <t>VÄSTERNORRLANDS LÄN</t>
        </is>
      </c>
      <c r="E2061" t="inlineStr">
        <is>
          <t>ÖRNSKÖLDSVIK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58065-2022</t>
        </is>
      </c>
      <c r="B2062" s="1" t="n">
        <v>44893</v>
      </c>
      <c r="C2062" s="1" t="n">
        <v>45260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58060-2022</t>
        </is>
      </c>
      <c r="B2063" s="1" t="n">
        <v>44893</v>
      </c>
      <c r="C2063" s="1" t="n">
        <v>45260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56756-2022</t>
        </is>
      </c>
      <c r="B2064" s="1" t="n">
        <v>44894</v>
      </c>
      <c r="C2064" s="1" t="n">
        <v>45260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56816-2022</t>
        </is>
      </c>
      <c r="B2065" s="1" t="n">
        <v>44894</v>
      </c>
      <c r="C2065" s="1" t="n">
        <v>45260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56974-2022</t>
        </is>
      </c>
      <c r="B2066" s="1" t="n">
        <v>44894</v>
      </c>
      <c r="C2066" s="1" t="n">
        <v>45260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56951-2022</t>
        </is>
      </c>
      <c r="B2067" s="1" t="n">
        <v>44894</v>
      </c>
      <c r="C2067" s="1" t="n">
        <v>45260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56975-2022</t>
        </is>
      </c>
      <c r="B2068" s="1" t="n">
        <v>44894</v>
      </c>
      <c r="C2068" s="1" t="n">
        <v>45260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57117-2022</t>
        </is>
      </c>
      <c r="B2069" s="1" t="n">
        <v>44895</v>
      </c>
      <c r="C2069" s="1" t="n">
        <v>45260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57169-2022</t>
        </is>
      </c>
      <c r="B2070" s="1" t="n">
        <v>44895</v>
      </c>
      <c r="C2070" s="1" t="n">
        <v>45260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57320-2022</t>
        </is>
      </c>
      <c r="B2071" s="1" t="n">
        <v>44896</v>
      </c>
      <c r="C2071" s="1" t="n">
        <v>45260</v>
      </c>
      <c r="D2071" t="inlineStr">
        <is>
          <t>VÄSTERNORRLANDS LÄN</t>
        </is>
      </c>
      <c r="E2071" t="inlineStr">
        <is>
          <t>ÖRNSKÖLDSVIK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57428-2022</t>
        </is>
      </c>
      <c r="B2072" s="1" t="n">
        <v>44896</v>
      </c>
      <c r="C2072" s="1" t="n">
        <v>45260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57498-2022</t>
        </is>
      </c>
      <c r="B2073" s="1" t="n">
        <v>44896</v>
      </c>
      <c r="C2073" s="1" t="n">
        <v>45260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57505-2022</t>
        </is>
      </c>
      <c r="B2074" s="1" t="n">
        <v>44896</v>
      </c>
      <c r="C2074" s="1" t="n">
        <v>45260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57567-2022</t>
        </is>
      </c>
      <c r="B2075" s="1" t="n">
        <v>44896</v>
      </c>
      <c r="C2075" s="1" t="n">
        <v>45260</v>
      </c>
      <c r="D2075" t="inlineStr">
        <is>
          <t>VÄSTERNORRLANDS LÄN</t>
        </is>
      </c>
      <c r="E2075" t="inlineStr">
        <is>
          <t>ÖRNSKÖLDSVIK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57686-2022</t>
        </is>
      </c>
      <c r="B2076" s="1" t="n">
        <v>44897</v>
      </c>
      <c r="C2076" s="1" t="n">
        <v>45260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57912-2022</t>
        </is>
      </c>
      <c r="B2077" s="1" t="n">
        <v>44900</v>
      </c>
      <c r="C2077" s="1" t="n">
        <v>45260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57915-2022</t>
        </is>
      </c>
      <c r="B2078" s="1" t="n">
        <v>44900</v>
      </c>
      <c r="C2078" s="1" t="n">
        <v>45260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58220-2022</t>
        </is>
      </c>
      <c r="B2079" s="1" t="n">
        <v>44901</v>
      </c>
      <c r="C2079" s="1" t="n">
        <v>45260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58407-2022</t>
        </is>
      </c>
      <c r="B2080" s="1" t="n">
        <v>44901</v>
      </c>
      <c r="C2080" s="1" t="n">
        <v>45260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58228-2022</t>
        </is>
      </c>
      <c r="B2081" s="1" t="n">
        <v>44901</v>
      </c>
      <c r="C2081" s="1" t="n">
        <v>45260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58358-2022</t>
        </is>
      </c>
      <c r="B2082" s="1" t="n">
        <v>44901</v>
      </c>
      <c r="C2082" s="1" t="n">
        <v>45260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59954-2022</t>
        </is>
      </c>
      <c r="B2083" s="1" t="n">
        <v>44901</v>
      </c>
      <c r="C2083" s="1" t="n">
        <v>45260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58568-2022</t>
        </is>
      </c>
      <c r="B2084" s="1" t="n">
        <v>44902</v>
      </c>
      <c r="C2084" s="1" t="n">
        <v>45260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60109-2022</t>
        </is>
      </c>
      <c r="B2085" s="1" t="n">
        <v>44902</v>
      </c>
      <c r="C2085" s="1" t="n">
        <v>45260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58775-2022</t>
        </is>
      </c>
      <c r="B2086" s="1" t="n">
        <v>44903</v>
      </c>
      <c r="C2086" s="1" t="n">
        <v>45260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60319-2022</t>
        </is>
      </c>
      <c r="B2087" s="1" t="n">
        <v>44903</v>
      </c>
      <c r="C2087" s="1" t="n">
        <v>45260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59121-2022</t>
        </is>
      </c>
      <c r="B2088" s="1" t="n">
        <v>44904</v>
      </c>
      <c r="C2088" s="1" t="n">
        <v>45260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59308-2022</t>
        </is>
      </c>
      <c r="B2089" s="1" t="n">
        <v>44904</v>
      </c>
      <c r="C2089" s="1" t="n">
        <v>45260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Kommuner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59222-2022</t>
        </is>
      </c>
      <c r="B2090" s="1" t="n">
        <v>44904</v>
      </c>
      <c r="C2090" s="1" t="n">
        <v>45260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59148-2022</t>
        </is>
      </c>
      <c r="B2091" s="1" t="n">
        <v>44904</v>
      </c>
      <c r="C2091" s="1" t="n">
        <v>45260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59334-2022</t>
        </is>
      </c>
      <c r="B2092" s="1" t="n">
        <v>44904</v>
      </c>
      <c r="C2092" s="1" t="n">
        <v>45260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60462-2022</t>
        </is>
      </c>
      <c r="B2093" s="1" t="n">
        <v>44904</v>
      </c>
      <c r="C2093" s="1" t="n">
        <v>45260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60551-2022</t>
        </is>
      </c>
      <c r="B2094" s="1" t="n">
        <v>44904</v>
      </c>
      <c r="C2094" s="1" t="n">
        <v>45260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59491-2022</t>
        </is>
      </c>
      <c r="B2095" s="1" t="n">
        <v>44907</v>
      </c>
      <c r="C2095" s="1" t="n">
        <v>45260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60753-2022</t>
        </is>
      </c>
      <c r="B2096" s="1" t="n">
        <v>44907</v>
      </c>
      <c r="C2096" s="1" t="n">
        <v>45260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59750-2022</t>
        </is>
      </c>
      <c r="B2097" s="1" t="n">
        <v>44908</v>
      </c>
      <c r="C2097" s="1" t="n">
        <v>45260</v>
      </c>
      <c r="D2097" t="inlineStr">
        <is>
          <t>VÄSTERNORRLANDS LÄN</t>
        </is>
      </c>
      <c r="E2097" t="inlineStr">
        <is>
          <t>ÖRNSKÖLDSVIK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59726-2022</t>
        </is>
      </c>
      <c r="B2098" s="1" t="n">
        <v>44908</v>
      </c>
      <c r="C2098" s="1" t="n">
        <v>45260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60929-2022</t>
        </is>
      </c>
      <c r="B2099" s="1" t="n">
        <v>44908</v>
      </c>
      <c r="C2099" s="1" t="n">
        <v>45260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61159-2022</t>
        </is>
      </c>
      <c r="B2100" s="1" t="n">
        <v>44908</v>
      </c>
      <c r="C2100" s="1" t="n">
        <v>45260</v>
      </c>
      <c r="D2100" t="inlineStr">
        <is>
          <t>VÄSTERNORRLANDS LÄN</t>
        </is>
      </c>
      <c r="E2100" t="inlineStr">
        <is>
          <t>ÖRNSKÖLDSVIK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59787-2022</t>
        </is>
      </c>
      <c r="B2101" s="1" t="n">
        <v>44908</v>
      </c>
      <c r="C2101" s="1" t="n">
        <v>45260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59849-2022</t>
        </is>
      </c>
      <c r="B2102" s="1" t="n">
        <v>44908</v>
      </c>
      <c r="C2102" s="1" t="n">
        <v>45260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61228-2022</t>
        </is>
      </c>
      <c r="B2103" s="1" t="n">
        <v>44909</v>
      </c>
      <c r="C2103" s="1" t="n">
        <v>45260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61322-2022</t>
        </is>
      </c>
      <c r="B2104" s="1" t="n">
        <v>44909</v>
      </c>
      <c r="C2104" s="1" t="n">
        <v>45260</v>
      </c>
      <c r="D2104" t="inlineStr">
        <is>
          <t>VÄSTERNORRLANDS LÄN</t>
        </is>
      </c>
      <c r="E2104" t="inlineStr">
        <is>
          <t>ÖRNSKÖLDSVIK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61232-2022</t>
        </is>
      </c>
      <c r="B2105" s="1" t="n">
        <v>44909</v>
      </c>
      <c r="C2105" s="1" t="n">
        <v>45260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60278-2022</t>
        </is>
      </c>
      <c r="B2106" s="1" t="n">
        <v>44910</v>
      </c>
      <c r="C2106" s="1" t="n">
        <v>45260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60331-2022</t>
        </is>
      </c>
      <c r="B2107" s="1" t="n">
        <v>44910</v>
      </c>
      <c r="C2107" s="1" t="n">
        <v>45260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60344-2022</t>
        </is>
      </c>
      <c r="B2108" s="1" t="n">
        <v>44910</v>
      </c>
      <c r="C2108" s="1" t="n">
        <v>45260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60406-2022</t>
        </is>
      </c>
      <c r="B2109" s="1" t="n">
        <v>44910</v>
      </c>
      <c r="C2109" s="1" t="n">
        <v>45260</v>
      </c>
      <c r="D2109" t="inlineStr">
        <is>
          <t>VÄSTERNORRLANDS LÄN</t>
        </is>
      </c>
      <c r="E2109" t="inlineStr">
        <is>
          <t>ÖRNSKÖLDSVIK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60337-2022</t>
        </is>
      </c>
      <c r="B2110" s="1" t="n">
        <v>44910</v>
      </c>
      <c r="C2110" s="1" t="n">
        <v>45260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60355-2022</t>
        </is>
      </c>
      <c r="B2111" s="1" t="n">
        <v>44910</v>
      </c>
      <c r="C2111" s="1" t="n">
        <v>45260</v>
      </c>
      <c r="D2111" t="inlineStr">
        <is>
          <t>VÄSTERNORRLANDS LÄN</t>
        </is>
      </c>
      <c r="E2111" t="inlineStr">
        <is>
          <t>ÖRNSKÖLDSVIK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60407-2022</t>
        </is>
      </c>
      <c r="B2112" s="1" t="n">
        <v>44910</v>
      </c>
      <c r="C2112" s="1" t="n">
        <v>45260</v>
      </c>
      <c r="D2112" t="inlineStr">
        <is>
          <t>VÄSTERNORRLANDS LÄN</t>
        </is>
      </c>
      <c r="E2112" t="inlineStr">
        <is>
          <t>ÖRNSKÖLDSVIK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60405-2022</t>
        </is>
      </c>
      <c r="B2113" s="1" t="n">
        <v>44910</v>
      </c>
      <c r="C2113" s="1" t="n">
        <v>45260</v>
      </c>
      <c r="D2113" t="inlineStr">
        <is>
          <t>VÄSTERNORRLANDS LÄN</t>
        </is>
      </c>
      <c r="E2113" t="inlineStr">
        <is>
          <t>ÖRNSKÖLDSVIK</t>
        </is>
      </c>
      <c r="G2113" t="n">
        <v>17.6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61506-2022</t>
        </is>
      </c>
      <c r="B2114" s="1" t="n">
        <v>44910</v>
      </c>
      <c r="C2114" s="1" t="n">
        <v>45260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60841-2022</t>
        </is>
      </c>
      <c r="B2115" s="1" t="n">
        <v>44914</v>
      </c>
      <c r="C2115" s="1" t="n">
        <v>45260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60888-2022</t>
        </is>
      </c>
      <c r="B2116" s="1" t="n">
        <v>44914</v>
      </c>
      <c r="C2116" s="1" t="n">
        <v>45260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62001-2022</t>
        </is>
      </c>
      <c r="B2117" s="1" t="n">
        <v>44914</v>
      </c>
      <c r="C2117" s="1" t="n">
        <v>45260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61090-2022</t>
        </is>
      </c>
      <c r="B2118" s="1" t="n">
        <v>44915</v>
      </c>
      <c r="C2118" s="1" t="n">
        <v>45260</v>
      </c>
      <c r="D2118" t="inlineStr">
        <is>
          <t>VÄSTERNORRLANDS LÄN</t>
        </is>
      </c>
      <c r="E2118" t="inlineStr">
        <is>
          <t>ÖRNSKÖLDSVIK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61085-2022</t>
        </is>
      </c>
      <c r="B2119" s="1" t="n">
        <v>44915</v>
      </c>
      <c r="C2119" s="1" t="n">
        <v>45260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61081-2022</t>
        </is>
      </c>
      <c r="B2120" s="1" t="n">
        <v>44915</v>
      </c>
      <c r="C2120" s="1" t="n">
        <v>45260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61183-2022</t>
        </is>
      </c>
      <c r="B2121" s="1" t="n">
        <v>44915</v>
      </c>
      <c r="C2121" s="1" t="n">
        <v>45260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61244-2022</t>
        </is>
      </c>
      <c r="B2122" s="1" t="n">
        <v>44915</v>
      </c>
      <c r="C2122" s="1" t="n">
        <v>45260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61095-2022</t>
        </is>
      </c>
      <c r="B2123" s="1" t="n">
        <v>44915</v>
      </c>
      <c r="C2123" s="1" t="n">
        <v>45260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61187-2022</t>
        </is>
      </c>
      <c r="B2124" s="1" t="n">
        <v>44915</v>
      </c>
      <c r="C2124" s="1" t="n">
        <v>45260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61392-2022</t>
        </is>
      </c>
      <c r="B2125" s="1" t="n">
        <v>44915</v>
      </c>
      <c r="C2125" s="1" t="n">
        <v>45260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61408-2022</t>
        </is>
      </c>
      <c r="B2126" s="1" t="n">
        <v>44916</v>
      </c>
      <c r="C2126" s="1" t="n">
        <v>45260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61445-2022</t>
        </is>
      </c>
      <c r="B2127" s="1" t="n">
        <v>44916</v>
      </c>
      <c r="C2127" s="1" t="n">
        <v>45260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61630-2022</t>
        </is>
      </c>
      <c r="B2128" s="1" t="n">
        <v>44916</v>
      </c>
      <c r="C2128" s="1" t="n">
        <v>45260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62340-2022</t>
        </is>
      </c>
      <c r="B2129" s="1" t="n">
        <v>44916</v>
      </c>
      <c r="C2129" s="1" t="n">
        <v>45260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62337-2022</t>
        </is>
      </c>
      <c r="B2130" s="1" t="n">
        <v>44916</v>
      </c>
      <c r="C2130" s="1" t="n">
        <v>45260</v>
      </c>
      <c r="D2130" t="inlineStr">
        <is>
          <t>VÄSTERNORRLANDS LÄN</t>
        </is>
      </c>
      <c r="E2130" t="inlineStr">
        <is>
          <t>ÖRNSKÖLDSVIK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62331-2022</t>
        </is>
      </c>
      <c r="B2131" s="1" t="n">
        <v>44916</v>
      </c>
      <c r="C2131" s="1" t="n">
        <v>45260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62342-2022</t>
        </is>
      </c>
      <c r="B2132" s="1" t="n">
        <v>44916</v>
      </c>
      <c r="C2132" s="1" t="n">
        <v>45260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62333-2022</t>
        </is>
      </c>
      <c r="B2133" s="1" t="n">
        <v>44916</v>
      </c>
      <c r="C2133" s="1" t="n">
        <v>45260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61674-2022</t>
        </is>
      </c>
      <c r="B2134" s="1" t="n">
        <v>44917</v>
      </c>
      <c r="C2134" s="1" t="n">
        <v>45260</v>
      </c>
      <c r="D2134" t="inlineStr">
        <is>
          <t>VÄSTERNORRLANDS LÄN</t>
        </is>
      </c>
      <c r="E2134" t="inlineStr">
        <is>
          <t>ÖRNSKÖLDSVIK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61933-2022</t>
        </is>
      </c>
      <c r="B2135" s="1" t="n">
        <v>44917</v>
      </c>
      <c r="C2135" s="1" t="n">
        <v>45260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38-2023</t>
        </is>
      </c>
      <c r="B2136" s="1" t="n">
        <v>44918</v>
      </c>
      <c r="C2136" s="1" t="n">
        <v>45260</v>
      </c>
      <c r="D2136" t="inlineStr">
        <is>
          <t>VÄSTERNORRLANDS LÄN</t>
        </is>
      </c>
      <c r="E2136" t="inlineStr">
        <is>
          <t>ÖRNSKÖLDSVIK</t>
        </is>
      </c>
      <c r="G2136" t="n">
        <v>9.9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45260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62085-2022</t>
        </is>
      </c>
      <c r="B2138" s="1" t="n">
        <v>44919</v>
      </c>
      <c r="C2138" s="1" t="n">
        <v>45260</v>
      </c>
      <c r="D2138" t="inlineStr">
        <is>
          <t>VÄSTERNORRLANDS LÄN</t>
        </is>
      </c>
      <c r="E2138" t="inlineStr">
        <is>
          <t>ÖRNSKÖLDSVIK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62089-2022</t>
        </is>
      </c>
      <c r="B2139" s="1" t="n">
        <v>44919</v>
      </c>
      <c r="C2139" s="1" t="n">
        <v>45260</v>
      </c>
      <c r="D2139" t="inlineStr">
        <is>
          <t>VÄSTERNORRLANDS LÄN</t>
        </is>
      </c>
      <c r="E2139" t="inlineStr">
        <is>
          <t>ÖRNSKÖLDSVIK</t>
        </is>
      </c>
      <c r="G2139" t="n">
        <v>24.7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62090-2022</t>
        </is>
      </c>
      <c r="B2140" s="1" t="n">
        <v>44919</v>
      </c>
      <c r="C2140" s="1" t="n">
        <v>45260</v>
      </c>
      <c r="D2140" t="inlineStr">
        <is>
          <t>VÄSTERNORRLANDS LÄN</t>
        </is>
      </c>
      <c r="E2140" t="inlineStr">
        <is>
          <t>ÖRNSKÖLDSVIK</t>
        </is>
      </c>
      <c r="G2140" t="n">
        <v>24.8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62107-2022</t>
        </is>
      </c>
      <c r="B2141" s="1" t="n">
        <v>44920</v>
      </c>
      <c r="C2141" s="1" t="n">
        <v>45260</v>
      </c>
      <c r="D2141" t="inlineStr">
        <is>
          <t>VÄSTERNORRLANDS LÄN</t>
        </is>
      </c>
      <c r="E2141" t="inlineStr">
        <is>
          <t>ÖRNSKÖLDSVIK</t>
        </is>
      </c>
      <c r="G2141" t="n">
        <v>26.3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62257-2022</t>
        </is>
      </c>
      <c r="B2142" s="1" t="n">
        <v>44922</v>
      </c>
      <c r="C2142" s="1" t="n">
        <v>45260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62357-2022</t>
        </is>
      </c>
      <c r="B2143" s="1" t="n">
        <v>44923</v>
      </c>
      <c r="C2143" s="1" t="n">
        <v>45260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62524-2022</t>
        </is>
      </c>
      <c r="B2144" s="1" t="n">
        <v>44924</v>
      </c>
      <c r="C2144" s="1" t="n">
        <v>45260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62751-2022</t>
        </is>
      </c>
      <c r="B2145" s="1" t="n">
        <v>44925</v>
      </c>
      <c r="C2145" s="1" t="n">
        <v>45260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287-2023</t>
        </is>
      </c>
      <c r="B2146" s="1" t="n">
        <v>44928</v>
      </c>
      <c r="C2146" s="1" t="n">
        <v>45260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394-2023</t>
        </is>
      </c>
      <c r="B2147" s="1" t="n">
        <v>44929</v>
      </c>
      <c r="C2147" s="1" t="n">
        <v>45260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338-2023</t>
        </is>
      </c>
      <c r="B2148" s="1" t="n">
        <v>44929</v>
      </c>
      <c r="C2148" s="1" t="n">
        <v>45260</v>
      </c>
      <c r="D2148" t="inlineStr">
        <is>
          <t>VÄSTERNORRLANDS LÄN</t>
        </is>
      </c>
      <c r="E2148" t="inlineStr">
        <is>
          <t>ÖRNSKÖLDSVIK</t>
        </is>
      </c>
      <c r="G2148" t="n">
        <v>7.3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399-2023</t>
        </is>
      </c>
      <c r="B2149" s="1" t="n">
        <v>44929</v>
      </c>
      <c r="C2149" s="1" t="n">
        <v>45260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580-2023</t>
        </is>
      </c>
      <c r="B2150" s="1" t="n">
        <v>44930</v>
      </c>
      <c r="C2150" s="1" t="n">
        <v>45260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Kommuner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777-2023</t>
        </is>
      </c>
      <c r="B2151" s="1" t="n">
        <v>44931</v>
      </c>
      <c r="C2151" s="1" t="n">
        <v>45260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758-2023</t>
        </is>
      </c>
      <c r="B2152" s="1" t="n">
        <v>44931</v>
      </c>
      <c r="C2152" s="1" t="n">
        <v>45260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763-2023</t>
        </is>
      </c>
      <c r="B2153" s="1" t="n">
        <v>44931</v>
      </c>
      <c r="C2153" s="1" t="n">
        <v>45260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767-2023</t>
        </is>
      </c>
      <c r="B2154" s="1" t="n">
        <v>44931</v>
      </c>
      <c r="C2154" s="1" t="n">
        <v>45260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1606-2023</t>
        </is>
      </c>
      <c r="B2155" s="1" t="n">
        <v>44935</v>
      </c>
      <c r="C2155" s="1" t="n">
        <v>45260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1333-2023</t>
        </is>
      </c>
      <c r="B2156" s="1" t="n">
        <v>44936</v>
      </c>
      <c r="C2156" s="1" t="n">
        <v>45260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1285-2023</t>
        </is>
      </c>
      <c r="B2157" s="1" t="n">
        <v>44936</v>
      </c>
      <c r="C2157" s="1" t="n">
        <v>45260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1686-2023</t>
        </is>
      </c>
      <c r="B2158" s="1" t="n">
        <v>44936</v>
      </c>
      <c r="C2158" s="1" t="n">
        <v>45260</v>
      </c>
      <c r="D2158" t="inlineStr">
        <is>
          <t>VÄSTERNORRLANDS LÄN</t>
        </is>
      </c>
      <c r="E2158" t="inlineStr">
        <is>
          <t>ÖRNSKÖLDSVIK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1689-2023</t>
        </is>
      </c>
      <c r="B2159" s="1" t="n">
        <v>44936</v>
      </c>
      <c r="C2159" s="1" t="n">
        <v>45260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1807-2023</t>
        </is>
      </c>
      <c r="B2160" s="1" t="n">
        <v>44937</v>
      </c>
      <c r="C2160" s="1" t="n">
        <v>45260</v>
      </c>
      <c r="D2160" t="inlineStr">
        <is>
          <t>VÄSTERNORRLANDS LÄN</t>
        </is>
      </c>
      <c r="E2160" t="inlineStr">
        <is>
          <t>ÖRNSKÖLDSVIK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1968-2023</t>
        </is>
      </c>
      <c r="B2161" s="1" t="n">
        <v>44938</v>
      </c>
      <c r="C2161" s="1" t="n">
        <v>45260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1972-2023</t>
        </is>
      </c>
      <c r="B2162" s="1" t="n">
        <v>44938</v>
      </c>
      <c r="C2162" s="1" t="n">
        <v>45260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1962-2023</t>
        </is>
      </c>
      <c r="B2163" s="1" t="n">
        <v>44938</v>
      </c>
      <c r="C2163" s="1" t="n">
        <v>45260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1957-2023</t>
        </is>
      </c>
      <c r="B2164" s="1" t="n">
        <v>44938</v>
      </c>
      <c r="C2164" s="1" t="n">
        <v>45260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2008-2023</t>
        </is>
      </c>
      <c r="B2165" s="1" t="n">
        <v>44939</v>
      </c>
      <c r="C2165" s="1" t="n">
        <v>45260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1937-2023</t>
        </is>
      </c>
      <c r="B2166" s="1" t="n">
        <v>44939</v>
      </c>
      <c r="C2166" s="1" t="n">
        <v>45260</v>
      </c>
      <c r="D2166" t="inlineStr">
        <is>
          <t>VÄSTERNORRLANDS LÄN</t>
        </is>
      </c>
      <c r="E2166" t="inlineStr">
        <is>
          <t>ÖRNSKÖLDSVIK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2011-2023</t>
        </is>
      </c>
      <c r="B2167" s="1" t="n">
        <v>44939</v>
      </c>
      <c r="C2167" s="1" t="n">
        <v>45260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2255-2023</t>
        </is>
      </c>
      <c r="B2168" s="1" t="n">
        <v>44942</v>
      </c>
      <c r="C2168" s="1" t="n">
        <v>45260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2722-2023</t>
        </is>
      </c>
      <c r="B2169" s="1" t="n">
        <v>44942</v>
      </c>
      <c r="C2169" s="1" t="n">
        <v>45260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2523-2023</t>
        </is>
      </c>
      <c r="B2170" s="1" t="n">
        <v>44943</v>
      </c>
      <c r="C2170" s="1" t="n">
        <v>45260</v>
      </c>
      <c r="D2170" t="inlineStr">
        <is>
          <t>VÄSTERNORRLANDS LÄN</t>
        </is>
      </c>
      <c r="E2170" t="inlineStr">
        <is>
          <t>ÖRNSKÖLDSVIK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2959-2023</t>
        </is>
      </c>
      <c r="B2171" s="1" t="n">
        <v>44944</v>
      </c>
      <c r="C2171" s="1" t="n">
        <v>45260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Övriga Aktiebolag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2965-2023</t>
        </is>
      </c>
      <c r="B2172" s="1" t="n">
        <v>44944</v>
      </c>
      <c r="C2172" s="1" t="n">
        <v>45260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2972-2023</t>
        </is>
      </c>
      <c r="B2173" s="1" t="n">
        <v>44944</v>
      </c>
      <c r="C2173" s="1" t="n">
        <v>45260</v>
      </c>
      <c r="D2173" t="inlineStr">
        <is>
          <t>VÄSTERNORRLANDS LÄN</t>
        </is>
      </c>
      <c r="E2173" t="inlineStr">
        <is>
          <t>ÖRNSKÖLDSVIK</t>
        </is>
      </c>
      <c r="G2173" t="n">
        <v>10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2963-2023</t>
        </is>
      </c>
      <c r="B2174" s="1" t="n">
        <v>44944</v>
      </c>
      <c r="C2174" s="1" t="n">
        <v>45260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Övriga Aktiebolag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2966-2023</t>
        </is>
      </c>
      <c r="B2175" s="1" t="n">
        <v>44944</v>
      </c>
      <c r="C2175" s="1" t="n">
        <v>45260</v>
      </c>
      <c r="D2175" t="inlineStr">
        <is>
          <t>VÄSTERNORRLANDS LÄN</t>
        </is>
      </c>
      <c r="E2175" t="inlineStr">
        <is>
          <t>ÖRNSKÖLDSVIK</t>
        </is>
      </c>
      <c r="G2175" t="n">
        <v>21.3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2892-2023</t>
        </is>
      </c>
      <c r="B2176" s="1" t="n">
        <v>44945</v>
      </c>
      <c r="C2176" s="1" t="n">
        <v>45260</v>
      </c>
      <c r="D2176" t="inlineStr">
        <is>
          <t>VÄSTERNORRLANDS LÄN</t>
        </is>
      </c>
      <c r="E2176" t="inlineStr">
        <is>
          <t>ÖRNSKÖLDSVIK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2977-2023</t>
        </is>
      </c>
      <c r="B2177" s="1" t="n">
        <v>44945</v>
      </c>
      <c r="C2177" s="1" t="n">
        <v>45260</v>
      </c>
      <c r="D2177" t="inlineStr">
        <is>
          <t>VÄSTERNORRLANDS LÄN</t>
        </is>
      </c>
      <c r="E2177" t="inlineStr">
        <is>
          <t>ÖRNSKÖLDSVIK</t>
        </is>
      </c>
      <c r="G2177" t="n">
        <v>19.3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3026-2023</t>
        </is>
      </c>
      <c r="B2178" s="1" t="n">
        <v>44945</v>
      </c>
      <c r="C2178" s="1" t="n">
        <v>45260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3038-2023</t>
        </is>
      </c>
      <c r="B2179" s="1" t="n">
        <v>44945</v>
      </c>
      <c r="C2179" s="1" t="n">
        <v>45260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90.90000000000001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3208-2023</t>
        </is>
      </c>
      <c r="B2180" s="1" t="n">
        <v>44946</v>
      </c>
      <c r="C2180" s="1" t="n">
        <v>45260</v>
      </c>
      <c r="D2180" t="inlineStr">
        <is>
          <t>VÄSTERNORRLANDS LÄN</t>
        </is>
      </c>
      <c r="E2180" t="inlineStr">
        <is>
          <t>ÖRNSKÖLDSVIK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3623-2023</t>
        </is>
      </c>
      <c r="B2181" s="1" t="n">
        <v>44946</v>
      </c>
      <c r="C2181" s="1" t="n">
        <v>45260</v>
      </c>
      <c r="D2181" t="inlineStr">
        <is>
          <t>VÄSTERNORRLANDS LÄN</t>
        </is>
      </c>
      <c r="E2181" t="inlineStr">
        <is>
          <t>ÖRNSKÖLDSVIK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3769-2023</t>
        </is>
      </c>
      <c r="B2182" s="1" t="n">
        <v>44949</v>
      </c>
      <c r="C2182" s="1" t="n">
        <v>45260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3555-2023</t>
        </is>
      </c>
      <c r="B2183" s="1" t="n">
        <v>44950</v>
      </c>
      <c r="C2183" s="1" t="n">
        <v>45260</v>
      </c>
      <c r="D2183" t="inlineStr">
        <is>
          <t>VÄSTERNORRLANDS LÄN</t>
        </is>
      </c>
      <c r="E2183" t="inlineStr">
        <is>
          <t>ÖRNSKÖLDSVIK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3697-2023</t>
        </is>
      </c>
      <c r="B2184" s="1" t="n">
        <v>44950</v>
      </c>
      <c r="C2184" s="1" t="n">
        <v>45260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3963-2023</t>
        </is>
      </c>
      <c r="B2185" s="1" t="n">
        <v>44950</v>
      </c>
      <c r="C2185" s="1" t="n">
        <v>45260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3966-2023</t>
        </is>
      </c>
      <c r="B2186" s="1" t="n">
        <v>44952</v>
      </c>
      <c r="C2186" s="1" t="n">
        <v>45260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4719-2023</t>
        </is>
      </c>
      <c r="B2187" s="1" t="n">
        <v>44953</v>
      </c>
      <c r="C2187" s="1" t="n">
        <v>45260</v>
      </c>
      <c r="D2187" t="inlineStr">
        <is>
          <t>VÄSTERNORRLANDS LÄN</t>
        </is>
      </c>
      <c r="E2187" t="inlineStr">
        <is>
          <t>ÖRNSKÖLDSVIK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4360-2023</t>
        </is>
      </c>
      <c r="B2188" s="1" t="n">
        <v>44954</v>
      </c>
      <c r="C2188" s="1" t="n">
        <v>45260</v>
      </c>
      <c r="D2188" t="inlineStr">
        <is>
          <t>VÄSTERNORRLANDS LÄN</t>
        </is>
      </c>
      <c r="E2188" t="inlineStr">
        <is>
          <t>ÖRNSKÖLDSVIK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4428-2023</t>
        </is>
      </c>
      <c r="B2189" s="1" t="n">
        <v>44956</v>
      </c>
      <c r="C2189" s="1" t="n">
        <v>45260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Kyrkan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4414-2023</t>
        </is>
      </c>
      <c r="B2190" s="1" t="n">
        <v>44956</v>
      </c>
      <c r="C2190" s="1" t="n">
        <v>45260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4522-2023</t>
        </is>
      </c>
      <c r="B2191" s="1" t="n">
        <v>44956</v>
      </c>
      <c r="C2191" s="1" t="n">
        <v>45260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4556-2023</t>
        </is>
      </c>
      <c r="B2192" s="1" t="n">
        <v>44956</v>
      </c>
      <c r="C2192" s="1" t="n">
        <v>45260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5364-2023</t>
        </is>
      </c>
      <c r="B2193" s="1" t="n">
        <v>44956</v>
      </c>
      <c r="C2193" s="1" t="n">
        <v>45260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4654-2023</t>
        </is>
      </c>
      <c r="B2194" s="1" t="n">
        <v>44957</v>
      </c>
      <c r="C2194" s="1" t="n">
        <v>45260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5488-2023</t>
        </is>
      </c>
      <c r="B2195" s="1" t="n">
        <v>44957</v>
      </c>
      <c r="C2195" s="1" t="n">
        <v>45260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5644-2023</t>
        </is>
      </c>
      <c r="B2196" s="1" t="n">
        <v>44958</v>
      </c>
      <c r="C2196" s="1" t="n">
        <v>45260</v>
      </c>
      <c r="D2196" t="inlineStr">
        <is>
          <t>VÄSTERNORRLANDS LÄN</t>
        </is>
      </c>
      <c r="E2196" t="inlineStr">
        <is>
          <t>ÖRNSKÖLDSVIK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5212-2023</t>
        </is>
      </c>
      <c r="B2197" s="1" t="n">
        <v>44959</v>
      </c>
      <c r="C2197" s="1" t="n">
        <v>45260</v>
      </c>
      <c r="D2197" t="inlineStr">
        <is>
          <t>VÄSTERNORRLANDS LÄN</t>
        </is>
      </c>
      <c r="E2197" t="inlineStr">
        <is>
          <t>ÖRNSKÖLDSVIK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5215-2023</t>
        </is>
      </c>
      <c r="B2198" s="1" t="n">
        <v>44959</v>
      </c>
      <c r="C2198" s="1" t="n">
        <v>45260</v>
      </c>
      <c r="D2198" t="inlineStr">
        <is>
          <t>VÄSTERNORRLANDS LÄN</t>
        </is>
      </c>
      <c r="E2198" t="inlineStr">
        <is>
          <t>ÖRNSKÖLDSVIK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5248-2023</t>
        </is>
      </c>
      <c r="B2199" s="1" t="n">
        <v>44959</v>
      </c>
      <c r="C2199" s="1" t="n">
        <v>45260</v>
      </c>
      <c r="D2199" t="inlineStr">
        <is>
          <t>VÄSTERNORRLANDS LÄN</t>
        </is>
      </c>
      <c r="E2199" t="inlineStr">
        <is>
          <t>ÖRNSKÖLDSVIK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5637-2023</t>
        </is>
      </c>
      <c r="B2200" s="1" t="n">
        <v>44960</v>
      </c>
      <c r="C2200" s="1" t="n">
        <v>45260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5555-2023</t>
        </is>
      </c>
      <c r="B2201" s="1" t="n">
        <v>44960</v>
      </c>
      <c r="C2201" s="1" t="n">
        <v>45260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5560-2023</t>
        </is>
      </c>
      <c r="B2202" s="1" t="n">
        <v>44960</v>
      </c>
      <c r="C2202" s="1" t="n">
        <v>45260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6388-2023</t>
        </is>
      </c>
      <c r="B2203" s="1" t="n">
        <v>44960</v>
      </c>
      <c r="C2203" s="1" t="n">
        <v>45260</v>
      </c>
      <c r="D2203" t="inlineStr">
        <is>
          <t>VÄSTERNORRLANDS LÄN</t>
        </is>
      </c>
      <c r="E2203" t="inlineStr">
        <is>
          <t>ÖRNSKÖLDSVIK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5595-2023</t>
        </is>
      </c>
      <c r="B2204" s="1" t="n">
        <v>44960</v>
      </c>
      <c r="C2204" s="1" t="n">
        <v>45260</v>
      </c>
      <c r="D2204" t="inlineStr">
        <is>
          <t>VÄSTERNORRLANDS LÄN</t>
        </is>
      </c>
      <c r="E2204" t="inlineStr">
        <is>
          <t>ÖRNSKÖLDSVIK</t>
        </is>
      </c>
      <c r="G2204" t="n">
        <v>22.8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6823-2023</t>
        </is>
      </c>
      <c r="B2205" s="1" t="n">
        <v>44963</v>
      </c>
      <c r="C2205" s="1" t="n">
        <v>45260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7147-2023</t>
        </is>
      </c>
      <c r="B2206" s="1" t="n">
        <v>44965</v>
      </c>
      <c r="C2206" s="1" t="n">
        <v>45260</v>
      </c>
      <c r="D2206" t="inlineStr">
        <is>
          <t>VÄSTERNORRLANDS LÄN</t>
        </is>
      </c>
      <c r="E2206" t="inlineStr">
        <is>
          <t>ÖRNSKÖLDSVIK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8217-2023</t>
        </is>
      </c>
      <c r="B2207" s="1" t="n">
        <v>44971</v>
      </c>
      <c r="C2207" s="1" t="n">
        <v>45260</v>
      </c>
      <c r="D2207" t="inlineStr">
        <is>
          <t>VÄSTERNORRLANDS LÄN</t>
        </is>
      </c>
      <c r="E2207" t="inlineStr">
        <is>
          <t>ÖRNSKÖLDSVIK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8227-2023</t>
        </is>
      </c>
      <c r="B2208" s="1" t="n">
        <v>44971</v>
      </c>
      <c r="C2208" s="1" t="n">
        <v>45260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7574-2023</t>
        </is>
      </c>
      <c r="B2209" s="1" t="n">
        <v>44972</v>
      </c>
      <c r="C2209" s="1" t="n">
        <v>45260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7881-2023</t>
        </is>
      </c>
      <c r="B2210" s="1" t="n">
        <v>44973</v>
      </c>
      <c r="C2210" s="1" t="n">
        <v>45260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8224-2023</t>
        </is>
      </c>
      <c r="B2211" s="1" t="n">
        <v>44974</v>
      </c>
      <c r="C2211" s="1" t="n">
        <v>45260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8221-2023</t>
        </is>
      </c>
      <c r="B2212" s="1" t="n">
        <v>44974</v>
      </c>
      <c r="C2212" s="1" t="n">
        <v>45260</v>
      </c>
      <c r="D2212" t="inlineStr">
        <is>
          <t>VÄSTERNORRLANDS LÄN</t>
        </is>
      </c>
      <c r="E2212" t="inlineStr">
        <is>
          <t>ÖRNSKÖLDSVIK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9474-2023</t>
        </is>
      </c>
      <c r="B2213" s="1" t="n">
        <v>44977</v>
      </c>
      <c r="C2213" s="1" t="n">
        <v>45260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9726-2023</t>
        </is>
      </c>
      <c r="B2214" s="1" t="n">
        <v>44978</v>
      </c>
      <c r="C2214" s="1" t="n">
        <v>45260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8874-2023</t>
        </is>
      </c>
      <c r="B2215" s="1" t="n">
        <v>44978</v>
      </c>
      <c r="C2215" s="1" t="n">
        <v>45260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9101-2023</t>
        </is>
      </c>
      <c r="B2216" s="1" t="n">
        <v>44979</v>
      </c>
      <c r="C2216" s="1" t="n">
        <v>45260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10053-2023</t>
        </is>
      </c>
      <c r="B2217" s="1" t="n">
        <v>44979</v>
      </c>
      <c r="C2217" s="1" t="n">
        <v>45260</v>
      </c>
      <c r="D2217" t="inlineStr">
        <is>
          <t>VÄSTERNORRLANDS LÄN</t>
        </is>
      </c>
      <c r="E2217" t="inlineStr">
        <is>
          <t>ÖRNSKÖLDSVIK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10057-2023</t>
        </is>
      </c>
      <c r="B2218" s="1" t="n">
        <v>44979</v>
      </c>
      <c r="C2218" s="1" t="n">
        <v>45260</v>
      </c>
      <c r="D2218" t="inlineStr">
        <is>
          <t>VÄSTERNORRLANDS LÄN</t>
        </is>
      </c>
      <c r="E2218" t="inlineStr">
        <is>
          <t>ÖRNSKÖLDSVIK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10055-2023</t>
        </is>
      </c>
      <c r="B2219" s="1" t="n">
        <v>44979</v>
      </c>
      <c r="C2219" s="1" t="n">
        <v>45260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10113-2023</t>
        </is>
      </c>
      <c r="B2220" s="1" t="n">
        <v>44979</v>
      </c>
      <c r="C2220" s="1" t="n">
        <v>45260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9254-2023</t>
        </is>
      </c>
      <c r="B2221" s="1" t="n">
        <v>44980</v>
      </c>
      <c r="C2221" s="1" t="n">
        <v>45260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9265-2023</t>
        </is>
      </c>
      <c r="B2222" s="1" t="n">
        <v>44980</v>
      </c>
      <c r="C2222" s="1" t="n">
        <v>45260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10369-2023</t>
        </is>
      </c>
      <c r="B2223" s="1" t="n">
        <v>44980</v>
      </c>
      <c r="C2223" s="1" t="n">
        <v>45260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9845-2023</t>
        </is>
      </c>
      <c r="B2224" s="1" t="n">
        <v>44984</v>
      </c>
      <c r="C2224" s="1" t="n">
        <v>45260</v>
      </c>
      <c r="D2224" t="inlineStr">
        <is>
          <t>VÄSTERNORRLANDS LÄN</t>
        </is>
      </c>
      <c r="E2224" t="inlineStr">
        <is>
          <t>ÖRNSKÖLDSVIK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9848-2023</t>
        </is>
      </c>
      <c r="B2225" s="1" t="n">
        <v>44984</v>
      </c>
      <c r="C2225" s="1" t="n">
        <v>45260</v>
      </c>
      <c r="D2225" t="inlineStr">
        <is>
          <t>VÄSTERNORRLANDS LÄN</t>
        </is>
      </c>
      <c r="E2225" t="inlineStr">
        <is>
          <t>ÖRNSKÖLDSVIK</t>
        </is>
      </c>
      <c r="G2225" t="n">
        <v>12.5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10601-2023</t>
        </is>
      </c>
      <c r="B2226" s="1" t="n">
        <v>44984</v>
      </c>
      <c r="C2226" s="1" t="n">
        <v>45260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9970-2023</t>
        </is>
      </c>
      <c r="B2227" s="1" t="n">
        <v>44985</v>
      </c>
      <c r="C2227" s="1" t="n">
        <v>45260</v>
      </c>
      <c r="D2227" t="inlineStr">
        <is>
          <t>VÄSTERNORRLANDS LÄN</t>
        </is>
      </c>
      <c r="E2227" t="inlineStr">
        <is>
          <t>ÖRNSKÖLDSVIK</t>
        </is>
      </c>
      <c r="G2227" t="n">
        <v>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9950-2023</t>
        </is>
      </c>
      <c r="B2228" s="1" t="n">
        <v>44985</v>
      </c>
      <c r="C2228" s="1" t="n">
        <v>45260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10970-2023</t>
        </is>
      </c>
      <c r="B2229" s="1" t="n">
        <v>44985</v>
      </c>
      <c r="C2229" s="1" t="n">
        <v>45260</v>
      </c>
      <c r="D2229" t="inlineStr">
        <is>
          <t>VÄSTERNORRLANDS LÄN</t>
        </is>
      </c>
      <c r="E2229" t="inlineStr">
        <is>
          <t>ÖRNSKÖLDSVIK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10100-2023</t>
        </is>
      </c>
      <c r="B2230" s="1" t="n">
        <v>44985</v>
      </c>
      <c r="C2230" s="1" t="n">
        <v>45260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10296-2023</t>
        </is>
      </c>
      <c r="B2231" s="1" t="n">
        <v>44986</v>
      </c>
      <c r="C2231" s="1" t="n">
        <v>45260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10293-2023</t>
        </is>
      </c>
      <c r="B2232" s="1" t="n">
        <v>44986</v>
      </c>
      <c r="C2232" s="1" t="n">
        <v>45260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10297-2023</t>
        </is>
      </c>
      <c r="B2233" s="1" t="n">
        <v>44986</v>
      </c>
      <c r="C2233" s="1" t="n">
        <v>45260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10295-2023</t>
        </is>
      </c>
      <c r="B2234" s="1" t="n">
        <v>44986</v>
      </c>
      <c r="C2234" s="1" t="n">
        <v>45260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10385-2023</t>
        </is>
      </c>
      <c r="B2235" s="1" t="n">
        <v>44987</v>
      </c>
      <c r="C2235" s="1" t="n">
        <v>45260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10387-2023</t>
        </is>
      </c>
      <c r="B2236" s="1" t="n">
        <v>44987</v>
      </c>
      <c r="C2236" s="1" t="n">
        <v>45260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10756-2023</t>
        </is>
      </c>
      <c r="B2237" s="1" t="n">
        <v>44988</v>
      </c>
      <c r="C2237" s="1" t="n">
        <v>45260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10700-2023</t>
        </is>
      </c>
      <c r="B2238" s="1" t="n">
        <v>44988</v>
      </c>
      <c r="C2238" s="1" t="n">
        <v>45260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10784-2023</t>
        </is>
      </c>
      <c r="B2239" s="1" t="n">
        <v>44988</v>
      </c>
      <c r="C2239" s="1" t="n">
        <v>45260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11050-2023</t>
        </is>
      </c>
      <c r="B2240" s="1" t="n">
        <v>44991</v>
      </c>
      <c r="C2240" s="1" t="n">
        <v>45260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11051-2023</t>
        </is>
      </c>
      <c r="B2241" s="1" t="n">
        <v>44991</v>
      </c>
      <c r="C2241" s="1" t="n">
        <v>45260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11059-2023</t>
        </is>
      </c>
      <c r="B2242" s="1" t="n">
        <v>44991</v>
      </c>
      <c r="C2242" s="1" t="n">
        <v>45260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14.8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11724-2023</t>
        </is>
      </c>
      <c r="B2243" s="1" t="n">
        <v>44992</v>
      </c>
      <c r="C2243" s="1" t="n">
        <v>45260</v>
      </c>
      <c r="D2243" t="inlineStr">
        <is>
          <t>VÄSTERNORRLANDS LÄN</t>
        </is>
      </c>
      <c r="E2243" t="inlineStr">
        <is>
          <t>ÖRNSKÖLDSVIK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12823-2023</t>
        </is>
      </c>
      <c r="B2244" s="1" t="n">
        <v>45000</v>
      </c>
      <c r="C2244" s="1" t="n">
        <v>45260</v>
      </c>
      <c r="D2244" t="inlineStr">
        <is>
          <t>VÄSTERNORRLANDS LÄN</t>
        </is>
      </c>
      <c r="E2244" t="inlineStr">
        <is>
          <t>ÖRNSKÖLDSVIK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12980-2023</t>
        </is>
      </c>
      <c r="B2245" s="1" t="n">
        <v>45002</v>
      </c>
      <c r="C2245" s="1" t="n">
        <v>45260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12981-2023</t>
        </is>
      </c>
      <c r="B2246" s="1" t="n">
        <v>45002</v>
      </c>
      <c r="C2246" s="1" t="n">
        <v>45260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12979-2023</t>
        </is>
      </c>
      <c r="B2247" s="1" t="n">
        <v>45002</v>
      </c>
      <c r="C2247" s="1" t="n">
        <v>45260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12978-2023</t>
        </is>
      </c>
      <c r="B2248" s="1" t="n">
        <v>45002</v>
      </c>
      <c r="C2248" s="1" t="n">
        <v>45260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13225-2023</t>
        </is>
      </c>
      <c r="B2249" s="1" t="n">
        <v>45002</v>
      </c>
      <c r="C2249" s="1" t="n">
        <v>45260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13226-2023</t>
        </is>
      </c>
      <c r="B2250" s="1" t="n">
        <v>45002</v>
      </c>
      <c r="C2250" s="1" t="n">
        <v>45260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13238-2023</t>
        </is>
      </c>
      <c r="B2251" s="1" t="n">
        <v>45002</v>
      </c>
      <c r="C2251" s="1" t="n">
        <v>45260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13232-2023</t>
        </is>
      </c>
      <c r="B2252" s="1" t="n">
        <v>45002</v>
      </c>
      <c r="C2252" s="1" t="n">
        <v>45260</v>
      </c>
      <c r="D2252" t="inlineStr">
        <is>
          <t>VÄSTERNORRLANDS LÄN</t>
        </is>
      </c>
      <c r="E2252" t="inlineStr">
        <is>
          <t>ÖRNSKÖLDSVIK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13279-2023</t>
        </is>
      </c>
      <c r="B2253" s="1" t="n">
        <v>45004</v>
      </c>
      <c r="C2253" s="1" t="n">
        <v>45260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13310-2023</t>
        </is>
      </c>
      <c r="B2254" s="1" t="n">
        <v>45005</v>
      </c>
      <c r="C2254" s="1" t="n">
        <v>45260</v>
      </c>
      <c r="D2254" t="inlineStr">
        <is>
          <t>VÄSTERNORRLANDS LÄN</t>
        </is>
      </c>
      <c r="E2254" t="inlineStr">
        <is>
          <t>ÖRNSKÖLDSVIK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45260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13494-2023</t>
        </is>
      </c>
      <c r="B2256" s="1" t="n">
        <v>45005</v>
      </c>
      <c r="C2256" s="1" t="n">
        <v>45260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13496-2023</t>
        </is>
      </c>
      <c r="B2257" s="1" t="n">
        <v>45005</v>
      </c>
      <c r="C2257" s="1" t="n">
        <v>45260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13548-2023</t>
        </is>
      </c>
      <c r="B2258" s="1" t="n">
        <v>45006</v>
      </c>
      <c r="C2258" s="1" t="n">
        <v>45260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13550-2023</t>
        </is>
      </c>
      <c r="B2259" s="1" t="n">
        <v>45006</v>
      </c>
      <c r="C2259" s="1" t="n">
        <v>45260</v>
      </c>
      <c r="D2259" t="inlineStr">
        <is>
          <t>VÄSTERNORRLANDS LÄN</t>
        </is>
      </c>
      <c r="E2259" t="inlineStr">
        <is>
          <t>ÖRNSKÖLDSVIK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13698-2023</t>
        </is>
      </c>
      <c r="B2260" s="1" t="n">
        <v>45006</v>
      </c>
      <c r="C2260" s="1" t="n">
        <v>45260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13549-2023</t>
        </is>
      </c>
      <c r="B2261" s="1" t="n">
        <v>45006</v>
      </c>
      <c r="C2261" s="1" t="n">
        <v>45260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13733-2023</t>
        </is>
      </c>
      <c r="B2262" s="1" t="n">
        <v>45006</v>
      </c>
      <c r="C2262" s="1" t="n">
        <v>45260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13945-2023</t>
        </is>
      </c>
      <c r="B2263" s="1" t="n">
        <v>45007</v>
      </c>
      <c r="C2263" s="1" t="n">
        <v>45260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13815-2023</t>
        </is>
      </c>
      <c r="B2264" s="1" t="n">
        <v>45007</v>
      </c>
      <c r="C2264" s="1" t="n">
        <v>45260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13818-2023</t>
        </is>
      </c>
      <c r="B2265" s="1" t="n">
        <v>45007</v>
      </c>
      <c r="C2265" s="1" t="n">
        <v>45260</v>
      </c>
      <c r="D2265" t="inlineStr">
        <is>
          <t>VÄSTERNORRLANDS LÄN</t>
        </is>
      </c>
      <c r="E2265" t="inlineStr">
        <is>
          <t>ÖRNSKÖLDSVIK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13832-2023</t>
        </is>
      </c>
      <c r="B2266" s="1" t="n">
        <v>45007</v>
      </c>
      <c r="C2266" s="1" t="n">
        <v>45260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13862-2023</t>
        </is>
      </c>
      <c r="B2267" s="1" t="n">
        <v>45007</v>
      </c>
      <c r="C2267" s="1" t="n">
        <v>45260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13934-2023</t>
        </is>
      </c>
      <c r="B2268" s="1" t="n">
        <v>45007</v>
      </c>
      <c r="C2268" s="1" t="n">
        <v>45260</v>
      </c>
      <c r="D2268" t="inlineStr">
        <is>
          <t>VÄSTERNORRLANDS LÄN</t>
        </is>
      </c>
      <c r="E2268" t="inlineStr">
        <is>
          <t>ÖRNSKÖLDSVIK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13959-2023</t>
        </is>
      </c>
      <c r="B2269" s="1" t="n">
        <v>45007</v>
      </c>
      <c r="C2269" s="1" t="n">
        <v>45260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13920-2023</t>
        </is>
      </c>
      <c r="B2270" s="1" t="n">
        <v>45007</v>
      </c>
      <c r="C2270" s="1" t="n">
        <v>45260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13895-2023</t>
        </is>
      </c>
      <c r="B2271" s="1" t="n">
        <v>45008</v>
      </c>
      <c r="C2271" s="1" t="n">
        <v>45260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13894-2023</t>
        </is>
      </c>
      <c r="B2272" s="1" t="n">
        <v>45008</v>
      </c>
      <c r="C2272" s="1" t="n">
        <v>45260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13893-2023</t>
        </is>
      </c>
      <c r="B2273" s="1" t="n">
        <v>45008</v>
      </c>
      <c r="C2273" s="1" t="n">
        <v>45260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14201-2023</t>
        </is>
      </c>
      <c r="B2274" s="1" t="n">
        <v>45009</v>
      </c>
      <c r="C2274" s="1" t="n">
        <v>45260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14337-2023</t>
        </is>
      </c>
      <c r="B2275" s="1" t="n">
        <v>45009</v>
      </c>
      <c r="C2275" s="1" t="n">
        <v>45260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14319-2023</t>
        </is>
      </c>
      <c r="B2276" s="1" t="n">
        <v>45012</v>
      </c>
      <c r="C2276" s="1" t="n">
        <v>45260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14318-2023</t>
        </is>
      </c>
      <c r="B2277" s="1" t="n">
        <v>45012</v>
      </c>
      <c r="C2277" s="1" t="n">
        <v>45260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14336-2023</t>
        </is>
      </c>
      <c r="B2278" s="1" t="n">
        <v>45012</v>
      </c>
      <c r="C2278" s="1" t="n">
        <v>45260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14713-2023</t>
        </is>
      </c>
      <c r="B2279" s="1" t="n">
        <v>45014</v>
      </c>
      <c r="C2279" s="1" t="n">
        <v>45260</v>
      </c>
      <c r="D2279" t="inlineStr">
        <is>
          <t>VÄSTERNORRLANDS LÄN</t>
        </is>
      </c>
      <c r="E2279" t="inlineStr">
        <is>
          <t>ÖRNSKÖLDSVIK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14963-2023</t>
        </is>
      </c>
      <c r="B2280" s="1" t="n">
        <v>45015</v>
      </c>
      <c r="C2280" s="1" t="n">
        <v>45260</v>
      </c>
      <c r="D2280" t="inlineStr">
        <is>
          <t>VÄSTERNORRLANDS LÄN</t>
        </is>
      </c>
      <c r="E2280" t="inlineStr">
        <is>
          <t>ÖRNSKÖLDSVIK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14929-2023</t>
        </is>
      </c>
      <c r="B2281" s="1" t="n">
        <v>45015</v>
      </c>
      <c r="C2281" s="1" t="n">
        <v>45260</v>
      </c>
      <c r="D2281" t="inlineStr">
        <is>
          <t>VÄSTERNORRLANDS LÄN</t>
        </is>
      </c>
      <c r="E2281" t="inlineStr">
        <is>
          <t>ÖRNSKÖLDSVIK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15050-2023</t>
        </is>
      </c>
      <c r="B2282" s="1" t="n">
        <v>45015</v>
      </c>
      <c r="C2282" s="1" t="n">
        <v>45260</v>
      </c>
      <c r="D2282" t="inlineStr">
        <is>
          <t>VÄSTERNORRLANDS LÄN</t>
        </is>
      </c>
      <c r="E2282" t="inlineStr">
        <is>
          <t>ÖRNSKÖLDSVIK</t>
        </is>
      </c>
      <c r="G2282" t="n">
        <v>6.5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15048-2023</t>
        </is>
      </c>
      <c r="B2283" s="1" t="n">
        <v>45015</v>
      </c>
      <c r="C2283" s="1" t="n">
        <v>45260</v>
      </c>
      <c r="D2283" t="inlineStr">
        <is>
          <t>VÄSTERNORRLANDS LÄN</t>
        </is>
      </c>
      <c r="E2283" t="inlineStr">
        <is>
          <t>ÖRNSKÖLDSVIK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15386-2023</t>
        </is>
      </c>
      <c r="B2284" s="1" t="n">
        <v>45019</v>
      </c>
      <c r="C2284" s="1" t="n">
        <v>45260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15419-2023</t>
        </is>
      </c>
      <c r="B2285" s="1" t="n">
        <v>45019</v>
      </c>
      <c r="C2285" s="1" t="n">
        <v>45260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15414-2023</t>
        </is>
      </c>
      <c r="B2286" s="1" t="n">
        <v>45019</v>
      </c>
      <c r="C2286" s="1" t="n">
        <v>45260</v>
      </c>
      <c r="D2286" t="inlineStr">
        <is>
          <t>VÄSTERNORRLANDS LÄN</t>
        </is>
      </c>
      <c r="E2286" t="inlineStr">
        <is>
          <t>ÖRNSKÖLDSVIK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15485-2023</t>
        </is>
      </c>
      <c r="B2287" s="1" t="n">
        <v>45020</v>
      </c>
      <c r="C2287" s="1" t="n">
        <v>45260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15982-2023</t>
        </is>
      </c>
      <c r="B2288" s="1" t="n">
        <v>45023</v>
      </c>
      <c r="C2288" s="1" t="n">
        <v>45260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16193-2023</t>
        </is>
      </c>
      <c r="B2289" s="1" t="n">
        <v>45028</v>
      </c>
      <c r="C2289" s="1" t="n">
        <v>45260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16486-2023</t>
        </is>
      </c>
      <c r="B2290" s="1" t="n">
        <v>45027</v>
      </c>
      <c r="C2290" s="1" t="n">
        <v>45260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16489-2023</t>
        </is>
      </c>
      <c r="B2291" s="1" t="n">
        <v>45027</v>
      </c>
      <c r="C2291" s="1" t="n">
        <v>45260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16250-2023</t>
        </is>
      </c>
      <c r="B2292" s="1" t="n">
        <v>45028</v>
      </c>
      <c r="C2292" s="1" t="n">
        <v>45260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45260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16548-2023</t>
        </is>
      </c>
      <c r="B2294" s="1" t="n">
        <v>45029</v>
      </c>
      <c r="C2294" s="1" t="n">
        <v>45260</v>
      </c>
      <c r="D2294" t="inlineStr">
        <is>
          <t>VÄSTERNORRLANDS LÄN</t>
        </is>
      </c>
      <c r="E2294" t="inlineStr">
        <is>
          <t>ÖRNSKÖLDSVIK</t>
        </is>
      </c>
      <c r="G2294" t="n">
        <v>9.4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16549-2023</t>
        </is>
      </c>
      <c r="B2295" s="1" t="n">
        <v>45029</v>
      </c>
      <c r="C2295" s="1" t="n">
        <v>45260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16764-2023</t>
        </is>
      </c>
      <c r="B2296" s="1" t="n">
        <v>45031</v>
      </c>
      <c r="C2296" s="1" t="n">
        <v>45260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17356-2023</t>
        </is>
      </c>
      <c r="B2297" s="1" t="n">
        <v>45033</v>
      </c>
      <c r="C2297" s="1" t="n">
        <v>45260</v>
      </c>
      <c r="D2297" t="inlineStr">
        <is>
          <t>VÄSTERNORRLANDS LÄN</t>
        </is>
      </c>
      <c r="E2297" t="inlineStr">
        <is>
          <t>ÖRNSKÖLDSVIK</t>
        </is>
      </c>
      <c r="G2297" t="n">
        <v>18.3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17099-2023</t>
        </is>
      </c>
      <c r="B2298" s="1" t="n">
        <v>45034</v>
      </c>
      <c r="C2298" s="1" t="n">
        <v>45260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17175-2023</t>
        </is>
      </c>
      <c r="B2299" s="1" t="n">
        <v>45034</v>
      </c>
      <c r="C2299" s="1" t="n">
        <v>45260</v>
      </c>
      <c r="D2299" t="inlineStr">
        <is>
          <t>VÄSTERNORRLANDS LÄN</t>
        </is>
      </c>
      <c r="E2299" t="inlineStr">
        <is>
          <t>ÖRNSKÖLDSVIK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17214-2023</t>
        </is>
      </c>
      <c r="B2300" s="1" t="n">
        <v>45035</v>
      </c>
      <c r="C2300" s="1" t="n">
        <v>45260</v>
      </c>
      <c r="D2300" t="inlineStr">
        <is>
          <t>VÄSTERNORRLANDS LÄN</t>
        </is>
      </c>
      <c r="E2300" t="inlineStr">
        <is>
          <t>ÖRNSKÖLDSVIK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17213-2023</t>
        </is>
      </c>
      <c r="B2301" s="1" t="n">
        <v>45035</v>
      </c>
      <c r="C2301" s="1" t="n">
        <v>45260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17515-2023</t>
        </is>
      </c>
      <c r="B2302" s="1" t="n">
        <v>45034</v>
      </c>
      <c r="C2302" s="1" t="n">
        <v>45260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17514-2023</t>
        </is>
      </c>
      <c r="B2303" s="1" t="n">
        <v>45034</v>
      </c>
      <c r="C2303" s="1" t="n">
        <v>45260</v>
      </c>
      <c r="D2303" t="inlineStr">
        <is>
          <t>VÄSTERNORRLANDS LÄN</t>
        </is>
      </c>
      <c r="E2303" t="inlineStr">
        <is>
          <t>ÖRNSKÖLDSVIK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17620-2023</t>
        </is>
      </c>
      <c r="B2304" s="1" t="n">
        <v>45035</v>
      </c>
      <c r="C2304" s="1" t="n">
        <v>45260</v>
      </c>
      <c r="D2304" t="inlineStr">
        <is>
          <t>VÄSTERNORRLANDS LÄN</t>
        </is>
      </c>
      <c r="E2304" t="inlineStr">
        <is>
          <t>ÖRNSKÖLDSVIK</t>
        </is>
      </c>
      <c r="G2304" t="n">
        <v>33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17845-2023</t>
        </is>
      </c>
      <c r="B2305" s="1" t="n">
        <v>45037</v>
      </c>
      <c r="C2305" s="1" t="n">
        <v>45260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17968-2023</t>
        </is>
      </c>
      <c r="B2306" s="1" t="n">
        <v>45037</v>
      </c>
      <c r="C2306" s="1" t="n">
        <v>45260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17948-2023</t>
        </is>
      </c>
      <c r="B2307" s="1" t="n">
        <v>45037</v>
      </c>
      <c r="C2307" s="1" t="n">
        <v>45260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17959-2023</t>
        </is>
      </c>
      <c r="B2308" s="1" t="n">
        <v>45037</v>
      </c>
      <c r="C2308" s="1" t="n">
        <v>45260</v>
      </c>
      <c r="D2308" t="inlineStr">
        <is>
          <t>VÄSTERNORRLANDS LÄN</t>
        </is>
      </c>
      <c r="E2308" t="inlineStr">
        <is>
          <t>ÖRNSKÖLDSVIK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18094-2023</t>
        </is>
      </c>
      <c r="B2309" s="1" t="n">
        <v>45040</v>
      </c>
      <c r="C2309" s="1" t="n">
        <v>45260</v>
      </c>
      <c r="D2309" t="inlineStr">
        <is>
          <t>VÄSTERNORRLANDS LÄN</t>
        </is>
      </c>
      <c r="E2309" t="inlineStr">
        <is>
          <t>ÖRNSKÖLDSVIK</t>
        </is>
      </c>
      <c r="G2309" t="n">
        <v>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18054-2023</t>
        </is>
      </c>
      <c r="B2310" s="1" t="n">
        <v>45040</v>
      </c>
      <c r="C2310" s="1" t="n">
        <v>45260</v>
      </c>
      <c r="D2310" t="inlineStr">
        <is>
          <t>VÄSTERNORRLANDS LÄN</t>
        </is>
      </c>
      <c r="E2310" t="inlineStr">
        <is>
          <t>ÖRNSKÖLDSVIK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18105-2023</t>
        </is>
      </c>
      <c r="B2311" s="1" t="n">
        <v>45040</v>
      </c>
      <c r="C2311" s="1" t="n">
        <v>45260</v>
      </c>
      <c r="D2311" t="inlineStr">
        <is>
          <t>VÄSTERNORRLANDS LÄN</t>
        </is>
      </c>
      <c r="E2311" t="inlineStr">
        <is>
          <t>ÖRNSKÖLDSVIK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17925-2023</t>
        </is>
      </c>
      <c r="B2312" s="1" t="n">
        <v>45040</v>
      </c>
      <c r="C2312" s="1" t="n">
        <v>45260</v>
      </c>
      <c r="D2312" t="inlineStr">
        <is>
          <t>VÄSTERNORRLANDS LÄN</t>
        </is>
      </c>
      <c r="E2312" t="inlineStr">
        <is>
          <t>ÖRNSKÖLDSVIK</t>
        </is>
      </c>
      <c r="G2312" t="n">
        <v>14.5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18148-2023</t>
        </is>
      </c>
      <c r="B2313" s="1" t="n">
        <v>45041</v>
      </c>
      <c r="C2313" s="1" t="n">
        <v>45260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18147-2023</t>
        </is>
      </c>
      <c r="B2314" s="1" t="n">
        <v>45041</v>
      </c>
      <c r="C2314" s="1" t="n">
        <v>45260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18199-2023</t>
        </is>
      </c>
      <c r="B2315" s="1" t="n">
        <v>45041</v>
      </c>
      <c r="C2315" s="1" t="n">
        <v>45260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18203-2023</t>
        </is>
      </c>
      <c r="B2316" s="1" t="n">
        <v>45041</v>
      </c>
      <c r="C2316" s="1" t="n">
        <v>45260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18198-2023</t>
        </is>
      </c>
      <c r="B2317" s="1" t="n">
        <v>45041</v>
      </c>
      <c r="C2317" s="1" t="n">
        <v>45260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18202-2023</t>
        </is>
      </c>
      <c r="B2318" s="1" t="n">
        <v>45041</v>
      </c>
      <c r="C2318" s="1" t="n">
        <v>45260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18417-2023</t>
        </is>
      </c>
      <c r="B2319" s="1" t="n">
        <v>45042</v>
      </c>
      <c r="C2319" s="1" t="n">
        <v>45260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18704-2023</t>
        </is>
      </c>
      <c r="B2320" s="1" t="n">
        <v>45043</v>
      </c>
      <c r="C2320" s="1" t="n">
        <v>45260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18586-2023</t>
        </is>
      </c>
      <c r="B2321" s="1" t="n">
        <v>45043</v>
      </c>
      <c r="C2321" s="1" t="n">
        <v>45260</v>
      </c>
      <c r="D2321" t="inlineStr">
        <is>
          <t>VÄSTERNORRLANDS LÄN</t>
        </is>
      </c>
      <c r="E2321" t="inlineStr">
        <is>
          <t>ÖRNSKÖLDSVIK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19137-2023</t>
        </is>
      </c>
      <c r="B2322" s="1" t="n">
        <v>45044</v>
      </c>
      <c r="C2322" s="1" t="n">
        <v>45260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19308-2023</t>
        </is>
      </c>
      <c r="B2323" s="1" t="n">
        <v>45049</v>
      </c>
      <c r="C2323" s="1" t="n">
        <v>45260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19519-2023</t>
        </is>
      </c>
      <c r="B2324" s="1" t="n">
        <v>45050</v>
      </c>
      <c r="C2324" s="1" t="n">
        <v>45260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19582-2023</t>
        </is>
      </c>
      <c r="B2325" s="1" t="n">
        <v>45050</v>
      </c>
      <c r="C2325" s="1" t="n">
        <v>45260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19509-2023</t>
        </is>
      </c>
      <c r="B2326" s="1" t="n">
        <v>45050</v>
      </c>
      <c r="C2326" s="1" t="n">
        <v>45260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19514-2023</t>
        </is>
      </c>
      <c r="B2327" s="1" t="n">
        <v>45050</v>
      </c>
      <c r="C2327" s="1" t="n">
        <v>45260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19670-2023</t>
        </is>
      </c>
      <c r="B2328" s="1" t="n">
        <v>45051</v>
      </c>
      <c r="C2328" s="1" t="n">
        <v>45260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19648-2023</t>
        </is>
      </c>
      <c r="B2329" s="1" t="n">
        <v>45051</v>
      </c>
      <c r="C2329" s="1" t="n">
        <v>45260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19681-2023</t>
        </is>
      </c>
      <c r="B2330" s="1" t="n">
        <v>45051</v>
      </c>
      <c r="C2330" s="1" t="n">
        <v>45260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19710-2023</t>
        </is>
      </c>
      <c r="B2331" s="1" t="n">
        <v>45051</v>
      </c>
      <c r="C2331" s="1" t="n">
        <v>45260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19813-2023</t>
        </is>
      </c>
      <c r="B2332" s="1" t="n">
        <v>45051</v>
      </c>
      <c r="C2332" s="1" t="n">
        <v>45260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19983-2023</t>
        </is>
      </c>
      <c r="B2333" s="1" t="n">
        <v>45054</v>
      </c>
      <c r="C2333" s="1" t="n">
        <v>45260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19977-2023</t>
        </is>
      </c>
      <c r="B2334" s="1" t="n">
        <v>45054</v>
      </c>
      <c r="C2334" s="1" t="n">
        <v>45260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20217-2023</t>
        </is>
      </c>
      <c r="B2335" s="1" t="n">
        <v>45054</v>
      </c>
      <c r="C2335" s="1" t="n">
        <v>45260</v>
      </c>
      <c r="D2335" t="inlineStr">
        <is>
          <t>VÄSTERNORRLANDS LÄN</t>
        </is>
      </c>
      <c r="E2335" t="inlineStr">
        <is>
          <t>ÖRNSKÖLDSVIK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19908-2023</t>
        </is>
      </c>
      <c r="B2336" s="1" t="n">
        <v>45054</v>
      </c>
      <c r="C2336" s="1" t="n">
        <v>45260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20319-2023</t>
        </is>
      </c>
      <c r="B2337" s="1" t="n">
        <v>45056</v>
      </c>
      <c r="C2337" s="1" t="n">
        <v>45260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21002-2023</t>
        </is>
      </c>
      <c r="B2338" s="1" t="n">
        <v>45056</v>
      </c>
      <c r="C2338" s="1" t="n">
        <v>45260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20483-2023</t>
        </is>
      </c>
      <c r="B2339" s="1" t="n">
        <v>45057</v>
      </c>
      <c r="C2339" s="1" t="n">
        <v>45260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20488-2023</t>
        </is>
      </c>
      <c r="B2340" s="1" t="n">
        <v>45057</v>
      </c>
      <c r="C2340" s="1" t="n">
        <v>45260</v>
      </c>
      <c r="D2340" t="inlineStr">
        <is>
          <t>VÄSTERNORRLANDS LÄN</t>
        </is>
      </c>
      <c r="E2340" t="inlineStr">
        <is>
          <t>ÖRNSKÖLDSVIK</t>
        </is>
      </c>
      <c r="G2340" t="n">
        <v>8.800000000000001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20497-2023</t>
        </is>
      </c>
      <c r="B2341" s="1" t="n">
        <v>45057</v>
      </c>
      <c r="C2341" s="1" t="n">
        <v>45260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20544-2023</t>
        </is>
      </c>
      <c r="B2342" s="1" t="n">
        <v>45057</v>
      </c>
      <c r="C2342" s="1" t="n">
        <v>45260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20523-2023</t>
        </is>
      </c>
      <c r="B2343" s="1" t="n">
        <v>45057</v>
      </c>
      <c r="C2343" s="1" t="n">
        <v>45260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20547-2023</t>
        </is>
      </c>
      <c r="B2344" s="1" t="n">
        <v>45057</v>
      </c>
      <c r="C2344" s="1" t="n">
        <v>45260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20548-2023</t>
        </is>
      </c>
      <c r="B2345" s="1" t="n">
        <v>45057</v>
      </c>
      <c r="C2345" s="1" t="n">
        <v>45260</v>
      </c>
      <c r="D2345" t="inlineStr">
        <is>
          <t>VÄSTERNORRLANDS LÄN</t>
        </is>
      </c>
      <c r="E2345" t="inlineStr">
        <is>
          <t>ÖRNSKÖLDSVIK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20552-2023</t>
        </is>
      </c>
      <c r="B2346" s="1" t="n">
        <v>45057</v>
      </c>
      <c r="C2346" s="1" t="n">
        <v>45260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20678-2023</t>
        </is>
      </c>
      <c r="B2347" s="1" t="n">
        <v>45058</v>
      </c>
      <c r="C2347" s="1" t="n">
        <v>45260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20649-2023</t>
        </is>
      </c>
      <c r="B2348" s="1" t="n">
        <v>45058</v>
      </c>
      <c r="C2348" s="1" t="n">
        <v>45260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20712-2023</t>
        </is>
      </c>
      <c r="B2349" s="1" t="n">
        <v>45058</v>
      </c>
      <c r="C2349" s="1" t="n">
        <v>45260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20807-2023</t>
        </is>
      </c>
      <c r="B2350" s="1" t="n">
        <v>45058</v>
      </c>
      <c r="C2350" s="1" t="n">
        <v>45260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21234-2023</t>
        </is>
      </c>
      <c r="B2351" s="1" t="n">
        <v>45058</v>
      </c>
      <c r="C2351" s="1" t="n">
        <v>45260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21264-2023</t>
        </is>
      </c>
      <c r="B2352" s="1" t="n">
        <v>45058</v>
      </c>
      <c r="C2352" s="1" t="n">
        <v>45260</v>
      </c>
      <c r="D2352" t="inlineStr">
        <is>
          <t>VÄSTERNORRLANDS LÄN</t>
        </is>
      </c>
      <c r="E2352" t="inlineStr">
        <is>
          <t>ÖRNSKÖLDSVIK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20943-2023</t>
        </is>
      </c>
      <c r="B2353" s="1" t="n">
        <v>45061</v>
      </c>
      <c r="C2353" s="1" t="n">
        <v>45260</v>
      </c>
      <c r="D2353" t="inlineStr">
        <is>
          <t>VÄSTERNORRLANDS LÄN</t>
        </is>
      </c>
      <c r="E2353" t="inlineStr">
        <is>
          <t>ÖRNSKÖLDSVIK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21205-2023</t>
        </is>
      </c>
      <c r="B2354" s="1" t="n">
        <v>45062</v>
      </c>
      <c r="C2354" s="1" t="n">
        <v>45260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18.4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21323-2023</t>
        </is>
      </c>
      <c r="B2355" s="1" t="n">
        <v>45062</v>
      </c>
      <c r="C2355" s="1" t="n">
        <v>45260</v>
      </c>
      <c r="D2355" t="inlineStr">
        <is>
          <t>VÄSTERNORRLANDS LÄN</t>
        </is>
      </c>
      <c r="E2355" t="inlineStr">
        <is>
          <t>ÖRNSKÖLDSVIK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21479-2023</t>
        </is>
      </c>
      <c r="B2356" s="1" t="n">
        <v>45063</v>
      </c>
      <c r="C2356" s="1" t="n">
        <v>45260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21489-2023</t>
        </is>
      </c>
      <c r="B2357" s="1" t="n">
        <v>45063</v>
      </c>
      <c r="C2357" s="1" t="n">
        <v>45260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21535-2023</t>
        </is>
      </c>
      <c r="B2358" s="1" t="n">
        <v>45063</v>
      </c>
      <c r="C2358" s="1" t="n">
        <v>45260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21415-2023</t>
        </is>
      </c>
      <c r="B2359" s="1" t="n">
        <v>45063</v>
      </c>
      <c r="C2359" s="1" t="n">
        <v>45260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21461-2023</t>
        </is>
      </c>
      <c r="B2360" s="1" t="n">
        <v>45063</v>
      </c>
      <c r="C2360" s="1" t="n">
        <v>45260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21482-2023</t>
        </is>
      </c>
      <c r="B2361" s="1" t="n">
        <v>45063</v>
      </c>
      <c r="C2361" s="1" t="n">
        <v>45260</v>
      </c>
      <c r="D2361" t="inlineStr">
        <is>
          <t>VÄSTERNORRLANDS LÄN</t>
        </is>
      </c>
      <c r="E2361" t="inlineStr">
        <is>
          <t>ÖRNSKÖLDSVIK</t>
        </is>
      </c>
      <c r="G2361" t="n">
        <v>11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21499-2023</t>
        </is>
      </c>
      <c r="B2362" s="1" t="n">
        <v>45063</v>
      </c>
      <c r="C2362" s="1" t="n">
        <v>45260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21490-2023</t>
        </is>
      </c>
      <c r="B2363" s="1" t="n">
        <v>45063</v>
      </c>
      <c r="C2363" s="1" t="n">
        <v>45260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21545-2023</t>
        </is>
      </c>
      <c r="B2364" s="1" t="n">
        <v>45063</v>
      </c>
      <c r="C2364" s="1" t="n">
        <v>45260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21623-2023</t>
        </is>
      </c>
      <c r="B2365" s="1" t="n">
        <v>45063</v>
      </c>
      <c r="C2365" s="1" t="n">
        <v>45260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21538-2023</t>
        </is>
      </c>
      <c r="B2366" s="1" t="n">
        <v>45063</v>
      </c>
      <c r="C2366" s="1" t="n">
        <v>45260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21640-2023</t>
        </is>
      </c>
      <c r="B2367" s="1" t="n">
        <v>45063</v>
      </c>
      <c r="C2367" s="1" t="n">
        <v>45260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21759-2023</t>
        </is>
      </c>
      <c r="B2368" s="1" t="n">
        <v>45063</v>
      </c>
      <c r="C2368" s="1" t="n">
        <v>45260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21737-2023</t>
        </is>
      </c>
      <c r="B2369" s="1" t="n">
        <v>45065</v>
      </c>
      <c r="C2369" s="1" t="n">
        <v>45260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21881-2023</t>
        </is>
      </c>
      <c r="B2370" s="1" t="n">
        <v>45065</v>
      </c>
      <c r="C2370" s="1" t="n">
        <v>45260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22261-2023</t>
        </is>
      </c>
      <c r="B2371" s="1" t="n">
        <v>45068</v>
      </c>
      <c r="C2371" s="1" t="n">
        <v>45260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22256-2023</t>
        </is>
      </c>
      <c r="B2372" s="1" t="n">
        <v>45068</v>
      </c>
      <c r="C2372" s="1" t="n">
        <v>45260</v>
      </c>
      <c r="D2372" t="inlineStr">
        <is>
          <t>VÄSTERNORRLANDS LÄN</t>
        </is>
      </c>
      <c r="E2372" t="inlineStr">
        <is>
          <t>ÖRNSKÖLDSVIK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21890-2023</t>
        </is>
      </c>
      <c r="B2373" s="1" t="n">
        <v>45068</v>
      </c>
      <c r="C2373" s="1" t="n">
        <v>45260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Kyrkan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22263-2023</t>
        </is>
      </c>
      <c r="B2374" s="1" t="n">
        <v>45068</v>
      </c>
      <c r="C2374" s="1" t="n">
        <v>45260</v>
      </c>
      <c r="D2374" t="inlineStr">
        <is>
          <t>VÄSTERNORRLANDS LÄN</t>
        </is>
      </c>
      <c r="E2374" t="inlineStr">
        <is>
          <t>ÖRNSKÖLDSVIK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22512-2023</t>
        </is>
      </c>
      <c r="B2375" s="1" t="n">
        <v>45069</v>
      </c>
      <c r="C2375" s="1" t="n">
        <v>45260</v>
      </c>
      <c r="D2375" t="inlineStr">
        <is>
          <t>VÄSTERNORRLANDS LÄN</t>
        </is>
      </c>
      <c r="E2375" t="inlineStr">
        <is>
          <t>ÖRNSKÖLDSVIK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22515-2023</t>
        </is>
      </c>
      <c r="B2376" s="1" t="n">
        <v>45069</v>
      </c>
      <c r="C2376" s="1" t="n">
        <v>45260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22547-2023</t>
        </is>
      </c>
      <c r="B2377" s="1" t="n">
        <v>45069</v>
      </c>
      <c r="C2377" s="1" t="n">
        <v>45260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22532-2023</t>
        </is>
      </c>
      <c r="B2378" s="1" t="n">
        <v>45069</v>
      </c>
      <c r="C2378" s="1" t="n">
        <v>45260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22357-2023</t>
        </is>
      </c>
      <c r="B2379" s="1" t="n">
        <v>45070</v>
      </c>
      <c r="C2379" s="1" t="n">
        <v>45260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22388-2023</t>
        </is>
      </c>
      <c r="B2380" s="1" t="n">
        <v>45070</v>
      </c>
      <c r="C2380" s="1" t="n">
        <v>45260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22946-2023</t>
        </is>
      </c>
      <c r="B2381" s="1" t="n">
        <v>45070</v>
      </c>
      <c r="C2381" s="1" t="n">
        <v>45260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22861-2023</t>
        </is>
      </c>
      <c r="B2382" s="1" t="n">
        <v>45070</v>
      </c>
      <c r="C2382" s="1" t="n">
        <v>45260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22572-2023</t>
        </is>
      </c>
      <c r="B2383" s="1" t="n">
        <v>45071</v>
      </c>
      <c r="C2383" s="1" t="n">
        <v>45260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22552-2023</t>
        </is>
      </c>
      <c r="B2384" s="1" t="n">
        <v>45071</v>
      </c>
      <c r="C2384" s="1" t="n">
        <v>45260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22520-2023</t>
        </is>
      </c>
      <c r="B2385" s="1" t="n">
        <v>45071</v>
      </c>
      <c r="C2385" s="1" t="n">
        <v>45260</v>
      </c>
      <c r="D2385" t="inlineStr">
        <is>
          <t>VÄSTERNORRLANDS LÄN</t>
        </is>
      </c>
      <c r="E2385" t="inlineStr">
        <is>
          <t>ÖRNSKÖLDSVIK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22565-2023</t>
        </is>
      </c>
      <c r="B2386" s="1" t="n">
        <v>45071</v>
      </c>
      <c r="C2386" s="1" t="n">
        <v>45260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23644-2023</t>
        </is>
      </c>
      <c r="B2387" s="1" t="n">
        <v>45072</v>
      </c>
      <c r="C2387" s="1" t="n">
        <v>45260</v>
      </c>
      <c r="D2387" t="inlineStr">
        <is>
          <t>VÄSTERNORRLANDS LÄN</t>
        </is>
      </c>
      <c r="E2387" t="inlineStr">
        <is>
          <t>ÖRNSKÖLDSVIK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23596-2023</t>
        </is>
      </c>
      <c r="B2388" s="1" t="n">
        <v>45072</v>
      </c>
      <c r="C2388" s="1" t="n">
        <v>45260</v>
      </c>
      <c r="D2388" t="inlineStr">
        <is>
          <t>VÄSTERNORRLANDS LÄN</t>
        </is>
      </c>
      <c r="E2388" t="inlineStr">
        <is>
          <t>ÖRNSKÖLDSVIK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23100-2023</t>
        </is>
      </c>
      <c r="B2389" s="1" t="n">
        <v>45075</v>
      </c>
      <c r="C2389" s="1" t="n">
        <v>45260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23097-2023</t>
        </is>
      </c>
      <c r="B2390" s="1" t="n">
        <v>45075</v>
      </c>
      <c r="C2390" s="1" t="n">
        <v>45260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23336-2023</t>
        </is>
      </c>
      <c r="B2391" s="1" t="n">
        <v>45076</v>
      </c>
      <c r="C2391" s="1" t="n">
        <v>45260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23428-2023</t>
        </is>
      </c>
      <c r="B2392" s="1" t="n">
        <v>45076</v>
      </c>
      <c r="C2392" s="1" t="n">
        <v>45260</v>
      </c>
      <c r="D2392" t="inlineStr">
        <is>
          <t>VÄSTERNORRLANDS LÄN</t>
        </is>
      </c>
      <c r="E2392" t="inlineStr">
        <is>
          <t>ÖRNSKÖLDSVIK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23432-2023</t>
        </is>
      </c>
      <c r="B2393" s="1" t="n">
        <v>45076</v>
      </c>
      <c r="C2393" s="1" t="n">
        <v>45260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23329-2023</t>
        </is>
      </c>
      <c r="B2394" s="1" t="n">
        <v>45076</v>
      </c>
      <c r="C2394" s="1" t="n">
        <v>45260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23471-2023</t>
        </is>
      </c>
      <c r="B2395" s="1" t="n">
        <v>45076</v>
      </c>
      <c r="C2395" s="1" t="n">
        <v>45260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23433-2023</t>
        </is>
      </c>
      <c r="B2396" s="1" t="n">
        <v>45076</v>
      </c>
      <c r="C2396" s="1" t="n">
        <v>45260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23470-2023</t>
        </is>
      </c>
      <c r="B2397" s="1" t="n">
        <v>45076</v>
      </c>
      <c r="C2397" s="1" t="n">
        <v>45260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23482-2023</t>
        </is>
      </c>
      <c r="B2398" s="1" t="n">
        <v>45076</v>
      </c>
      <c r="C2398" s="1" t="n">
        <v>45260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24366-2023</t>
        </is>
      </c>
      <c r="B2399" s="1" t="n">
        <v>45076</v>
      </c>
      <c r="C2399" s="1" t="n">
        <v>45260</v>
      </c>
      <c r="D2399" t="inlineStr">
        <is>
          <t>VÄSTERNORRLANDS LÄN</t>
        </is>
      </c>
      <c r="E2399" t="inlineStr">
        <is>
          <t>ÖRNSKÖLDSVIK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23640-2023</t>
        </is>
      </c>
      <c r="B2400" s="1" t="n">
        <v>45077</v>
      </c>
      <c r="C2400" s="1" t="n">
        <v>45260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23725-2023</t>
        </is>
      </c>
      <c r="B2401" s="1" t="n">
        <v>45077</v>
      </c>
      <c r="C2401" s="1" t="n">
        <v>45260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23775-2023</t>
        </is>
      </c>
      <c r="B2402" s="1" t="n">
        <v>45078</v>
      </c>
      <c r="C2402" s="1" t="n">
        <v>45260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63.6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24531-2023</t>
        </is>
      </c>
      <c r="B2403" s="1" t="n">
        <v>45077</v>
      </c>
      <c r="C2403" s="1" t="n">
        <v>45260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23788-2023</t>
        </is>
      </c>
      <c r="B2404" s="1" t="n">
        <v>45078</v>
      </c>
      <c r="C2404" s="1" t="n">
        <v>45260</v>
      </c>
      <c r="D2404" t="inlineStr">
        <is>
          <t>VÄSTERNORRLANDS LÄN</t>
        </is>
      </c>
      <c r="E2404" t="inlineStr">
        <is>
          <t>ÖRNSKÖLDSVIK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23840-2023</t>
        </is>
      </c>
      <c r="B2405" s="1" t="n">
        <v>45078</v>
      </c>
      <c r="C2405" s="1" t="n">
        <v>45260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23804-2023</t>
        </is>
      </c>
      <c r="B2406" s="1" t="n">
        <v>45078</v>
      </c>
      <c r="C2406" s="1" t="n">
        <v>45260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23790-2023</t>
        </is>
      </c>
      <c r="B2407" s="1" t="n">
        <v>45078</v>
      </c>
      <c r="C2407" s="1" t="n">
        <v>45260</v>
      </c>
      <c r="D2407" t="inlineStr">
        <is>
          <t>VÄSTERNORRLANDS LÄN</t>
        </is>
      </c>
      <c r="E2407" t="inlineStr">
        <is>
          <t>ÖRNSKÖLDSVIK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23891-2023</t>
        </is>
      </c>
      <c r="B2408" s="1" t="n">
        <v>45078</v>
      </c>
      <c r="C2408" s="1" t="n">
        <v>45260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23944-2023</t>
        </is>
      </c>
      <c r="B2409" s="1" t="n">
        <v>45078</v>
      </c>
      <c r="C2409" s="1" t="n">
        <v>45260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23976-2023</t>
        </is>
      </c>
      <c r="B2410" s="1" t="n">
        <v>45078</v>
      </c>
      <c r="C2410" s="1" t="n">
        <v>45260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24895-2023</t>
        </is>
      </c>
      <c r="B2411" s="1" t="n">
        <v>45078</v>
      </c>
      <c r="C2411" s="1" t="n">
        <v>45260</v>
      </c>
      <c r="D2411" t="inlineStr">
        <is>
          <t>VÄSTERNORRLANDS LÄN</t>
        </is>
      </c>
      <c r="E2411" t="inlineStr">
        <is>
          <t>ÖRNSKÖLDSVIK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24902-2023</t>
        </is>
      </c>
      <c r="B2412" s="1" t="n">
        <v>45078</v>
      </c>
      <c r="C2412" s="1" t="n">
        <v>45260</v>
      </c>
      <c r="D2412" t="inlineStr">
        <is>
          <t>VÄSTERNORRLANDS LÄN</t>
        </is>
      </c>
      <c r="E2412" t="inlineStr">
        <is>
          <t>ÖRNSKÖLDSVIK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25003-2023</t>
        </is>
      </c>
      <c r="B2413" s="1" t="n">
        <v>45078</v>
      </c>
      <c r="C2413" s="1" t="n">
        <v>45260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24915-2023</t>
        </is>
      </c>
      <c r="B2414" s="1" t="n">
        <v>45078</v>
      </c>
      <c r="C2414" s="1" t="n">
        <v>45260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25082-2023</t>
        </is>
      </c>
      <c r="B2415" s="1" t="n">
        <v>45078</v>
      </c>
      <c r="C2415" s="1" t="n">
        <v>45260</v>
      </c>
      <c r="D2415" t="inlineStr">
        <is>
          <t>VÄSTERNORRLANDS LÄN</t>
        </is>
      </c>
      <c r="E2415" t="inlineStr">
        <is>
          <t>ÖRNSKÖLDSVIK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24102-2023</t>
        </is>
      </c>
      <c r="B2416" s="1" t="n">
        <v>45079</v>
      </c>
      <c r="C2416" s="1" t="n">
        <v>45260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24175-2023</t>
        </is>
      </c>
      <c r="B2417" s="1" t="n">
        <v>45079</v>
      </c>
      <c r="C2417" s="1" t="n">
        <v>45260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25210-2023</t>
        </is>
      </c>
      <c r="B2418" s="1" t="n">
        <v>45079</v>
      </c>
      <c r="C2418" s="1" t="n">
        <v>45260</v>
      </c>
      <c r="D2418" t="inlineStr">
        <is>
          <t>VÄSTERNORRLANDS LÄN</t>
        </is>
      </c>
      <c r="E2418" t="inlineStr">
        <is>
          <t>ÖRNSKÖLDSVIK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24487-2023</t>
        </is>
      </c>
      <c r="B2419" s="1" t="n">
        <v>45082</v>
      </c>
      <c r="C2419" s="1" t="n">
        <v>45260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24497-2023</t>
        </is>
      </c>
      <c r="B2420" s="1" t="n">
        <v>45082</v>
      </c>
      <c r="C2420" s="1" t="n">
        <v>45260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24534-2023</t>
        </is>
      </c>
      <c r="B2421" s="1" t="n">
        <v>45082</v>
      </c>
      <c r="C2421" s="1" t="n">
        <v>45260</v>
      </c>
      <c r="D2421" t="inlineStr">
        <is>
          <t>VÄSTERNORRLANDS LÄN</t>
        </is>
      </c>
      <c r="E2421" t="inlineStr">
        <is>
          <t>ÖRNSKÖLDSVIK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24672-2023</t>
        </is>
      </c>
      <c r="B2422" s="1" t="n">
        <v>45084</v>
      </c>
      <c r="C2422" s="1" t="n">
        <v>45260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24754-2023</t>
        </is>
      </c>
      <c r="B2423" s="1" t="n">
        <v>45084</v>
      </c>
      <c r="C2423" s="1" t="n">
        <v>45260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24641-2023</t>
        </is>
      </c>
      <c r="B2424" s="1" t="n">
        <v>45084</v>
      </c>
      <c r="C2424" s="1" t="n">
        <v>45260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24733-2023</t>
        </is>
      </c>
      <c r="B2425" s="1" t="n">
        <v>45084</v>
      </c>
      <c r="C2425" s="1" t="n">
        <v>45260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24786-2023</t>
        </is>
      </c>
      <c r="B2426" s="1" t="n">
        <v>45084</v>
      </c>
      <c r="C2426" s="1" t="n">
        <v>45260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24803-2023</t>
        </is>
      </c>
      <c r="B2427" s="1" t="n">
        <v>45084</v>
      </c>
      <c r="C2427" s="1" t="n">
        <v>45260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25620-2023</t>
        </is>
      </c>
      <c r="B2428" s="1" t="n">
        <v>45084</v>
      </c>
      <c r="C2428" s="1" t="n">
        <v>45260</v>
      </c>
      <c r="D2428" t="inlineStr">
        <is>
          <t>VÄSTERNORRLANDS LÄN</t>
        </is>
      </c>
      <c r="E2428" t="inlineStr">
        <is>
          <t>ÖRNSKÖLDSVIK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25774-2023</t>
        </is>
      </c>
      <c r="B2429" s="1" t="n">
        <v>45084</v>
      </c>
      <c r="C2429" s="1" t="n">
        <v>45260</v>
      </c>
      <c r="D2429" t="inlineStr">
        <is>
          <t>VÄSTERNORRLANDS LÄN</t>
        </is>
      </c>
      <c r="E2429" t="inlineStr">
        <is>
          <t>ÖRNSKÖLDSVIK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25630-2023</t>
        </is>
      </c>
      <c r="B2430" s="1" t="n">
        <v>45084</v>
      </c>
      <c r="C2430" s="1" t="n">
        <v>45260</v>
      </c>
      <c r="D2430" t="inlineStr">
        <is>
          <t>VÄSTERNORRLANDS LÄN</t>
        </is>
      </c>
      <c r="E2430" t="inlineStr">
        <is>
          <t>ÖRNSKÖLDSVIK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24848-2023</t>
        </is>
      </c>
      <c r="B2431" s="1" t="n">
        <v>45085</v>
      </c>
      <c r="C2431" s="1" t="n">
        <v>45260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24867-2023</t>
        </is>
      </c>
      <c r="B2432" s="1" t="n">
        <v>45085</v>
      </c>
      <c r="C2432" s="1" t="n">
        <v>45260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24842-2023</t>
        </is>
      </c>
      <c r="B2433" s="1" t="n">
        <v>45085</v>
      </c>
      <c r="C2433" s="1" t="n">
        <v>45260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25927-2023</t>
        </is>
      </c>
      <c r="B2434" s="1" t="n">
        <v>45085</v>
      </c>
      <c r="C2434" s="1" t="n">
        <v>45260</v>
      </c>
      <c r="D2434" t="inlineStr">
        <is>
          <t>VÄSTERNORRLANDS LÄN</t>
        </is>
      </c>
      <c r="E2434" t="inlineStr">
        <is>
          <t>ÖRNSKÖLDSVIK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24994-2023</t>
        </is>
      </c>
      <c r="B2435" s="1" t="n">
        <v>45085</v>
      </c>
      <c r="C2435" s="1" t="n">
        <v>45260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25796-2023</t>
        </is>
      </c>
      <c r="B2436" s="1" t="n">
        <v>45085</v>
      </c>
      <c r="C2436" s="1" t="n">
        <v>45260</v>
      </c>
      <c r="D2436" t="inlineStr">
        <is>
          <t>VÄSTERNORRLANDS LÄN</t>
        </is>
      </c>
      <c r="E2436" t="inlineStr">
        <is>
          <t>ÖRNSKÖLDSVIK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25072-2023</t>
        </is>
      </c>
      <c r="B2437" s="1" t="n">
        <v>45086</v>
      </c>
      <c r="C2437" s="1" t="n">
        <v>45260</v>
      </c>
      <c r="D2437" t="inlineStr">
        <is>
          <t>VÄSTERNORRLANDS LÄN</t>
        </is>
      </c>
      <c r="E2437" t="inlineStr">
        <is>
          <t>ÖRNSKÖLDSVIK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25146-2023</t>
        </is>
      </c>
      <c r="B2438" s="1" t="n">
        <v>45086</v>
      </c>
      <c r="C2438" s="1" t="n">
        <v>45260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45087</v>
      </c>
      <c r="C2439" s="1" t="n">
        <v>45260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25151-2023</t>
        </is>
      </c>
      <c r="B2440" s="1" t="n">
        <v>45086</v>
      </c>
      <c r="C2440" s="1" t="n">
        <v>45260</v>
      </c>
      <c r="D2440" t="inlineStr">
        <is>
          <t>VÄSTERNORRLANDS LÄN</t>
        </is>
      </c>
      <c r="E2440" t="inlineStr">
        <is>
          <t>ÖRNSKÖLDSVIK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25447-2023</t>
        </is>
      </c>
      <c r="B2441" s="1" t="n">
        <v>45089</v>
      </c>
      <c r="C2441" s="1" t="n">
        <v>45260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25480-2023</t>
        </is>
      </c>
      <c r="B2442" s="1" t="n">
        <v>45089</v>
      </c>
      <c r="C2442" s="1" t="n">
        <v>45260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26429-2023</t>
        </is>
      </c>
      <c r="B2443" s="1" t="n">
        <v>45089</v>
      </c>
      <c r="C2443" s="1" t="n">
        <v>45260</v>
      </c>
      <c r="D2443" t="inlineStr">
        <is>
          <t>VÄSTERNORRLANDS LÄN</t>
        </is>
      </c>
      <c r="E2443" t="inlineStr">
        <is>
          <t>ÖRNSKÖLDSVIK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26457-2023</t>
        </is>
      </c>
      <c r="B2444" s="1" t="n">
        <v>45089</v>
      </c>
      <c r="C2444" s="1" t="n">
        <v>45260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25985-2023</t>
        </is>
      </c>
      <c r="B2445" s="1" t="n">
        <v>45091</v>
      </c>
      <c r="C2445" s="1" t="n">
        <v>45260</v>
      </c>
      <c r="D2445" t="inlineStr">
        <is>
          <t>VÄSTERNORRLANDS LÄN</t>
        </is>
      </c>
      <c r="E2445" t="inlineStr">
        <is>
          <t>ÖRNSKÖLDSVIK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26835-2023</t>
        </is>
      </c>
      <c r="B2446" s="1" t="n">
        <v>45090</v>
      </c>
      <c r="C2446" s="1" t="n">
        <v>45260</v>
      </c>
      <c r="D2446" t="inlineStr">
        <is>
          <t>VÄSTERNORRLANDS LÄN</t>
        </is>
      </c>
      <c r="E2446" t="inlineStr">
        <is>
          <t>ÖRNSKÖLDSVIK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26235-2023</t>
        </is>
      </c>
      <c r="B2447" s="1" t="n">
        <v>45091</v>
      </c>
      <c r="C2447" s="1" t="n">
        <v>45260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26974-2023</t>
        </is>
      </c>
      <c r="B2448" s="1" t="n">
        <v>45091</v>
      </c>
      <c r="C2448" s="1" t="n">
        <v>45260</v>
      </c>
      <c r="D2448" t="inlineStr">
        <is>
          <t>VÄSTERNORRLANDS LÄN</t>
        </is>
      </c>
      <c r="E2448" t="inlineStr">
        <is>
          <t>ÖRNSKÖLDSVIK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26658-2023</t>
        </is>
      </c>
      <c r="B2449" s="1" t="n">
        <v>45093</v>
      </c>
      <c r="C2449" s="1" t="n">
        <v>45260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27197-2023</t>
        </is>
      </c>
      <c r="B2450" s="1" t="n">
        <v>45092</v>
      </c>
      <c r="C2450" s="1" t="n">
        <v>45260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27211-2023</t>
        </is>
      </c>
      <c r="B2451" s="1" t="n">
        <v>45092</v>
      </c>
      <c r="C2451" s="1" t="n">
        <v>45260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26878-2023</t>
        </is>
      </c>
      <c r="B2452" s="1" t="n">
        <v>45093</v>
      </c>
      <c r="C2452" s="1" t="n">
        <v>45260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26899-2023</t>
        </is>
      </c>
      <c r="B2453" s="1" t="n">
        <v>45093</v>
      </c>
      <c r="C2453" s="1" t="n">
        <v>45260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27111-2023</t>
        </is>
      </c>
      <c r="B2454" s="1" t="n">
        <v>45096</v>
      </c>
      <c r="C2454" s="1" t="n">
        <v>45260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27087-2023</t>
        </is>
      </c>
      <c r="B2455" s="1" t="n">
        <v>45096</v>
      </c>
      <c r="C2455" s="1" t="n">
        <v>45260</v>
      </c>
      <c r="D2455" t="inlineStr">
        <is>
          <t>VÄSTERNORRLANDS LÄN</t>
        </is>
      </c>
      <c r="E2455" t="inlineStr">
        <is>
          <t>ÖRNSKÖLDSVIK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27092-2023</t>
        </is>
      </c>
      <c r="B2456" s="1" t="n">
        <v>45096</v>
      </c>
      <c r="C2456" s="1" t="n">
        <v>45260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27158-2023</t>
        </is>
      </c>
      <c r="B2457" s="1" t="n">
        <v>45096</v>
      </c>
      <c r="C2457" s="1" t="n">
        <v>45260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27276-2023</t>
        </is>
      </c>
      <c r="B2458" s="1" t="n">
        <v>45096</v>
      </c>
      <c r="C2458" s="1" t="n">
        <v>45260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27316-2023</t>
        </is>
      </c>
      <c r="B2459" s="1" t="n">
        <v>45096</v>
      </c>
      <c r="C2459" s="1" t="n">
        <v>45260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28651-2023</t>
        </is>
      </c>
      <c r="B2460" s="1" t="n">
        <v>45096</v>
      </c>
      <c r="C2460" s="1" t="n">
        <v>45260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27428-2023</t>
        </is>
      </c>
      <c r="B2461" s="1" t="n">
        <v>45097</v>
      </c>
      <c r="C2461" s="1" t="n">
        <v>45260</v>
      </c>
      <c r="D2461" t="inlineStr">
        <is>
          <t>VÄSTERNORRLANDS LÄN</t>
        </is>
      </c>
      <c r="E2461" t="inlineStr">
        <is>
          <t>ÖRNSKÖLDSVIK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27432-2023</t>
        </is>
      </c>
      <c r="B2462" s="1" t="n">
        <v>45097</v>
      </c>
      <c r="C2462" s="1" t="n">
        <v>45260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27498-2023</t>
        </is>
      </c>
      <c r="B2463" s="1" t="n">
        <v>45097</v>
      </c>
      <c r="C2463" s="1" t="n">
        <v>45260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27419-2023</t>
        </is>
      </c>
      <c r="B2464" s="1" t="n">
        <v>45097</v>
      </c>
      <c r="C2464" s="1" t="n">
        <v>45260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27649-2023</t>
        </is>
      </c>
      <c r="B2465" s="1" t="n">
        <v>45097</v>
      </c>
      <c r="C2465" s="1" t="n">
        <v>45260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28.2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27468-2023</t>
        </is>
      </c>
      <c r="B2466" s="1" t="n">
        <v>45097</v>
      </c>
      <c r="C2466" s="1" t="n">
        <v>45260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29136-2023</t>
        </is>
      </c>
      <c r="B2467" s="1" t="n">
        <v>45097</v>
      </c>
      <c r="C2467" s="1" t="n">
        <v>45260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29187-2023</t>
        </is>
      </c>
      <c r="B2468" s="1" t="n">
        <v>45097</v>
      </c>
      <c r="C2468" s="1" t="n">
        <v>45260</v>
      </c>
      <c r="D2468" t="inlineStr">
        <is>
          <t>VÄSTERNORRLANDS LÄN</t>
        </is>
      </c>
      <c r="E2468" t="inlineStr">
        <is>
          <t>ÖRNSKÖLDSVIK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27825-2023</t>
        </is>
      </c>
      <c r="B2469" s="1" t="n">
        <v>45098</v>
      </c>
      <c r="C2469" s="1" t="n">
        <v>45260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27818-2023</t>
        </is>
      </c>
      <c r="B2470" s="1" t="n">
        <v>45098</v>
      </c>
      <c r="C2470" s="1" t="n">
        <v>45260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27847-2023</t>
        </is>
      </c>
      <c r="B2471" s="1" t="n">
        <v>45098</v>
      </c>
      <c r="C2471" s="1" t="n">
        <v>45260</v>
      </c>
      <c r="D2471" t="inlineStr">
        <is>
          <t>VÄSTERNORRLANDS LÄN</t>
        </is>
      </c>
      <c r="E2471" t="inlineStr">
        <is>
          <t>ÖRNSKÖLDSVIK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27799-2023</t>
        </is>
      </c>
      <c r="B2472" s="1" t="n">
        <v>45098</v>
      </c>
      <c r="C2472" s="1" t="n">
        <v>45260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27874-2023</t>
        </is>
      </c>
      <c r="B2473" s="1" t="n">
        <v>45098</v>
      </c>
      <c r="C2473" s="1" t="n">
        <v>45260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27842-2023</t>
        </is>
      </c>
      <c r="B2474" s="1" t="n">
        <v>45098</v>
      </c>
      <c r="C2474" s="1" t="n">
        <v>45260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27872-2023</t>
        </is>
      </c>
      <c r="B2475" s="1" t="n">
        <v>45098</v>
      </c>
      <c r="C2475" s="1" t="n">
        <v>45260</v>
      </c>
      <c r="D2475" t="inlineStr">
        <is>
          <t>VÄSTERNORRLANDS LÄN</t>
        </is>
      </c>
      <c r="E2475" t="inlineStr">
        <is>
          <t>ÖRNSKÖLDSVIK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27819-2023</t>
        </is>
      </c>
      <c r="B2476" s="1" t="n">
        <v>45098</v>
      </c>
      <c r="C2476" s="1" t="n">
        <v>45260</v>
      </c>
      <c r="D2476" t="inlineStr">
        <is>
          <t>VÄSTERNORRLANDS LÄN</t>
        </is>
      </c>
      <c r="E2476" t="inlineStr">
        <is>
          <t>ÖRNSKÖLDSVIK</t>
        </is>
      </c>
      <c r="G2476" t="n">
        <v>7.8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27863-2023</t>
        </is>
      </c>
      <c r="B2477" s="1" t="n">
        <v>45098</v>
      </c>
      <c r="C2477" s="1" t="n">
        <v>45260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27897-2023</t>
        </is>
      </c>
      <c r="B2478" s="1" t="n">
        <v>45098</v>
      </c>
      <c r="C2478" s="1" t="n">
        <v>45260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27952-2023</t>
        </is>
      </c>
      <c r="B2479" s="1" t="n">
        <v>45098</v>
      </c>
      <c r="C2479" s="1" t="n">
        <v>45260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27938-2023</t>
        </is>
      </c>
      <c r="B2480" s="1" t="n">
        <v>45098</v>
      </c>
      <c r="C2480" s="1" t="n">
        <v>45260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29479-2023</t>
        </is>
      </c>
      <c r="B2481" s="1" t="n">
        <v>45098</v>
      </c>
      <c r="C2481" s="1" t="n">
        <v>45260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28030-2023</t>
        </is>
      </c>
      <c r="B2482" s="1" t="n">
        <v>45099</v>
      </c>
      <c r="C2482" s="1" t="n">
        <v>45260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28052-2023</t>
        </is>
      </c>
      <c r="B2483" s="1" t="n">
        <v>45099</v>
      </c>
      <c r="C2483" s="1" t="n">
        <v>45260</v>
      </c>
      <c r="D2483" t="inlineStr">
        <is>
          <t>VÄSTERNORRLANDS LÄN</t>
        </is>
      </c>
      <c r="E2483" t="inlineStr">
        <is>
          <t>ÖRNSKÖLDSVIK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28091-2023</t>
        </is>
      </c>
      <c r="B2484" s="1" t="n">
        <v>45099</v>
      </c>
      <c r="C2484" s="1" t="n">
        <v>45260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28222-2023</t>
        </is>
      </c>
      <c r="B2485" s="1" t="n">
        <v>45099</v>
      </c>
      <c r="C2485" s="1" t="n">
        <v>45260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30186-2023</t>
        </is>
      </c>
      <c r="B2486" s="1" t="n">
        <v>45099</v>
      </c>
      <c r="C2486" s="1" t="n">
        <v>45260</v>
      </c>
      <c r="D2486" t="inlineStr">
        <is>
          <t>VÄSTERNORRLANDS LÄN</t>
        </is>
      </c>
      <c r="E2486" t="inlineStr">
        <is>
          <t>ÖRNSKÖLDSVIK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30268-2023</t>
        </is>
      </c>
      <c r="B2487" s="1" t="n">
        <v>45099</v>
      </c>
      <c r="C2487" s="1" t="n">
        <v>45260</v>
      </c>
      <c r="D2487" t="inlineStr">
        <is>
          <t>VÄSTERNORRLANDS LÄN</t>
        </is>
      </c>
      <c r="E2487" t="inlineStr">
        <is>
          <t>ÖRNSKÖLDSVIK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30171-2023</t>
        </is>
      </c>
      <c r="B2488" s="1" t="n">
        <v>45099</v>
      </c>
      <c r="C2488" s="1" t="n">
        <v>45260</v>
      </c>
      <c r="D2488" t="inlineStr">
        <is>
          <t>VÄSTERNORRLANDS LÄN</t>
        </is>
      </c>
      <c r="E2488" t="inlineStr">
        <is>
          <t>ÖRNSKÖLDSVIK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28467-2023</t>
        </is>
      </c>
      <c r="B2489" s="1" t="n">
        <v>45103</v>
      </c>
      <c r="C2489" s="1" t="n">
        <v>45260</v>
      </c>
      <c r="D2489" t="inlineStr">
        <is>
          <t>VÄSTERNORRLANDS LÄN</t>
        </is>
      </c>
      <c r="E2489" t="inlineStr">
        <is>
          <t>ÖRNSKÖLDSVIK</t>
        </is>
      </c>
      <c r="G2489" t="n">
        <v>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28472-2023</t>
        </is>
      </c>
      <c r="B2490" s="1" t="n">
        <v>45103</v>
      </c>
      <c r="C2490" s="1" t="n">
        <v>45260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28514-2023</t>
        </is>
      </c>
      <c r="B2491" s="1" t="n">
        <v>45103</v>
      </c>
      <c r="C2491" s="1" t="n">
        <v>45260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28518-2023</t>
        </is>
      </c>
      <c r="B2492" s="1" t="n">
        <v>45103</v>
      </c>
      <c r="C2492" s="1" t="n">
        <v>45260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28643-2023</t>
        </is>
      </c>
      <c r="B2493" s="1" t="n">
        <v>45103</v>
      </c>
      <c r="C2493" s="1" t="n">
        <v>45260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28730-2023</t>
        </is>
      </c>
      <c r="B2494" s="1" t="n">
        <v>45103</v>
      </c>
      <c r="C2494" s="1" t="n">
        <v>45260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30972-2023</t>
        </is>
      </c>
      <c r="B2495" s="1" t="n">
        <v>45103</v>
      </c>
      <c r="C2495" s="1" t="n">
        <v>45260</v>
      </c>
      <c r="D2495" t="inlineStr">
        <is>
          <t>VÄSTERNORRLANDS LÄN</t>
        </is>
      </c>
      <c r="E2495" t="inlineStr">
        <is>
          <t>ÖRNSKÖLDSVIK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31003-2023</t>
        </is>
      </c>
      <c r="B2496" s="1" t="n">
        <v>45103</v>
      </c>
      <c r="C2496" s="1" t="n">
        <v>45260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28602-2023</t>
        </is>
      </c>
      <c r="B2497" s="1" t="n">
        <v>45103</v>
      </c>
      <c r="C2497" s="1" t="n">
        <v>45260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30978-2023</t>
        </is>
      </c>
      <c r="B2498" s="1" t="n">
        <v>45103</v>
      </c>
      <c r="C2498" s="1" t="n">
        <v>45260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28850-2023</t>
        </is>
      </c>
      <c r="B2499" s="1" t="n">
        <v>45104</v>
      </c>
      <c r="C2499" s="1" t="n">
        <v>45260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28861-2023</t>
        </is>
      </c>
      <c r="B2500" s="1" t="n">
        <v>45104</v>
      </c>
      <c r="C2500" s="1" t="n">
        <v>45260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28995-2023</t>
        </is>
      </c>
      <c r="B2501" s="1" t="n">
        <v>45104</v>
      </c>
      <c r="C2501" s="1" t="n">
        <v>45260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28830-2023</t>
        </is>
      </c>
      <c r="B2502" s="1" t="n">
        <v>45104</v>
      </c>
      <c r="C2502" s="1" t="n">
        <v>45260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28868-2023</t>
        </is>
      </c>
      <c r="B2503" s="1" t="n">
        <v>45104</v>
      </c>
      <c r="C2503" s="1" t="n">
        <v>45260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28886-2023</t>
        </is>
      </c>
      <c r="B2504" s="1" t="n">
        <v>45104</v>
      </c>
      <c r="C2504" s="1" t="n">
        <v>45260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28827-2023</t>
        </is>
      </c>
      <c r="B2505" s="1" t="n">
        <v>45104</v>
      </c>
      <c r="C2505" s="1" t="n">
        <v>45260</v>
      </c>
      <c r="D2505" t="inlineStr">
        <is>
          <t>VÄSTERNORRLANDS LÄN</t>
        </is>
      </c>
      <c r="E2505" t="inlineStr">
        <is>
          <t>ÖRNSKÖLDSVIK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28849-2023</t>
        </is>
      </c>
      <c r="B2506" s="1" t="n">
        <v>45104</v>
      </c>
      <c r="C2506" s="1" t="n">
        <v>45260</v>
      </c>
      <c r="D2506" t="inlineStr">
        <is>
          <t>VÄSTERNORRLANDS LÄN</t>
        </is>
      </c>
      <c r="E2506" t="inlineStr">
        <is>
          <t>ÖRNSKÖLDSVIK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31476-2023</t>
        </is>
      </c>
      <c r="B2507" s="1" t="n">
        <v>45104</v>
      </c>
      <c r="C2507" s="1" t="n">
        <v>45260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31475-2023</t>
        </is>
      </c>
      <c r="B2508" s="1" t="n">
        <v>45104</v>
      </c>
      <c r="C2508" s="1" t="n">
        <v>45260</v>
      </c>
      <c r="D2508" t="inlineStr">
        <is>
          <t>VÄSTERNORRLANDS LÄN</t>
        </is>
      </c>
      <c r="E2508" t="inlineStr">
        <is>
          <t>ÖRNSKÖLDSVIK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31464-2023</t>
        </is>
      </c>
      <c r="B2509" s="1" t="n">
        <v>45104</v>
      </c>
      <c r="C2509" s="1" t="n">
        <v>45260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29370-2023</t>
        </is>
      </c>
      <c r="B2510" s="1" t="n">
        <v>45104</v>
      </c>
      <c r="C2510" s="1" t="n">
        <v>45260</v>
      </c>
      <c r="D2510" t="inlineStr">
        <is>
          <t>VÄSTERNORRLANDS LÄN</t>
        </is>
      </c>
      <c r="E2510" t="inlineStr">
        <is>
          <t>ÖRNSKÖLDSVIK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29151-2023</t>
        </is>
      </c>
      <c r="B2511" s="1" t="n">
        <v>45105</v>
      </c>
      <c r="C2511" s="1" t="n">
        <v>45260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29200-2023</t>
        </is>
      </c>
      <c r="B2512" s="1" t="n">
        <v>45105</v>
      </c>
      <c r="C2512" s="1" t="n">
        <v>45260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29206-2023</t>
        </is>
      </c>
      <c r="B2513" s="1" t="n">
        <v>45105</v>
      </c>
      <c r="C2513" s="1" t="n">
        <v>45260</v>
      </c>
      <c r="D2513" t="inlineStr">
        <is>
          <t>VÄSTERNORRLANDS LÄN</t>
        </is>
      </c>
      <c r="E2513" t="inlineStr">
        <is>
          <t>ÖRNSKÖLDSVIK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29249-2023</t>
        </is>
      </c>
      <c r="B2514" s="1" t="n">
        <v>45105</v>
      </c>
      <c r="C2514" s="1" t="n">
        <v>45260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29169-2023</t>
        </is>
      </c>
      <c r="B2515" s="1" t="n">
        <v>45105</v>
      </c>
      <c r="C2515" s="1" t="n">
        <v>45260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</v>
      </c>
      <c r="C2516" s="1" t="n">
        <v>45260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29341-2023</t>
        </is>
      </c>
      <c r="B2517" s="1" t="n">
        <v>45106</v>
      </c>
      <c r="C2517" s="1" t="n">
        <v>45260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37.5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29338-2023</t>
        </is>
      </c>
      <c r="B2518" s="1" t="n">
        <v>45106</v>
      </c>
      <c r="C2518" s="1" t="n">
        <v>45260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29111-2023</t>
        </is>
      </c>
      <c r="B2519" s="1" t="n">
        <v>45105</v>
      </c>
      <c r="C2519" s="1" t="n">
        <v>45260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29406-2023</t>
        </is>
      </c>
      <c r="B2520" s="1" t="n">
        <v>45106</v>
      </c>
      <c r="C2520" s="1" t="n">
        <v>45260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29468-2023</t>
        </is>
      </c>
      <c r="B2521" s="1" t="n">
        <v>45106</v>
      </c>
      <c r="C2521" s="1" t="n">
        <v>45260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29423-2023</t>
        </is>
      </c>
      <c r="B2522" s="1" t="n">
        <v>45106</v>
      </c>
      <c r="C2522" s="1" t="n">
        <v>45260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29428-2023</t>
        </is>
      </c>
      <c r="B2523" s="1" t="n">
        <v>45106</v>
      </c>
      <c r="C2523" s="1" t="n">
        <v>45260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29491-2023</t>
        </is>
      </c>
      <c r="B2524" s="1" t="n">
        <v>45106</v>
      </c>
      <c r="C2524" s="1" t="n">
        <v>45260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29462-2023</t>
        </is>
      </c>
      <c r="B2525" s="1" t="n">
        <v>45106</v>
      </c>
      <c r="C2525" s="1" t="n">
        <v>45260</v>
      </c>
      <c r="D2525" t="inlineStr">
        <is>
          <t>VÄSTERNORRLANDS LÄN</t>
        </is>
      </c>
      <c r="E2525" t="inlineStr">
        <is>
          <t>ÖRNSKÖLDSVIK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29369-2023</t>
        </is>
      </c>
      <c r="B2526" s="1" t="n">
        <v>45106</v>
      </c>
      <c r="C2526" s="1" t="n">
        <v>45260</v>
      </c>
      <c r="D2526" t="inlineStr">
        <is>
          <t>VÄSTERNORRLANDS LÄN</t>
        </is>
      </c>
      <c r="E2526" t="inlineStr">
        <is>
          <t>ÖRNSKÖLDSVIK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29409-2023</t>
        </is>
      </c>
      <c r="B2527" s="1" t="n">
        <v>45106</v>
      </c>
      <c r="C2527" s="1" t="n">
        <v>45260</v>
      </c>
      <c r="D2527" t="inlineStr">
        <is>
          <t>VÄSTERNORRLANDS LÄN</t>
        </is>
      </c>
      <c r="E2527" t="inlineStr">
        <is>
          <t>ÖRNSKÖLDSVIK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29498-2023</t>
        </is>
      </c>
      <c r="B2528" s="1" t="n">
        <v>45106</v>
      </c>
      <c r="C2528" s="1" t="n">
        <v>45260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29525-2023</t>
        </is>
      </c>
      <c r="B2529" s="1" t="n">
        <v>45106</v>
      </c>
      <c r="C2529" s="1" t="n">
        <v>45260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29541-2023</t>
        </is>
      </c>
      <c r="B2530" s="1" t="n">
        <v>45106</v>
      </c>
      <c r="C2530" s="1" t="n">
        <v>45260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29501-2023</t>
        </is>
      </c>
      <c r="B2531" s="1" t="n">
        <v>45106</v>
      </c>
      <c r="C2531" s="1" t="n">
        <v>45260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29417-2023</t>
        </is>
      </c>
      <c r="B2532" s="1" t="n">
        <v>45106</v>
      </c>
      <c r="C2532" s="1" t="n">
        <v>45260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29425-2023</t>
        </is>
      </c>
      <c r="B2533" s="1" t="n">
        <v>45106</v>
      </c>
      <c r="C2533" s="1" t="n">
        <v>45260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29474-2023</t>
        </is>
      </c>
      <c r="B2534" s="1" t="n">
        <v>45106</v>
      </c>
      <c r="C2534" s="1" t="n">
        <v>45260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31770-2023</t>
        </is>
      </c>
      <c r="B2535" s="1" t="n">
        <v>45106</v>
      </c>
      <c r="C2535" s="1" t="n">
        <v>45260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29671-2023</t>
        </is>
      </c>
      <c r="B2536" s="1" t="n">
        <v>45107</v>
      </c>
      <c r="C2536" s="1" t="n">
        <v>45260</v>
      </c>
      <c r="D2536" t="inlineStr">
        <is>
          <t>VÄSTERNORRLANDS LÄN</t>
        </is>
      </c>
      <c r="E2536" t="inlineStr">
        <is>
          <t>ÖRNSKÖLDSVIK</t>
        </is>
      </c>
      <c r="G2536" t="n">
        <v>7.9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29809-2023</t>
        </is>
      </c>
      <c r="B2537" s="1" t="n">
        <v>45107</v>
      </c>
      <c r="C2537" s="1" t="n">
        <v>45260</v>
      </c>
      <c r="D2537" t="inlineStr">
        <is>
          <t>VÄSTERNORRLANDS LÄN</t>
        </is>
      </c>
      <c r="E2537" t="inlineStr">
        <is>
          <t>ÖRNSKÖLDSVIK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29838-2023</t>
        </is>
      </c>
      <c r="B2538" s="1" t="n">
        <v>45107</v>
      </c>
      <c r="C2538" s="1" t="n">
        <v>45260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29740-2023</t>
        </is>
      </c>
      <c r="B2539" s="1" t="n">
        <v>45107</v>
      </c>
      <c r="C2539" s="1" t="n">
        <v>45260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29722-2023</t>
        </is>
      </c>
      <c r="B2540" s="1" t="n">
        <v>45107</v>
      </c>
      <c r="C2540" s="1" t="n">
        <v>45260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29842-2023</t>
        </is>
      </c>
      <c r="B2541" s="1" t="n">
        <v>45107</v>
      </c>
      <c r="C2541" s="1" t="n">
        <v>45260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32133-2023</t>
        </is>
      </c>
      <c r="B2542" s="1" t="n">
        <v>45107</v>
      </c>
      <c r="C2542" s="1" t="n">
        <v>45260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32137-2023</t>
        </is>
      </c>
      <c r="B2543" s="1" t="n">
        <v>45107</v>
      </c>
      <c r="C2543" s="1" t="n">
        <v>45260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30033-2023</t>
        </is>
      </c>
      <c r="B2544" s="1" t="n">
        <v>45110</v>
      </c>
      <c r="C2544" s="1" t="n">
        <v>45260</v>
      </c>
      <c r="D2544" t="inlineStr">
        <is>
          <t>VÄSTERNORRLANDS LÄN</t>
        </is>
      </c>
      <c r="E2544" t="inlineStr">
        <is>
          <t>ÖRNSKÖLDSVIK</t>
        </is>
      </c>
      <c r="G2544" t="n">
        <v>8.199999999999999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30071-2023</t>
        </is>
      </c>
      <c r="B2545" s="1" t="n">
        <v>45110</v>
      </c>
      <c r="C2545" s="1" t="n">
        <v>45260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30146-2023</t>
        </is>
      </c>
      <c r="B2546" s="1" t="n">
        <v>45110</v>
      </c>
      <c r="C2546" s="1" t="n">
        <v>45260</v>
      </c>
      <c r="D2546" t="inlineStr">
        <is>
          <t>VÄSTERNORRLANDS LÄN</t>
        </is>
      </c>
      <c r="E2546" t="inlineStr">
        <is>
          <t>ÖRNSKÖLDSVIK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32355-2023</t>
        </is>
      </c>
      <c r="B2547" s="1" t="n">
        <v>45110</v>
      </c>
      <c r="C2547" s="1" t="n">
        <v>45260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32406-2023</t>
        </is>
      </c>
      <c r="B2548" s="1" t="n">
        <v>45110</v>
      </c>
      <c r="C2548" s="1" t="n">
        <v>45260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32328-2023</t>
        </is>
      </c>
      <c r="B2549" s="1" t="n">
        <v>45110</v>
      </c>
      <c r="C2549" s="1" t="n">
        <v>45260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Kyrkan</t>
        </is>
      </c>
      <c r="G2549" t="n">
        <v>10.1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32348-2023</t>
        </is>
      </c>
      <c r="B2550" s="1" t="n">
        <v>45110</v>
      </c>
      <c r="C2550" s="1" t="n">
        <v>45260</v>
      </c>
      <c r="D2550" t="inlineStr">
        <is>
          <t>VÄSTERNORRLANDS LÄN</t>
        </is>
      </c>
      <c r="E2550" t="inlineStr">
        <is>
          <t>ÖRNSKÖLDSVIK</t>
        </is>
      </c>
      <c r="G2550" t="n">
        <v>5.6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32388-2023</t>
        </is>
      </c>
      <c r="B2551" s="1" t="n">
        <v>45110</v>
      </c>
      <c r="C2551" s="1" t="n">
        <v>45260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Kyrkan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32383-2023</t>
        </is>
      </c>
      <c r="B2552" s="1" t="n">
        <v>45110</v>
      </c>
      <c r="C2552" s="1" t="n">
        <v>45260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30492-2023</t>
        </is>
      </c>
      <c r="B2553" s="1" t="n">
        <v>45111</v>
      </c>
      <c r="C2553" s="1" t="n">
        <v>45260</v>
      </c>
      <c r="D2553" t="inlineStr">
        <is>
          <t>VÄSTERNORRLANDS LÄN</t>
        </is>
      </c>
      <c r="E2553" t="inlineStr">
        <is>
          <t>ÖRNSKÖLDSVIK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30453-2023</t>
        </is>
      </c>
      <c r="B2554" s="1" t="n">
        <v>45111</v>
      </c>
      <c r="C2554" s="1" t="n">
        <v>45260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30366-2023</t>
        </is>
      </c>
      <c r="B2555" s="1" t="n">
        <v>45111</v>
      </c>
      <c r="C2555" s="1" t="n">
        <v>45260</v>
      </c>
      <c r="D2555" t="inlineStr">
        <is>
          <t>VÄSTERNORRLANDS LÄN</t>
        </is>
      </c>
      <c r="E2555" t="inlineStr">
        <is>
          <t>ÖRNSKÖLDSVIK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30317-2023</t>
        </is>
      </c>
      <c r="B2556" s="1" t="n">
        <v>45111</v>
      </c>
      <c r="C2556" s="1" t="n">
        <v>45260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30346-2023</t>
        </is>
      </c>
      <c r="B2557" s="1" t="n">
        <v>45111</v>
      </c>
      <c r="C2557" s="1" t="n">
        <v>45260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30316-2023</t>
        </is>
      </c>
      <c r="B2558" s="1" t="n">
        <v>45111</v>
      </c>
      <c r="C2558" s="1" t="n">
        <v>45260</v>
      </c>
      <c r="D2558" t="inlineStr">
        <is>
          <t>VÄSTERNORRLANDS LÄN</t>
        </is>
      </c>
      <c r="E2558" t="inlineStr">
        <is>
          <t>ÖRNSKÖLDSVIK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32549-2023</t>
        </is>
      </c>
      <c r="B2559" s="1" t="n">
        <v>45111</v>
      </c>
      <c r="C2559" s="1" t="n">
        <v>45260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30376-2023</t>
        </is>
      </c>
      <c r="B2560" s="1" t="n">
        <v>45111</v>
      </c>
      <c r="C2560" s="1" t="n">
        <v>45260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30381-2023</t>
        </is>
      </c>
      <c r="B2561" s="1" t="n">
        <v>45111</v>
      </c>
      <c r="C2561" s="1" t="n">
        <v>45260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30449-2023</t>
        </is>
      </c>
      <c r="B2562" s="1" t="n">
        <v>45111</v>
      </c>
      <c r="C2562" s="1" t="n">
        <v>45260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30579-2023</t>
        </is>
      </c>
      <c r="B2563" s="1" t="n">
        <v>45112</v>
      </c>
      <c r="C2563" s="1" t="n">
        <v>45260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30635-2023</t>
        </is>
      </c>
      <c r="B2564" s="1" t="n">
        <v>45112</v>
      </c>
      <c r="C2564" s="1" t="n">
        <v>45260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30696-2023</t>
        </is>
      </c>
      <c r="B2565" s="1" t="n">
        <v>45112</v>
      </c>
      <c r="C2565" s="1" t="n">
        <v>45260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30689-2023</t>
        </is>
      </c>
      <c r="B2566" s="1" t="n">
        <v>45112</v>
      </c>
      <c r="C2566" s="1" t="n">
        <v>45260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32634-2023</t>
        </is>
      </c>
      <c r="B2567" s="1" t="n">
        <v>45112</v>
      </c>
      <c r="C2567" s="1" t="n">
        <v>45260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30631-2023</t>
        </is>
      </c>
      <c r="B2568" s="1" t="n">
        <v>45112</v>
      </c>
      <c r="C2568" s="1" t="n">
        <v>45260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30644-2023</t>
        </is>
      </c>
      <c r="B2569" s="1" t="n">
        <v>45112</v>
      </c>
      <c r="C2569" s="1" t="n">
        <v>45260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30755-2023</t>
        </is>
      </c>
      <c r="B2570" s="1" t="n">
        <v>45112</v>
      </c>
      <c r="C2570" s="1" t="n">
        <v>45260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32630-2023</t>
        </is>
      </c>
      <c r="B2571" s="1" t="n">
        <v>45112</v>
      </c>
      <c r="C2571" s="1" t="n">
        <v>45260</v>
      </c>
      <c r="D2571" t="inlineStr">
        <is>
          <t>VÄSTERNORRLANDS LÄN</t>
        </is>
      </c>
      <c r="E2571" t="inlineStr">
        <is>
          <t>ÖRNSKÖLDSVIK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30993-2023</t>
        </is>
      </c>
      <c r="B2572" s="1" t="n">
        <v>45113</v>
      </c>
      <c r="C2572" s="1" t="n">
        <v>45260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30948-2023</t>
        </is>
      </c>
      <c r="B2573" s="1" t="n">
        <v>45113</v>
      </c>
      <c r="C2573" s="1" t="n">
        <v>45260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31188-2023</t>
        </is>
      </c>
      <c r="B2574" s="1" t="n">
        <v>45114</v>
      </c>
      <c r="C2574" s="1" t="n">
        <v>45260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8.699999999999999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31192-2023</t>
        </is>
      </c>
      <c r="B2575" s="1" t="n">
        <v>45113</v>
      </c>
      <c r="C2575" s="1" t="n">
        <v>45260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31244-2023</t>
        </is>
      </c>
      <c r="B2576" s="1" t="n">
        <v>45114</v>
      </c>
      <c r="C2576" s="1" t="n">
        <v>45260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31344-2023</t>
        </is>
      </c>
      <c r="B2577" s="1" t="n">
        <v>45114</v>
      </c>
      <c r="C2577" s="1" t="n">
        <v>45260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31285-2023</t>
        </is>
      </c>
      <c r="B2578" s="1" t="n">
        <v>45114</v>
      </c>
      <c r="C2578" s="1" t="n">
        <v>45260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31415-2023</t>
        </is>
      </c>
      <c r="B2579" s="1" t="n">
        <v>45114</v>
      </c>
      <c r="C2579" s="1" t="n">
        <v>45260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31256-2023</t>
        </is>
      </c>
      <c r="B2580" s="1" t="n">
        <v>45114</v>
      </c>
      <c r="C2580" s="1" t="n">
        <v>45260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31308-2023</t>
        </is>
      </c>
      <c r="B2581" s="1" t="n">
        <v>45114</v>
      </c>
      <c r="C2581" s="1" t="n">
        <v>45260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31399-2023</t>
        </is>
      </c>
      <c r="B2582" s="1" t="n">
        <v>45114</v>
      </c>
      <c r="C2582" s="1" t="n">
        <v>45260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33233-2023</t>
        </is>
      </c>
      <c r="B2583" s="1" t="n">
        <v>45114</v>
      </c>
      <c r="C2583" s="1" t="n">
        <v>45260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33244-2023</t>
        </is>
      </c>
      <c r="B2584" s="1" t="n">
        <v>45114</v>
      </c>
      <c r="C2584" s="1" t="n">
        <v>45260</v>
      </c>
      <c r="D2584" t="inlineStr">
        <is>
          <t>VÄSTERNORRLANDS LÄN</t>
        </is>
      </c>
      <c r="E2584" t="inlineStr">
        <is>
          <t>ÖRNSKÖLDSVIK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33248-2023</t>
        </is>
      </c>
      <c r="B2585" s="1" t="n">
        <v>45114</v>
      </c>
      <c r="C2585" s="1" t="n">
        <v>45260</v>
      </c>
      <c r="D2585" t="inlineStr">
        <is>
          <t>VÄSTERNORRLANDS LÄN</t>
        </is>
      </c>
      <c r="E2585" t="inlineStr">
        <is>
          <t>ÖRNSKÖLDSVIK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33258-2023</t>
        </is>
      </c>
      <c r="B2586" s="1" t="n">
        <v>45114</v>
      </c>
      <c r="C2586" s="1" t="n">
        <v>45260</v>
      </c>
      <c r="D2586" t="inlineStr">
        <is>
          <t>VÄSTERNORRLANDS LÄN</t>
        </is>
      </c>
      <c r="E2586" t="inlineStr">
        <is>
          <t>ÖRNSKÖLDSVIK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33242-2023</t>
        </is>
      </c>
      <c r="B2587" s="1" t="n">
        <v>45114</v>
      </c>
      <c r="C2587" s="1" t="n">
        <v>45260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33261-2023</t>
        </is>
      </c>
      <c r="B2588" s="1" t="n">
        <v>45114</v>
      </c>
      <c r="C2588" s="1" t="n">
        <v>45260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31609-2023</t>
        </is>
      </c>
      <c r="B2589" s="1" t="n">
        <v>45117</v>
      </c>
      <c r="C2589" s="1" t="n">
        <v>45260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31805-2023</t>
        </is>
      </c>
      <c r="B2590" s="1" t="n">
        <v>45118</v>
      </c>
      <c r="C2590" s="1" t="n">
        <v>45260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31930-2023</t>
        </is>
      </c>
      <c r="B2591" s="1" t="n">
        <v>45118</v>
      </c>
      <c r="C2591" s="1" t="n">
        <v>45260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31934-2023</t>
        </is>
      </c>
      <c r="B2592" s="1" t="n">
        <v>45119</v>
      </c>
      <c r="C2592" s="1" t="n">
        <v>45260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31932-2023</t>
        </is>
      </c>
      <c r="B2593" s="1" t="n">
        <v>45119</v>
      </c>
      <c r="C2593" s="1" t="n">
        <v>45260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31931-2023</t>
        </is>
      </c>
      <c r="B2594" s="1" t="n">
        <v>45119</v>
      </c>
      <c r="C2594" s="1" t="n">
        <v>45260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32030-2023</t>
        </is>
      </c>
      <c r="B2595" s="1" t="n">
        <v>45119</v>
      </c>
      <c r="C2595" s="1" t="n">
        <v>45260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32185-2023</t>
        </is>
      </c>
      <c r="B2596" s="1" t="n">
        <v>45119</v>
      </c>
      <c r="C2596" s="1" t="n">
        <v>45260</v>
      </c>
      <c r="D2596" t="inlineStr">
        <is>
          <t>VÄSTERNORRLANDS LÄN</t>
        </is>
      </c>
      <c r="E2596" t="inlineStr">
        <is>
          <t>ÖRNSKÖLDSVIK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32189-2023</t>
        </is>
      </c>
      <c r="B2597" s="1" t="n">
        <v>45119</v>
      </c>
      <c r="C2597" s="1" t="n">
        <v>45260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32213-2023</t>
        </is>
      </c>
      <c r="B2598" s="1" t="n">
        <v>45120</v>
      </c>
      <c r="C2598" s="1" t="n">
        <v>45260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32188-2023</t>
        </is>
      </c>
      <c r="B2599" s="1" t="n">
        <v>45119</v>
      </c>
      <c r="C2599" s="1" t="n">
        <v>45260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32356-2023</t>
        </is>
      </c>
      <c r="B2600" s="1" t="n">
        <v>45120</v>
      </c>
      <c r="C2600" s="1" t="n">
        <v>45260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33920-2023</t>
        </is>
      </c>
      <c r="B2601" s="1" t="n">
        <v>45122</v>
      </c>
      <c r="C2601" s="1" t="n">
        <v>45260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33901-2023</t>
        </is>
      </c>
      <c r="B2602" s="1" t="n">
        <v>45122</v>
      </c>
      <c r="C2602" s="1" t="n">
        <v>45260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33924-2023</t>
        </is>
      </c>
      <c r="B2603" s="1" t="n">
        <v>45122</v>
      </c>
      <c r="C2603" s="1" t="n">
        <v>45260</v>
      </c>
      <c r="D2603" t="inlineStr">
        <is>
          <t>VÄSTERNORRLANDS LÄN</t>
        </is>
      </c>
      <c r="E2603" t="inlineStr">
        <is>
          <t>ÖRNSKÖLDSVIK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32751-2023</t>
        </is>
      </c>
      <c r="B2604" s="1" t="n">
        <v>45122</v>
      </c>
      <c r="C2604" s="1" t="n">
        <v>45260</v>
      </c>
      <c r="D2604" t="inlineStr">
        <is>
          <t>VÄSTERNORRLANDS LÄN</t>
        </is>
      </c>
      <c r="E2604" t="inlineStr">
        <is>
          <t>ÖRNSKÖLDSVIK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33922-2023</t>
        </is>
      </c>
      <c r="B2605" s="1" t="n">
        <v>45122</v>
      </c>
      <c r="C2605" s="1" t="n">
        <v>45260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32844-2023</t>
        </is>
      </c>
      <c r="B2606" s="1" t="n">
        <v>45124</v>
      </c>
      <c r="C2606" s="1" t="n">
        <v>45260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34016-2023</t>
        </is>
      </c>
      <c r="B2607" s="1" t="n">
        <v>45124</v>
      </c>
      <c r="C2607" s="1" t="n">
        <v>45260</v>
      </c>
      <c r="D2607" t="inlineStr">
        <is>
          <t>VÄSTERNORRLANDS LÄN</t>
        </is>
      </c>
      <c r="E2607" t="inlineStr">
        <is>
          <t>ÖRNSKÖLDSVIK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34028-2023</t>
        </is>
      </c>
      <c r="B2608" s="1" t="n">
        <v>45124</v>
      </c>
      <c r="C2608" s="1" t="n">
        <v>45260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34017-2023</t>
        </is>
      </c>
      <c r="B2609" s="1" t="n">
        <v>45124</v>
      </c>
      <c r="C2609" s="1" t="n">
        <v>45260</v>
      </c>
      <c r="D2609" t="inlineStr">
        <is>
          <t>VÄSTERNORRLANDS LÄN</t>
        </is>
      </c>
      <c r="E2609" t="inlineStr">
        <is>
          <t>ÖRNSKÖLDSVIK</t>
        </is>
      </c>
      <c r="G2609" t="n">
        <v>11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34030-2023</t>
        </is>
      </c>
      <c r="B2610" s="1" t="n">
        <v>45124</v>
      </c>
      <c r="C2610" s="1" t="n">
        <v>45260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34015-2023</t>
        </is>
      </c>
      <c r="B2611" s="1" t="n">
        <v>45124</v>
      </c>
      <c r="C2611" s="1" t="n">
        <v>45260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34026-2023</t>
        </is>
      </c>
      <c r="B2612" s="1" t="n">
        <v>45124</v>
      </c>
      <c r="C2612" s="1" t="n">
        <v>45260</v>
      </c>
      <c r="D2612" t="inlineStr">
        <is>
          <t>VÄSTERNORRLANDS LÄN</t>
        </is>
      </c>
      <c r="E2612" t="inlineStr">
        <is>
          <t>ÖRNSKÖLDSVIK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34014-2023</t>
        </is>
      </c>
      <c r="B2613" s="1" t="n">
        <v>45124</v>
      </c>
      <c r="C2613" s="1" t="n">
        <v>45260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34023-2023</t>
        </is>
      </c>
      <c r="B2614" s="1" t="n">
        <v>45124</v>
      </c>
      <c r="C2614" s="1" t="n">
        <v>45260</v>
      </c>
      <c r="D2614" t="inlineStr">
        <is>
          <t>VÄSTERNORRLANDS LÄN</t>
        </is>
      </c>
      <c r="E2614" t="inlineStr">
        <is>
          <t>ÖRNSKÖLDSVIK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34031-2023</t>
        </is>
      </c>
      <c r="B2615" s="1" t="n">
        <v>45124</v>
      </c>
      <c r="C2615" s="1" t="n">
        <v>45260</v>
      </c>
      <c r="D2615" t="inlineStr">
        <is>
          <t>VÄSTERNORRLANDS LÄN</t>
        </is>
      </c>
      <c r="E2615" t="inlineStr">
        <is>
          <t>ÖRNSKÖLDSVIK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32976-2023</t>
        </is>
      </c>
      <c r="B2616" s="1" t="n">
        <v>45125</v>
      </c>
      <c r="C2616" s="1" t="n">
        <v>45260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33169-2023</t>
        </is>
      </c>
      <c r="B2617" s="1" t="n">
        <v>45127</v>
      </c>
      <c r="C2617" s="1" t="n">
        <v>45260</v>
      </c>
      <c r="D2617" t="inlineStr">
        <is>
          <t>VÄSTERNORRLANDS LÄN</t>
        </is>
      </c>
      <c r="E2617" t="inlineStr">
        <is>
          <t>ÖRNSKÖLDSVIK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33285-2023</t>
        </is>
      </c>
      <c r="B2618" s="1" t="n">
        <v>45127</v>
      </c>
      <c r="C2618" s="1" t="n">
        <v>45260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33288-2023</t>
        </is>
      </c>
      <c r="B2619" s="1" t="n">
        <v>45127</v>
      </c>
      <c r="C2619" s="1" t="n">
        <v>45260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33363-2023</t>
        </is>
      </c>
      <c r="B2620" s="1" t="n">
        <v>45128</v>
      </c>
      <c r="C2620" s="1" t="n">
        <v>45260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33479-2023</t>
        </is>
      </c>
      <c r="B2621" s="1" t="n">
        <v>45131</v>
      </c>
      <c r="C2621" s="1" t="n">
        <v>45260</v>
      </c>
      <c r="D2621" t="inlineStr">
        <is>
          <t>VÄSTERNORRLANDS LÄN</t>
        </is>
      </c>
      <c r="E2621" t="inlineStr">
        <is>
          <t>ÖRNSKÖLDSVIK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33547-2023</t>
        </is>
      </c>
      <c r="B2622" s="1" t="n">
        <v>45131</v>
      </c>
      <c r="C2622" s="1" t="n">
        <v>45260</v>
      </c>
      <c r="D2622" t="inlineStr">
        <is>
          <t>VÄSTERNORRLANDS LÄN</t>
        </is>
      </c>
      <c r="E2622" t="inlineStr">
        <is>
          <t>ÖRNSKÖLDSVIK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33662-2023</t>
        </is>
      </c>
      <c r="B2623" s="1" t="n">
        <v>45132</v>
      </c>
      <c r="C2623" s="1" t="n">
        <v>45260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33906-2023</t>
        </is>
      </c>
      <c r="B2624" s="1" t="n">
        <v>45134</v>
      </c>
      <c r="C2624" s="1" t="n">
        <v>45260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33926-2023</t>
        </is>
      </c>
      <c r="B2625" s="1" t="n">
        <v>45134</v>
      </c>
      <c r="C2625" s="1" t="n">
        <v>45260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34020-2023</t>
        </is>
      </c>
      <c r="B2626" s="1" t="n">
        <v>45135</v>
      </c>
      <c r="C2626" s="1" t="n">
        <v>45260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34129-2023</t>
        </is>
      </c>
      <c r="B2627" s="1" t="n">
        <v>45135</v>
      </c>
      <c r="C2627" s="1" t="n">
        <v>45260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34123-2023</t>
        </is>
      </c>
      <c r="B2628" s="1" t="n">
        <v>45135</v>
      </c>
      <c r="C2628" s="1" t="n">
        <v>45260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34127-2023</t>
        </is>
      </c>
      <c r="B2629" s="1" t="n">
        <v>45135</v>
      </c>
      <c r="C2629" s="1" t="n">
        <v>45260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34592-2023</t>
        </is>
      </c>
      <c r="B2630" s="1" t="n">
        <v>45137</v>
      </c>
      <c r="C2630" s="1" t="n">
        <v>45260</v>
      </c>
      <c r="D2630" t="inlineStr">
        <is>
          <t>VÄSTERNORRLANDS LÄN</t>
        </is>
      </c>
      <c r="E2630" t="inlineStr">
        <is>
          <t>ÖRNSKÖLDSVIK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34588-2023</t>
        </is>
      </c>
      <c r="B2631" s="1" t="n">
        <v>45137</v>
      </c>
      <c r="C2631" s="1" t="n">
        <v>45260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34175-2023</t>
        </is>
      </c>
      <c r="B2632" s="1" t="n">
        <v>45138</v>
      </c>
      <c r="C2632" s="1" t="n">
        <v>45260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9.300000000000001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34243-2023</t>
        </is>
      </c>
      <c r="B2633" s="1" t="n">
        <v>45138</v>
      </c>
      <c r="C2633" s="1" t="n">
        <v>45260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34411-2023</t>
        </is>
      </c>
      <c r="B2634" s="1" t="n">
        <v>45139</v>
      </c>
      <c r="C2634" s="1" t="n">
        <v>45260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34632-2023</t>
        </is>
      </c>
      <c r="B2635" s="1" t="n">
        <v>45140</v>
      </c>
      <c r="C2635" s="1" t="n">
        <v>45260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34640-2023</t>
        </is>
      </c>
      <c r="B2636" s="1" t="n">
        <v>45140</v>
      </c>
      <c r="C2636" s="1" t="n">
        <v>45260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34796-2023</t>
        </is>
      </c>
      <c r="B2637" s="1" t="n">
        <v>45141</v>
      </c>
      <c r="C2637" s="1" t="n">
        <v>45260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34847-2023</t>
        </is>
      </c>
      <c r="B2638" s="1" t="n">
        <v>45142</v>
      </c>
      <c r="C2638" s="1" t="n">
        <v>45260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34795-2023</t>
        </is>
      </c>
      <c r="B2639" s="1" t="n">
        <v>45141</v>
      </c>
      <c r="C2639" s="1" t="n">
        <v>45260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34846-2023</t>
        </is>
      </c>
      <c r="B2640" s="1" t="n">
        <v>45142</v>
      </c>
      <c r="C2640" s="1" t="n">
        <v>45260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34908-2023</t>
        </is>
      </c>
      <c r="B2641" s="1" t="n">
        <v>45142</v>
      </c>
      <c r="C2641" s="1" t="n">
        <v>45260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35030-2023</t>
        </is>
      </c>
      <c r="B2642" s="1" t="n">
        <v>45145</v>
      </c>
      <c r="C2642" s="1" t="n">
        <v>45260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35130-2023</t>
        </is>
      </c>
      <c r="B2643" s="1" t="n">
        <v>45145</v>
      </c>
      <c r="C2643" s="1" t="n">
        <v>45260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35231-2023</t>
        </is>
      </c>
      <c r="B2644" s="1" t="n">
        <v>45145</v>
      </c>
      <c r="C2644" s="1" t="n">
        <v>45260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35193-2023</t>
        </is>
      </c>
      <c r="B2645" s="1" t="n">
        <v>45145</v>
      </c>
      <c r="C2645" s="1" t="n">
        <v>45260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35266-2023</t>
        </is>
      </c>
      <c r="B2646" s="1" t="n">
        <v>45146</v>
      </c>
      <c r="C2646" s="1" t="n">
        <v>45260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82.3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35379-2023</t>
        </is>
      </c>
      <c r="B2647" s="1" t="n">
        <v>45145</v>
      </c>
      <c r="C2647" s="1" t="n">
        <v>45260</v>
      </c>
      <c r="D2647" t="inlineStr">
        <is>
          <t>VÄSTERNORRLANDS LÄN</t>
        </is>
      </c>
      <c r="E2647" t="inlineStr">
        <is>
          <t>ÖRNSKÖLDSVIK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35395-2023</t>
        </is>
      </c>
      <c r="B2648" s="1" t="n">
        <v>45146</v>
      </c>
      <c r="C2648" s="1" t="n">
        <v>45260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35399-2023</t>
        </is>
      </c>
      <c r="B2649" s="1" t="n">
        <v>45146</v>
      </c>
      <c r="C2649" s="1" t="n">
        <v>45260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35451-2023</t>
        </is>
      </c>
      <c r="B2650" s="1" t="n">
        <v>45146</v>
      </c>
      <c r="C2650" s="1" t="n">
        <v>45260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35441-2023</t>
        </is>
      </c>
      <c r="B2651" s="1" t="n">
        <v>45146</v>
      </c>
      <c r="C2651" s="1" t="n">
        <v>45260</v>
      </c>
      <c r="D2651" t="inlineStr">
        <is>
          <t>VÄSTERNORRLANDS LÄN</t>
        </is>
      </c>
      <c r="E2651" t="inlineStr">
        <is>
          <t>ÖRNSKÖLDSVIK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35422-2023</t>
        </is>
      </c>
      <c r="B2652" s="1" t="n">
        <v>45146</v>
      </c>
      <c r="C2652" s="1" t="n">
        <v>45260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35507-2023</t>
        </is>
      </c>
      <c r="B2653" s="1" t="n">
        <v>45147</v>
      </c>
      <c r="C2653" s="1" t="n">
        <v>45260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35555-2023</t>
        </is>
      </c>
      <c r="B2654" s="1" t="n">
        <v>45146</v>
      </c>
      <c r="C2654" s="1" t="n">
        <v>45260</v>
      </c>
      <c r="D2654" t="inlineStr">
        <is>
          <t>VÄSTERNORRLANDS LÄN</t>
        </is>
      </c>
      <c r="E2654" t="inlineStr">
        <is>
          <t>ÖRNSKÖLDSVIK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35637-2023</t>
        </is>
      </c>
      <c r="B2655" s="1" t="n">
        <v>45146</v>
      </c>
      <c r="C2655" s="1" t="n">
        <v>45260</v>
      </c>
      <c r="D2655" t="inlineStr">
        <is>
          <t>VÄSTERNORRLANDS LÄN</t>
        </is>
      </c>
      <c r="E2655" t="inlineStr">
        <is>
          <t>ÖRNSKÖLDSVIK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35578-2023</t>
        </is>
      </c>
      <c r="B2656" s="1" t="n">
        <v>45147</v>
      </c>
      <c r="C2656" s="1" t="n">
        <v>45260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35601-2023</t>
        </is>
      </c>
      <c r="B2657" s="1" t="n">
        <v>45147</v>
      </c>
      <c r="C2657" s="1" t="n">
        <v>45260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35624-2023</t>
        </is>
      </c>
      <c r="B2658" s="1" t="n">
        <v>45147</v>
      </c>
      <c r="C2658" s="1" t="n">
        <v>45260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35602-2023</t>
        </is>
      </c>
      <c r="B2659" s="1" t="n">
        <v>45147</v>
      </c>
      <c r="C2659" s="1" t="n">
        <v>45260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35656-2023</t>
        </is>
      </c>
      <c r="B2660" s="1" t="n">
        <v>45147</v>
      </c>
      <c r="C2660" s="1" t="n">
        <v>45260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35544-2023</t>
        </is>
      </c>
      <c r="B2661" s="1" t="n">
        <v>45147</v>
      </c>
      <c r="C2661" s="1" t="n">
        <v>45260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35805-2023</t>
        </is>
      </c>
      <c r="B2662" s="1" t="n">
        <v>45147</v>
      </c>
      <c r="C2662" s="1" t="n">
        <v>45260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35783-2023</t>
        </is>
      </c>
      <c r="B2663" s="1" t="n">
        <v>45148</v>
      </c>
      <c r="C2663" s="1" t="n">
        <v>45260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35870-2023</t>
        </is>
      </c>
      <c r="B2664" s="1" t="n">
        <v>45148</v>
      </c>
      <c r="C2664" s="1" t="n">
        <v>45260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35881-2023</t>
        </is>
      </c>
      <c r="B2665" s="1" t="n">
        <v>45148</v>
      </c>
      <c r="C2665" s="1" t="n">
        <v>45260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35949-2023</t>
        </is>
      </c>
      <c r="B2666" s="1" t="n">
        <v>45148</v>
      </c>
      <c r="C2666" s="1" t="n">
        <v>45260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36172-2023</t>
        </is>
      </c>
      <c r="B2667" s="1" t="n">
        <v>45149</v>
      </c>
      <c r="C2667" s="1" t="n">
        <v>45260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36194-2023</t>
        </is>
      </c>
      <c r="B2668" s="1" t="n">
        <v>45149</v>
      </c>
      <c r="C2668" s="1" t="n">
        <v>45260</v>
      </c>
      <c r="D2668" t="inlineStr">
        <is>
          <t>VÄSTERNORRLANDS LÄN</t>
        </is>
      </c>
      <c r="E2668" t="inlineStr">
        <is>
          <t>ÖRNSKÖLDSVIK</t>
        </is>
      </c>
      <c r="G2668" t="n">
        <v>14.6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36223-2023</t>
        </is>
      </c>
      <c r="B2669" s="1" t="n">
        <v>45150</v>
      </c>
      <c r="C2669" s="1" t="n">
        <v>45260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36169-2023</t>
        </is>
      </c>
      <c r="B2670" s="1" t="n">
        <v>45149</v>
      </c>
      <c r="C2670" s="1" t="n">
        <v>45260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36283-2023</t>
        </is>
      </c>
      <c r="B2671" s="1" t="n">
        <v>45149</v>
      </c>
      <c r="C2671" s="1" t="n">
        <v>45260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36282-2023</t>
        </is>
      </c>
      <c r="B2672" s="1" t="n">
        <v>45149</v>
      </c>
      <c r="C2672" s="1" t="n">
        <v>45260</v>
      </c>
      <c r="D2672" t="inlineStr">
        <is>
          <t>VÄSTERNORRLANDS LÄN</t>
        </is>
      </c>
      <c r="E2672" t="inlineStr">
        <is>
          <t>ÖRNSKÖLDSVIK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36077-2023</t>
        </is>
      </c>
      <c r="B2673" s="1" t="n">
        <v>45149</v>
      </c>
      <c r="C2673" s="1" t="n">
        <v>45260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36086-2023</t>
        </is>
      </c>
      <c r="B2674" s="1" t="n">
        <v>45149</v>
      </c>
      <c r="C2674" s="1" t="n">
        <v>45260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36363-2023</t>
        </is>
      </c>
      <c r="B2675" s="1" t="n">
        <v>45152</v>
      </c>
      <c r="C2675" s="1" t="n">
        <v>45260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36323-2023</t>
        </is>
      </c>
      <c r="B2676" s="1" t="n">
        <v>45152</v>
      </c>
      <c r="C2676" s="1" t="n">
        <v>45260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36326-2023</t>
        </is>
      </c>
      <c r="B2677" s="1" t="n">
        <v>45152</v>
      </c>
      <c r="C2677" s="1" t="n">
        <v>45260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36432-2023</t>
        </is>
      </c>
      <c r="B2678" s="1" t="n">
        <v>45152</v>
      </c>
      <c r="C2678" s="1" t="n">
        <v>45260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36477-2023</t>
        </is>
      </c>
      <c r="B2679" s="1" t="n">
        <v>45152</v>
      </c>
      <c r="C2679" s="1" t="n">
        <v>45260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36583-2023</t>
        </is>
      </c>
      <c r="B2680" s="1" t="n">
        <v>45152</v>
      </c>
      <c r="C2680" s="1" t="n">
        <v>45260</v>
      </c>
      <c r="D2680" t="inlineStr">
        <is>
          <t>VÄSTERNORRLANDS LÄN</t>
        </is>
      </c>
      <c r="E2680" t="inlineStr">
        <is>
          <t>ÖRNSKÖLDSVIK</t>
        </is>
      </c>
      <c r="G2680" t="n">
        <v>10.2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36684-2023</t>
        </is>
      </c>
      <c r="B2681" s="1" t="n">
        <v>45152</v>
      </c>
      <c r="C2681" s="1" t="n">
        <v>45260</v>
      </c>
      <c r="D2681" t="inlineStr">
        <is>
          <t>VÄSTERNORRLANDS LÄN</t>
        </is>
      </c>
      <c r="E2681" t="inlineStr">
        <is>
          <t>ÖRNSKÖLDSVIK</t>
        </is>
      </c>
      <c r="G2681" t="n">
        <v>12.5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36509-2023</t>
        </is>
      </c>
      <c r="B2682" s="1" t="n">
        <v>45153</v>
      </c>
      <c r="C2682" s="1" t="n">
        <v>45260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36577-2023</t>
        </is>
      </c>
      <c r="B2683" s="1" t="n">
        <v>45152</v>
      </c>
      <c r="C2683" s="1" t="n">
        <v>45260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36685-2023</t>
        </is>
      </c>
      <c r="B2684" s="1" t="n">
        <v>45153</v>
      </c>
      <c r="C2684" s="1" t="n">
        <v>45260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36726-2023</t>
        </is>
      </c>
      <c r="B2685" s="1" t="n">
        <v>45153</v>
      </c>
      <c r="C2685" s="1" t="n">
        <v>45260</v>
      </c>
      <c r="D2685" t="inlineStr">
        <is>
          <t>VÄSTERNORRLANDS LÄN</t>
        </is>
      </c>
      <c r="E2685" t="inlineStr">
        <is>
          <t>ÖRNSKÖLDSVIK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36734-2023</t>
        </is>
      </c>
      <c r="B2686" s="1" t="n">
        <v>45153</v>
      </c>
      <c r="C2686" s="1" t="n">
        <v>45260</v>
      </c>
      <c r="D2686" t="inlineStr">
        <is>
          <t>VÄSTERNORRLANDS LÄN</t>
        </is>
      </c>
      <c r="E2686" t="inlineStr">
        <is>
          <t>ÖRNSKÖLDSVIK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36681-2023</t>
        </is>
      </c>
      <c r="B2687" s="1" t="n">
        <v>45153</v>
      </c>
      <c r="C2687" s="1" t="n">
        <v>45260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36654-2023</t>
        </is>
      </c>
      <c r="B2688" s="1" t="n">
        <v>45153</v>
      </c>
      <c r="C2688" s="1" t="n">
        <v>45260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36727-2023</t>
        </is>
      </c>
      <c r="B2689" s="1" t="n">
        <v>45153</v>
      </c>
      <c r="C2689" s="1" t="n">
        <v>45260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36836-2023</t>
        </is>
      </c>
      <c r="B2690" s="1" t="n">
        <v>45154</v>
      </c>
      <c r="C2690" s="1" t="n">
        <v>45260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36863-2023</t>
        </is>
      </c>
      <c r="B2691" s="1" t="n">
        <v>45154</v>
      </c>
      <c r="C2691" s="1" t="n">
        <v>45260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36923-2023</t>
        </is>
      </c>
      <c r="B2692" s="1" t="n">
        <v>45154</v>
      </c>
      <c r="C2692" s="1" t="n">
        <v>45260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36775-2023</t>
        </is>
      </c>
      <c r="B2693" s="1" t="n">
        <v>45154</v>
      </c>
      <c r="C2693" s="1" t="n">
        <v>45260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36918-2023</t>
        </is>
      </c>
      <c r="B2694" s="1" t="n">
        <v>45154</v>
      </c>
      <c r="C2694" s="1" t="n">
        <v>45260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37087-2023</t>
        </is>
      </c>
      <c r="B2695" s="1" t="n">
        <v>45154</v>
      </c>
      <c r="C2695" s="1" t="n">
        <v>45260</v>
      </c>
      <c r="D2695" t="inlineStr">
        <is>
          <t>VÄSTERNORRLANDS LÄN</t>
        </is>
      </c>
      <c r="E2695" t="inlineStr">
        <is>
          <t>ÖRNSKÖLDSVIK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36866-2023</t>
        </is>
      </c>
      <c r="B2696" s="1" t="n">
        <v>45154</v>
      </c>
      <c r="C2696" s="1" t="n">
        <v>45260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36919-2023</t>
        </is>
      </c>
      <c r="B2697" s="1" t="n">
        <v>45154</v>
      </c>
      <c r="C2697" s="1" t="n">
        <v>45260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36925-2023</t>
        </is>
      </c>
      <c r="B2698" s="1" t="n">
        <v>45154</v>
      </c>
      <c r="C2698" s="1" t="n">
        <v>45260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37055-2023</t>
        </is>
      </c>
      <c r="B2699" s="1" t="n">
        <v>45155</v>
      </c>
      <c r="C2699" s="1" t="n">
        <v>45260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37056-2023</t>
        </is>
      </c>
      <c r="B2700" s="1" t="n">
        <v>45155</v>
      </c>
      <c r="C2700" s="1" t="n">
        <v>45260</v>
      </c>
      <c r="D2700" t="inlineStr">
        <is>
          <t>VÄSTERNORRLANDS LÄN</t>
        </is>
      </c>
      <c r="E2700" t="inlineStr">
        <is>
          <t>ÖRNSKÖLDSVIK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</v>
      </c>
      <c r="C2701" s="1" t="n">
        <v>45260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37058-2023</t>
        </is>
      </c>
      <c r="B2702" s="1" t="n">
        <v>45155</v>
      </c>
      <c r="C2702" s="1" t="n">
        <v>45260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37279-2023</t>
        </is>
      </c>
      <c r="B2703" s="1" t="n">
        <v>45156</v>
      </c>
      <c r="C2703" s="1" t="n">
        <v>45260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37288-2023</t>
        </is>
      </c>
      <c r="B2704" s="1" t="n">
        <v>45156</v>
      </c>
      <c r="C2704" s="1" t="n">
        <v>45260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37348-2023</t>
        </is>
      </c>
      <c r="B2705" s="1" t="n">
        <v>45156</v>
      </c>
      <c r="C2705" s="1" t="n">
        <v>45260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37338-2023</t>
        </is>
      </c>
      <c r="B2706" s="1" t="n">
        <v>45156</v>
      </c>
      <c r="C2706" s="1" t="n">
        <v>45260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37395-2023</t>
        </is>
      </c>
      <c r="B2707" s="1" t="n">
        <v>45156</v>
      </c>
      <c r="C2707" s="1" t="n">
        <v>45260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37403-2023</t>
        </is>
      </c>
      <c r="B2708" s="1" t="n">
        <v>45156</v>
      </c>
      <c r="C2708" s="1" t="n">
        <v>45260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37579-2023</t>
        </is>
      </c>
      <c r="B2709" s="1" t="n">
        <v>45159</v>
      </c>
      <c r="C2709" s="1" t="n">
        <v>45260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37578-2023</t>
        </is>
      </c>
      <c r="B2710" s="1" t="n">
        <v>45159</v>
      </c>
      <c r="C2710" s="1" t="n">
        <v>45260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37636-2023</t>
        </is>
      </c>
      <c r="B2711" s="1" t="n">
        <v>45159</v>
      </c>
      <c r="C2711" s="1" t="n">
        <v>45260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37640-2023</t>
        </is>
      </c>
      <c r="B2712" s="1" t="n">
        <v>45159</v>
      </c>
      <c r="C2712" s="1" t="n">
        <v>45260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37674-2023</t>
        </is>
      </c>
      <c r="B2713" s="1" t="n">
        <v>45159</v>
      </c>
      <c r="C2713" s="1" t="n">
        <v>45260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37736-2023</t>
        </is>
      </c>
      <c r="B2714" s="1" t="n">
        <v>45159</v>
      </c>
      <c r="C2714" s="1" t="n">
        <v>45260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37761-2023</t>
        </is>
      </c>
      <c r="B2715" s="1" t="n">
        <v>45159</v>
      </c>
      <c r="C2715" s="1" t="n">
        <v>45260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37737-2023</t>
        </is>
      </c>
      <c r="B2716" s="1" t="n">
        <v>45159</v>
      </c>
      <c r="C2716" s="1" t="n">
        <v>45260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37862-2023</t>
        </is>
      </c>
      <c r="B2717" s="1" t="n">
        <v>45160</v>
      </c>
      <c r="C2717" s="1" t="n">
        <v>45260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37885-2023</t>
        </is>
      </c>
      <c r="B2718" s="1" t="n">
        <v>45160</v>
      </c>
      <c r="C2718" s="1" t="n">
        <v>45260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37893-2023</t>
        </is>
      </c>
      <c r="B2719" s="1" t="n">
        <v>45160</v>
      </c>
      <c r="C2719" s="1" t="n">
        <v>45260</v>
      </c>
      <c r="D2719" t="inlineStr">
        <is>
          <t>VÄSTERNORRLANDS LÄN</t>
        </is>
      </c>
      <c r="E2719" t="inlineStr">
        <is>
          <t>ÖRNSKÖLDSVIK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37912-2023</t>
        </is>
      </c>
      <c r="B2720" s="1" t="n">
        <v>45160</v>
      </c>
      <c r="C2720" s="1" t="n">
        <v>45260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37826-2023</t>
        </is>
      </c>
      <c r="B2721" s="1" t="n">
        <v>45160</v>
      </c>
      <c r="C2721" s="1" t="n">
        <v>45260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37846-2023</t>
        </is>
      </c>
      <c r="B2722" s="1" t="n">
        <v>45160</v>
      </c>
      <c r="C2722" s="1" t="n">
        <v>45260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38028-2023</t>
        </is>
      </c>
      <c r="B2723" s="1" t="n">
        <v>45160</v>
      </c>
      <c r="C2723" s="1" t="n">
        <v>45260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37913-2023</t>
        </is>
      </c>
      <c r="B2724" s="1" t="n">
        <v>45160</v>
      </c>
      <c r="C2724" s="1" t="n">
        <v>45260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37947-2023</t>
        </is>
      </c>
      <c r="B2725" s="1" t="n">
        <v>45160</v>
      </c>
      <c r="C2725" s="1" t="n">
        <v>45260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37920-2023</t>
        </is>
      </c>
      <c r="B2726" s="1" t="n">
        <v>45160</v>
      </c>
      <c r="C2726" s="1" t="n">
        <v>45260</v>
      </c>
      <c r="D2726" t="inlineStr">
        <is>
          <t>VÄSTERNORRLANDS LÄN</t>
        </is>
      </c>
      <c r="E2726" t="inlineStr">
        <is>
          <t>ÖRNSKÖLDSVIK</t>
        </is>
      </c>
      <c r="G2726" t="n">
        <v>6.8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37999-2023</t>
        </is>
      </c>
      <c r="B2727" s="1" t="n">
        <v>45160</v>
      </c>
      <c r="C2727" s="1" t="n">
        <v>45260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38012-2023</t>
        </is>
      </c>
      <c r="B2728" s="1" t="n">
        <v>45160</v>
      </c>
      <c r="C2728" s="1" t="n">
        <v>45260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38098-2023</t>
        </is>
      </c>
      <c r="B2729" s="1" t="n">
        <v>45161</v>
      </c>
      <c r="C2729" s="1" t="n">
        <v>45260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38292-2023</t>
        </is>
      </c>
      <c r="B2730" s="1" t="n">
        <v>45161</v>
      </c>
      <c r="C2730" s="1" t="n">
        <v>45260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38368-2023</t>
        </is>
      </c>
      <c r="B2731" s="1" t="n">
        <v>45161</v>
      </c>
      <c r="C2731" s="1" t="n">
        <v>45260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124.7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38202-2023</t>
        </is>
      </c>
      <c r="B2732" s="1" t="n">
        <v>45161</v>
      </c>
      <c r="C2732" s="1" t="n">
        <v>45260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38275-2023</t>
        </is>
      </c>
      <c r="B2733" s="1" t="n">
        <v>45161</v>
      </c>
      <c r="C2733" s="1" t="n">
        <v>45260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38121-2023</t>
        </is>
      </c>
      <c r="B2734" s="1" t="n">
        <v>45161</v>
      </c>
      <c r="C2734" s="1" t="n">
        <v>45260</v>
      </c>
      <c r="D2734" t="inlineStr">
        <is>
          <t>VÄSTERNORRLANDS LÄN</t>
        </is>
      </c>
      <c r="E2734" t="inlineStr">
        <is>
          <t>ÖRNSKÖLDSVIK</t>
        </is>
      </c>
      <c r="G2734" t="n">
        <v>13.8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38388-2023</t>
        </is>
      </c>
      <c r="B2735" s="1" t="n">
        <v>45162</v>
      </c>
      <c r="C2735" s="1" t="n">
        <v>45260</v>
      </c>
      <c r="D2735" t="inlineStr">
        <is>
          <t>VÄSTERNORRLANDS LÄN</t>
        </is>
      </c>
      <c r="E2735" t="inlineStr">
        <is>
          <t>ÖRNSKÖLDSVIK</t>
        </is>
      </c>
      <c r="G2735" t="n">
        <v>7.2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38386-2023</t>
        </is>
      </c>
      <c r="B2736" s="1" t="n">
        <v>45162</v>
      </c>
      <c r="C2736" s="1" t="n">
        <v>45260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38390-2023</t>
        </is>
      </c>
      <c r="B2737" s="1" t="n">
        <v>45162</v>
      </c>
      <c r="C2737" s="1" t="n">
        <v>45260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39268-2023</t>
        </is>
      </c>
      <c r="B2738" s="1" t="n">
        <v>45162</v>
      </c>
      <c r="C2738" s="1" t="n">
        <v>45260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38601-2023</t>
        </is>
      </c>
      <c r="B2739" s="1" t="n">
        <v>45162</v>
      </c>
      <c r="C2739" s="1" t="n">
        <v>45260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38605-2023</t>
        </is>
      </c>
      <c r="B2740" s="1" t="n">
        <v>45162</v>
      </c>
      <c r="C2740" s="1" t="n">
        <v>45260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38532-2023</t>
        </is>
      </c>
      <c r="B2741" s="1" t="n">
        <v>45162</v>
      </c>
      <c r="C2741" s="1" t="n">
        <v>45260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39294-2023</t>
        </is>
      </c>
      <c r="B2742" s="1" t="n">
        <v>45162</v>
      </c>
      <c r="C2742" s="1" t="n">
        <v>45260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39300-2023</t>
        </is>
      </c>
      <c r="B2743" s="1" t="n">
        <v>45162</v>
      </c>
      <c r="C2743" s="1" t="n">
        <v>45260</v>
      </c>
      <c r="D2743" t="inlineStr">
        <is>
          <t>VÄSTERNORRLANDS LÄN</t>
        </is>
      </c>
      <c r="E2743" t="inlineStr">
        <is>
          <t>ÖRNSKÖLDSVIK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38566-2023</t>
        </is>
      </c>
      <c r="B2744" s="1" t="n">
        <v>45162</v>
      </c>
      <c r="C2744" s="1" t="n">
        <v>45260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38604-2023</t>
        </is>
      </c>
      <c r="B2745" s="1" t="n">
        <v>45162</v>
      </c>
      <c r="C2745" s="1" t="n">
        <v>45260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38684-2023</t>
        </is>
      </c>
      <c r="B2746" s="1" t="n">
        <v>45163</v>
      </c>
      <c r="C2746" s="1" t="n">
        <v>45260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38685-2023</t>
        </is>
      </c>
      <c r="B2747" s="1" t="n">
        <v>45162</v>
      </c>
      <c r="C2747" s="1" t="n">
        <v>45260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38845-2023</t>
        </is>
      </c>
      <c r="B2748" s="1" t="n">
        <v>45163</v>
      </c>
      <c r="C2748" s="1" t="n">
        <v>45260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38965-2023</t>
        </is>
      </c>
      <c r="B2749" s="1" t="n">
        <v>45163</v>
      </c>
      <c r="C2749" s="1" t="n">
        <v>45260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39079-2023</t>
        </is>
      </c>
      <c r="B2750" s="1" t="n">
        <v>45164</v>
      </c>
      <c r="C2750" s="1" t="n">
        <v>45260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38831-2023</t>
        </is>
      </c>
      <c r="B2751" s="1" t="n">
        <v>45163</v>
      </c>
      <c r="C2751" s="1" t="n">
        <v>45260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39435-2023</t>
        </is>
      </c>
      <c r="B2752" s="1" t="n">
        <v>45163</v>
      </c>
      <c r="C2752" s="1" t="n">
        <v>45260</v>
      </c>
      <c r="D2752" t="inlineStr">
        <is>
          <t>VÄSTERNORRLANDS LÄN</t>
        </is>
      </c>
      <c r="E2752" t="inlineStr">
        <is>
          <t>ÖRNSKÖLDSVIK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38704-2023</t>
        </is>
      </c>
      <c r="B2753" s="1" t="n">
        <v>45163</v>
      </c>
      <c r="C2753" s="1" t="n">
        <v>45260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39536-2023</t>
        </is>
      </c>
      <c r="B2754" s="1" t="n">
        <v>45163</v>
      </c>
      <c r="C2754" s="1" t="n">
        <v>45260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39448-2023</t>
        </is>
      </c>
      <c r="B2755" s="1" t="n">
        <v>45163</v>
      </c>
      <c r="C2755" s="1" t="n">
        <v>45260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39545-2023</t>
        </is>
      </c>
      <c r="B2756" s="1" t="n">
        <v>45163</v>
      </c>
      <c r="C2756" s="1" t="n">
        <v>45260</v>
      </c>
      <c r="D2756" t="inlineStr">
        <is>
          <t>VÄSTERNORRLANDS LÄN</t>
        </is>
      </c>
      <c r="E2756" t="inlineStr">
        <is>
          <t>ÖRNSKÖLDSVIK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39541-2023</t>
        </is>
      </c>
      <c r="B2757" s="1" t="n">
        <v>45163</v>
      </c>
      <c r="C2757" s="1" t="n">
        <v>45260</v>
      </c>
      <c r="D2757" t="inlineStr">
        <is>
          <t>VÄSTERNORRLANDS LÄN</t>
        </is>
      </c>
      <c r="E2757" t="inlineStr">
        <is>
          <t>ÖRNSKÖLDSVIK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39569-2023</t>
        </is>
      </c>
      <c r="B2758" s="1" t="n">
        <v>45163</v>
      </c>
      <c r="C2758" s="1" t="n">
        <v>45260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38784-2023</t>
        </is>
      </c>
      <c r="B2759" s="1" t="n">
        <v>45163</v>
      </c>
      <c r="C2759" s="1" t="n">
        <v>45260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39449-2023</t>
        </is>
      </c>
      <c r="B2760" s="1" t="n">
        <v>45163</v>
      </c>
      <c r="C2760" s="1" t="n">
        <v>45260</v>
      </c>
      <c r="D2760" t="inlineStr">
        <is>
          <t>VÄSTERNORRLANDS LÄN</t>
        </is>
      </c>
      <c r="E2760" t="inlineStr">
        <is>
          <t>ÖRNSKÖLDSVIK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39216-2023</t>
        </is>
      </c>
      <c r="B2761" s="1" t="n">
        <v>45166</v>
      </c>
      <c r="C2761" s="1" t="n">
        <v>45260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39302-2023</t>
        </is>
      </c>
      <c r="B2762" s="1" t="n">
        <v>45166</v>
      </c>
      <c r="C2762" s="1" t="n">
        <v>45260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39313-2023</t>
        </is>
      </c>
      <c r="B2763" s="1" t="n">
        <v>45166</v>
      </c>
      <c r="C2763" s="1" t="n">
        <v>45260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39318-2023</t>
        </is>
      </c>
      <c r="B2764" s="1" t="n">
        <v>45166</v>
      </c>
      <c r="C2764" s="1" t="n">
        <v>45260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39446-2023</t>
        </is>
      </c>
      <c r="B2765" s="1" t="n">
        <v>45166</v>
      </c>
      <c r="C2765" s="1" t="n">
        <v>45260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39485-2023</t>
        </is>
      </c>
      <c r="B2766" s="1" t="n">
        <v>45167</v>
      </c>
      <c r="C2766" s="1" t="n">
        <v>45260</v>
      </c>
      <c r="D2766" t="inlineStr">
        <is>
          <t>VÄSTERNORRLANDS LÄN</t>
        </is>
      </c>
      <c r="E2766" t="inlineStr">
        <is>
          <t>ÖRNSKÖLDSVIK</t>
        </is>
      </c>
      <c r="G2766" t="n">
        <v>12.1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39909-2023</t>
        </is>
      </c>
      <c r="B2767" s="1" t="n">
        <v>45166</v>
      </c>
      <c r="C2767" s="1" t="n">
        <v>45260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39486-2023</t>
        </is>
      </c>
      <c r="B2768" s="1" t="n">
        <v>45167</v>
      </c>
      <c r="C2768" s="1" t="n">
        <v>45260</v>
      </c>
      <c r="D2768" t="inlineStr">
        <is>
          <t>VÄSTERNORRLANDS LÄN</t>
        </is>
      </c>
      <c r="E2768" t="inlineStr">
        <is>
          <t>ÖRNSKÖLDSVIK</t>
        </is>
      </c>
      <c r="G2768" t="n">
        <v>4.8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39532-2023</t>
        </is>
      </c>
      <c r="B2769" s="1" t="n">
        <v>45167</v>
      </c>
      <c r="C2769" s="1" t="n">
        <v>45260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39546-2023</t>
        </is>
      </c>
      <c r="B2770" s="1" t="n">
        <v>45167</v>
      </c>
      <c r="C2770" s="1" t="n">
        <v>45260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39697-2023</t>
        </is>
      </c>
      <c r="B2771" s="1" t="n">
        <v>45167</v>
      </c>
      <c r="C2771" s="1" t="n">
        <v>45260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39751-2023</t>
        </is>
      </c>
      <c r="B2772" s="1" t="n">
        <v>45167</v>
      </c>
      <c r="C2772" s="1" t="n">
        <v>45260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39625-2023</t>
        </is>
      </c>
      <c r="B2773" s="1" t="n">
        <v>45167</v>
      </c>
      <c r="C2773" s="1" t="n">
        <v>45260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40036-2023</t>
        </is>
      </c>
      <c r="B2774" s="1" t="n">
        <v>45167</v>
      </c>
      <c r="C2774" s="1" t="n">
        <v>45260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39729-2023</t>
        </is>
      </c>
      <c r="B2775" s="1" t="n">
        <v>45167</v>
      </c>
      <c r="C2775" s="1" t="n">
        <v>45260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39827-2023</t>
        </is>
      </c>
      <c r="B2776" s="1" t="n">
        <v>45168</v>
      </c>
      <c r="C2776" s="1" t="n">
        <v>45260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40022-2023</t>
        </is>
      </c>
      <c r="B2777" s="1" t="n">
        <v>45168</v>
      </c>
      <c r="C2777" s="1" t="n">
        <v>45260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39825-2023</t>
        </is>
      </c>
      <c r="B2778" s="1" t="n">
        <v>45168</v>
      </c>
      <c r="C2778" s="1" t="n">
        <v>45260</v>
      </c>
      <c r="D2778" t="inlineStr">
        <is>
          <t>VÄSTERNORRLANDS LÄN</t>
        </is>
      </c>
      <c r="E2778" t="inlineStr">
        <is>
          <t>ÖRNSKÖLDSVIK</t>
        </is>
      </c>
      <c r="G2778" t="n">
        <v>9.1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40012-2023</t>
        </is>
      </c>
      <c r="B2779" s="1" t="n">
        <v>45168</v>
      </c>
      <c r="C2779" s="1" t="n">
        <v>45260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40071-2023</t>
        </is>
      </c>
      <c r="B2780" s="1" t="n">
        <v>45168</v>
      </c>
      <c r="C2780" s="1" t="n">
        <v>45260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40066-2023</t>
        </is>
      </c>
      <c r="B2781" s="1" t="n">
        <v>45168</v>
      </c>
      <c r="C2781" s="1" t="n">
        <v>45260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40368-2023</t>
        </is>
      </c>
      <c r="B2782" s="1" t="n">
        <v>45168</v>
      </c>
      <c r="C2782" s="1" t="n">
        <v>45260</v>
      </c>
      <c r="D2782" t="inlineStr">
        <is>
          <t>VÄSTERNORRLANDS LÄN</t>
        </is>
      </c>
      <c r="E2782" t="inlineStr">
        <is>
          <t>ÖRNSKÖLDSVIK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39920-2023</t>
        </is>
      </c>
      <c r="B2783" s="1" t="n">
        <v>45168</v>
      </c>
      <c r="C2783" s="1" t="n">
        <v>45260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40056-2023</t>
        </is>
      </c>
      <c r="B2784" s="1" t="n">
        <v>45168</v>
      </c>
      <c r="C2784" s="1" t="n">
        <v>45260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40223-2023</t>
        </is>
      </c>
      <c r="B2785" s="1" t="n">
        <v>45168</v>
      </c>
      <c r="C2785" s="1" t="n">
        <v>45260</v>
      </c>
      <c r="D2785" t="inlineStr">
        <is>
          <t>VÄSTERNORRLANDS LÄN</t>
        </is>
      </c>
      <c r="E2785" t="inlineStr">
        <is>
          <t>ÖRNSKÖLDSVIK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40134-2023</t>
        </is>
      </c>
      <c r="B2786" s="1" t="n">
        <v>45169</v>
      </c>
      <c r="C2786" s="1" t="n">
        <v>45260</v>
      </c>
      <c r="D2786" t="inlineStr">
        <is>
          <t>VÄSTERNORRLANDS LÄN</t>
        </is>
      </c>
      <c r="E2786" t="inlineStr">
        <is>
          <t>ÖRNSKÖLDSVIK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40200-2023</t>
        </is>
      </c>
      <c r="B2787" s="1" t="n">
        <v>45169</v>
      </c>
      <c r="C2787" s="1" t="n">
        <v>45260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40909-2023</t>
        </is>
      </c>
      <c r="B2788" s="1" t="n">
        <v>45169</v>
      </c>
      <c r="C2788" s="1" t="n">
        <v>45260</v>
      </c>
      <c r="D2788" t="inlineStr">
        <is>
          <t>VÄSTERNORRLANDS LÄN</t>
        </is>
      </c>
      <c r="E2788" t="inlineStr">
        <is>
          <t>ÖRNSKÖLDSVIK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40586-2023</t>
        </is>
      </c>
      <c r="B2789" s="1" t="n">
        <v>45170</v>
      </c>
      <c r="C2789" s="1" t="n">
        <v>45260</v>
      </c>
      <c r="D2789" t="inlineStr">
        <is>
          <t>VÄSTERNORRLANDS LÄN</t>
        </is>
      </c>
      <c r="E2789" t="inlineStr">
        <is>
          <t>ÖRNSKÖLDSVIK</t>
        </is>
      </c>
      <c r="G2789" t="n">
        <v>6.1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40454-2023</t>
        </is>
      </c>
      <c r="B2790" s="1" t="n">
        <v>45170</v>
      </c>
      <c r="C2790" s="1" t="n">
        <v>45260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40590-2023</t>
        </is>
      </c>
      <c r="B2791" s="1" t="n">
        <v>45170</v>
      </c>
      <c r="C2791" s="1" t="n">
        <v>45260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40722-2023</t>
        </is>
      </c>
      <c r="B2792" s="1" t="n">
        <v>45170</v>
      </c>
      <c r="C2792" s="1" t="n">
        <v>45260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40550-2023</t>
        </is>
      </c>
      <c r="B2793" s="1" t="n">
        <v>45170</v>
      </c>
      <c r="C2793" s="1" t="n">
        <v>45260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40598-2023</t>
        </is>
      </c>
      <c r="B2794" s="1" t="n">
        <v>45170</v>
      </c>
      <c r="C2794" s="1" t="n">
        <v>45260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40724-2023</t>
        </is>
      </c>
      <c r="B2795" s="1" t="n">
        <v>45170</v>
      </c>
      <c r="C2795" s="1" t="n">
        <v>45260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41298-2023</t>
        </is>
      </c>
      <c r="B2796" s="1" t="n">
        <v>45170</v>
      </c>
      <c r="C2796" s="1" t="n">
        <v>45260</v>
      </c>
      <c r="D2796" t="inlineStr">
        <is>
          <t>VÄSTERNORRLANDS LÄN</t>
        </is>
      </c>
      <c r="E2796" t="inlineStr">
        <is>
          <t>ÖRNSKÖLDSVIK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40867-2023</t>
        </is>
      </c>
      <c r="B2797" s="1" t="n">
        <v>45173</v>
      </c>
      <c r="C2797" s="1" t="n">
        <v>45260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40889-2023</t>
        </is>
      </c>
      <c r="B2798" s="1" t="n">
        <v>45173</v>
      </c>
      <c r="C2798" s="1" t="n">
        <v>45260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41149-2023</t>
        </is>
      </c>
      <c r="B2799" s="1" t="n">
        <v>45174</v>
      </c>
      <c r="C2799" s="1" t="n">
        <v>45260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41153-2023</t>
        </is>
      </c>
      <c r="B2800" s="1" t="n">
        <v>45174</v>
      </c>
      <c r="C2800" s="1" t="n">
        <v>45260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41503-2023</t>
        </is>
      </c>
      <c r="B2801" s="1" t="n">
        <v>45173</v>
      </c>
      <c r="C2801" s="1" t="n">
        <v>45260</v>
      </c>
      <c r="D2801" t="inlineStr">
        <is>
          <t>VÄSTERNORRLANDS LÄN</t>
        </is>
      </c>
      <c r="E2801" t="inlineStr">
        <is>
          <t>ÖRNSKÖLDSVIK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41561-2023</t>
        </is>
      </c>
      <c r="B2802" s="1" t="n">
        <v>45173</v>
      </c>
      <c r="C2802" s="1" t="n">
        <v>45260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41710-2023</t>
        </is>
      </c>
      <c r="B2803" s="1" t="n">
        <v>45173</v>
      </c>
      <c r="C2803" s="1" t="n">
        <v>45260</v>
      </c>
      <c r="D2803" t="inlineStr">
        <is>
          <t>VÄSTERNORRLANDS LÄN</t>
        </is>
      </c>
      <c r="E2803" t="inlineStr">
        <is>
          <t>ÖRNSKÖLDSVIK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41532-2023</t>
        </is>
      </c>
      <c r="B2804" s="1" t="n">
        <v>45173</v>
      </c>
      <c r="C2804" s="1" t="n">
        <v>45260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41618-2023</t>
        </is>
      </c>
      <c r="B2805" s="1" t="n">
        <v>45173</v>
      </c>
      <c r="C2805" s="1" t="n">
        <v>45260</v>
      </c>
      <c r="D2805" t="inlineStr">
        <is>
          <t>VÄSTERNORRLANDS LÄN</t>
        </is>
      </c>
      <c r="E2805" t="inlineStr">
        <is>
          <t>ÖRNSKÖLDSVIK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41174-2023</t>
        </is>
      </c>
      <c r="B2806" s="1" t="n">
        <v>45174</v>
      </c>
      <c r="C2806" s="1" t="n">
        <v>45260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41159-2023</t>
        </is>
      </c>
      <c r="B2807" s="1" t="n">
        <v>45174</v>
      </c>
      <c r="C2807" s="1" t="n">
        <v>45260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41201-2023</t>
        </is>
      </c>
      <c r="B2808" s="1" t="n">
        <v>45174</v>
      </c>
      <c r="C2808" s="1" t="n">
        <v>45260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41213-2023</t>
        </is>
      </c>
      <c r="B2809" s="1" t="n">
        <v>45174</v>
      </c>
      <c r="C2809" s="1" t="n">
        <v>45260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41232-2023</t>
        </is>
      </c>
      <c r="B2810" s="1" t="n">
        <v>45174</v>
      </c>
      <c r="C2810" s="1" t="n">
        <v>45260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41393-2023</t>
        </is>
      </c>
      <c r="B2811" s="1" t="n">
        <v>45174</v>
      </c>
      <c r="C2811" s="1" t="n">
        <v>45260</v>
      </c>
      <c r="D2811" t="inlineStr">
        <is>
          <t>VÄSTERNORRLANDS LÄN</t>
        </is>
      </c>
      <c r="E2811" t="inlineStr">
        <is>
          <t>ÖRNSKÖLDSVIK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41999-2023</t>
        </is>
      </c>
      <c r="B2812" s="1" t="n">
        <v>45174</v>
      </c>
      <c r="C2812" s="1" t="n">
        <v>45260</v>
      </c>
      <c r="D2812" t="inlineStr">
        <is>
          <t>VÄSTERNORRLANDS LÄN</t>
        </is>
      </c>
      <c r="E2812" t="inlineStr">
        <is>
          <t>ÖRNSKÖLDSVIK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41187-2023</t>
        </is>
      </c>
      <c r="B2813" s="1" t="n">
        <v>45174</v>
      </c>
      <c r="C2813" s="1" t="n">
        <v>45260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41394-2023</t>
        </is>
      </c>
      <c r="B2814" s="1" t="n">
        <v>45174</v>
      </c>
      <c r="C2814" s="1" t="n">
        <v>45260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41392-2023</t>
        </is>
      </c>
      <c r="B2815" s="1" t="n">
        <v>45175</v>
      </c>
      <c r="C2815" s="1" t="n">
        <v>45260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41984-2023</t>
        </is>
      </c>
      <c r="B2816" s="1" t="n">
        <v>45174</v>
      </c>
      <c r="C2816" s="1" t="n">
        <v>45260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41863-2023</t>
        </is>
      </c>
      <c r="B2817" s="1" t="n">
        <v>45174</v>
      </c>
      <c r="C2817" s="1" t="n">
        <v>45260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41428-2023</t>
        </is>
      </c>
      <c r="B2818" s="1" t="n">
        <v>45175</v>
      </c>
      <c r="C2818" s="1" t="n">
        <v>45260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41415-2023</t>
        </is>
      </c>
      <c r="B2819" s="1" t="n">
        <v>45175</v>
      </c>
      <c r="C2819" s="1" t="n">
        <v>45260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9.800000000000001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41528-2023</t>
        </is>
      </c>
      <c r="B2820" s="1" t="n">
        <v>45175</v>
      </c>
      <c r="C2820" s="1" t="n">
        <v>45260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42396-2023</t>
        </is>
      </c>
      <c r="B2821" s="1" t="n">
        <v>45175</v>
      </c>
      <c r="C2821" s="1" t="n">
        <v>45260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41472-2023</t>
        </is>
      </c>
      <c r="B2822" s="1" t="n">
        <v>45175</v>
      </c>
      <c r="C2822" s="1" t="n">
        <v>45260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41550-2023</t>
        </is>
      </c>
      <c r="B2823" s="1" t="n">
        <v>45175</v>
      </c>
      <c r="C2823" s="1" t="n">
        <v>45260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41612-2023</t>
        </is>
      </c>
      <c r="B2824" s="1" t="n">
        <v>45175</v>
      </c>
      <c r="C2824" s="1" t="n">
        <v>45260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42405-2023</t>
        </is>
      </c>
      <c r="B2825" s="1" t="n">
        <v>45175</v>
      </c>
      <c r="C2825" s="1" t="n">
        <v>45260</v>
      </c>
      <c r="D2825" t="inlineStr">
        <is>
          <t>VÄSTERNORRLANDS LÄN</t>
        </is>
      </c>
      <c r="E2825" t="inlineStr">
        <is>
          <t>ÖRNSKÖLDSVIK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42307-2023</t>
        </is>
      </c>
      <c r="B2826" s="1" t="n">
        <v>45175</v>
      </c>
      <c r="C2826" s="1" t="n">
        <v>45260</v>
      </c>
      <c r="D2826" t="inlineStr">
        <is>
          <t>VÄSTERNORRLANDS LÄN</t>
        </is>
      </c>
      <c r="E2826" t="inlineStr">
        <is>
          <t>ÖRNSKÖLDSVIK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42393-2023</t>
        </is>
      </c>
      <c r="B2827" s="1" t="n">
        <v>45175</v>
      </c>
      <c r="C2827" s="1" t="n">
        <v>45260</v>
      </c>
      <c r="D2827" t="inlineStr">
        <is>
          <t>VÄSTERNORRLANDS LÄN</t>
        </is>
      </c>
      <c r="E2827" t="inlineStr">
        <is>
          <t>ÖRNSKÖLDSVIK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41686-2023</t>
        </is>
      </c>
      <c r="B2828" s="1" t="n">
        <v>45176</v>
      </c>
      <c r="C2828" s="1" t="n">
        <v>45260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41848-2023</t>
        </is>
      </c>
      <c r="B2829" s="1" t="n">
        <v>45176</v>
      </c>
      <c r="C2829" s="1" t="n">
        <v>45260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41859-2023</t>
        </is>
      </c>
      <c r="B2830" s="1" t="n">
        <v>45176</v>
      </c>
      <c r="C2830" s="1" t="n">
        <v>45260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42544-2023</t>
        </is>
      </c>
      <c r="B2831" s="1" t="n">
        <v>45176</v>
      </c>
      <c r="C2831" s="1" t="n">
        <v>45260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42698-2023</t>
        </is>
      </c>
      <c r="B2832" s="1" t="n">
        <v>45176</v>
      </c>
      <c r="C2832" s="1" t="n">
        <v>45260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42614-2023</t>
        </is>
      </c>
      <c r="B2833" s="1" t="n">
        <v>45176</v>
      </c>
      <c r="C2833" s="1" t="n">
        <v>45260</v>
      </c>
      <c r="D2833" t="inlineStr">
        <is>
          <t>VÄSTERNORRLANDS LÄN</t>
        </is>
      </c>
      <c r="E2833" t="inlineStr">
        <is>
          <t>ÖRNSKÖLDSVIK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42535-2023</t>
        </is>
      </c>
      <c r="B2834" s="1" t="n">
        <v>45176</v>
      </c>
      <c r="C2834" s="1" t="n">
        <v>45260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42565-2023</t>
        </is>
      </c>
      <c r="B2835" s="1" t="n">
        <v>45176</v>
      </c>
      <c r="C2835" s="1" t="n">
        <v>45260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42670-2023</t>
        </is>
      </c>
      <c r="B2836" s="1" t="n">
        <v>45176</v>
      </c>
      <c r="C2836" s="1" t="n">
        <v>45260</v>
      </c>
      <c r="D2836" t="inlineStr">
        <is>
          <t>VÄSTERNORRLANDS LÄN</t>
        </is>
      </c>
      <c r="E2836" t="inlineStr">
        <is>
          <t>ÖRNSKÖLDSVIK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41942-2023</t>
        </is>
      </c>
      <c r="B2837" s="1" t="n">
        <v>45177</v>
      </c>
      <c r="C2837" s="1" t="n">
        <v>45260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41956-2023</t>
        </is>
      </c>
      <c r="B2838" s="1" t="n">
        <v>45177</v>
      </c>
      <c r="C2838" s="1" t="n">
        <v>45260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41979-2023</t>
        </is>
      </c>
      <c r="B2839" s="1" t="n">
        <v>45177</v>
      </c>
      <c r="C2839" s="1" t="n">
        <v>45260</v>
      </c>
      <c r="D2839" t="inlineStr">
        <is>
          <t>VÄSTERNORRLANDS LÄN</t>
        </is>
      </c>
      <c r="E2839" t="inlineStr">
        <is>
          <t>ÖRNSKÖLDSVIK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42002-2023</t>
        </is>
      </c>
      <c r="B2840" s="1" t="n">
        <v>45177</v>
      </c>
      <c r="C2840" s="1" t="n">
        <v>45260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41953-2023</t>
        </is>
      </c>
      <c r="B2841" s="1" t="n">
        <v>45177</v>
      </c>
      <c r="C2841" s="1" t="n">
        <v>45260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41976-2023</t>
        </is>
      </c>
      <c r="B2842" s="1" t="n">
        <v>45177</v>
      </c>
      <c r="C2842" s="1" t="n">
        <v>45260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41995-2023</t>
        </is>
      </c>
      <c r="B2843" s="1" t="n">
        <v>45177</v>
      </c>
      <c r="C2843" s="1" t="n">
        <v>45260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42163-2023</t>
        </is>
      </c>
      <c r="B2844" s="1" t="n">
        <v>45178</v>
      </c>
      <c r="C2844" s="1" t="n">
        <v>45260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42847-2023</t>
        </is>
      </c>
      <c r="B2845" s="1" t="n">
        <v>45177</v>
      </c>
      <c r="C2845" s="1" t="n">
        <v>45260</v>
      </c>
      <c r="D2845" t="inlineStr">
        <is>
          <t>VÄSTERNORRLANDS LÄN</t>
        </is>
      </c>
      <c r="E2845" t="inlineStr">
        <is>
          <t>ÖRNSKÖLDSVIK</t>
        </is>
      </c>
      <c r="G2845" t="n">
        <v>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42059-2023</t>
        </is>
      </c>
      <c r="B2846" s="1" t="n">
        <v>45177</v>
      </c>
      <c r="C2846" s="1" t="n">
        <v>45260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42237-2023</t>
        </is>
      </c>
      <c r="B2847" s="1" t="n">
        <v>45180</v>
      </c>
      <c r="C2847" s="1" t="n">
        <v>45260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42264-2023</t>
        </is>
      </c>
      <c r="B2848" s="1" t="n">
        <v>45180</v>
      </c>
      <c r="C2848" s="1" t="n">
        <v>45260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42235-2023</t>
        </is>
      </c>
      <c r="B2849" s="1" t="n">
        <v>45180</v>
      </c>
      <c r="C2849" s="1" t="n">
        <v>45260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42271-2023</t>
        </is>
      </c>
      <c r="B2850" s="1" t="n">
        <v>45180</v>
      </c>
      <c r="C2850" s="1" t="n">
        <v>45260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42265-2023</t>
        </is>
      </c>
      <c r="B2851" s="1" t="n">
        <v>45180</v>
      </c>
      <c r="C2851" s="1" t="n">
        <v>45260</v>
      </c>
      <c r="D2851" t="inlineStr">
        <is>
          <t>VÄSTERNORRLANDS LÄN</t>
        </is>
      </c>
      <c r="E2851" t="inlineStr">
        <is>
          <t>ÖRNSKÖLDSVIK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42347-2023</t>
        </is>
      </c>
      <c r="B2852" s="1" t="n">
        <v>45180</v>
      </c>
      <c r="C2852" s="1" t="n">
        <v>45260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42356-2023</t>
        </is>
      </c>
      <c r="B2853" s="1" t="n">
        <v>45180</v>
      </c>
      <c r="C2853" s="1" t="n">
        <v>45260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42458-2023</t>
        </is>
      </c>
      <c r="B2854" s="1" t="n">
        <v>45180</v>
      </c>
      <c r="C2854" s="1" t="n">
        <v>45260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42461-2023</t>
        </is>
      </c>
      <c r="B2855" s="1" t="n">
        <v>45180</v>
      </c>
      <c r="C2855" s="1" t="n">
        <v>45260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43013-2023</t>
        </is>
      </c>
      <c r="B2856" s="1" t="n">
        <v>45180</v>
      </c>
      <c r="C2856" s="1" t="n">
        <v>45260</v>
      </c>
      <c r="D2856" t="inlineStr">
        <is>
          <t>VÄSTERNORRLANDS LÄN</t>
        </is>
      </c>
      <c r="E2856" t="inlineStr">
        <is>
          <t>ÖRNSKÖLDSVIK</t>
        </is>
      </c>
      <c r="G2856" t="n">
        <v>12.8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43024-2023</t>
        </is>
      </c>
      <c r="B2857" s="1" t="n">
        <v>45180</v>
      </c>
      <c r="C2857" s="1" t="n">
        <v>45260</v>
      </c>
      <c r="D2857" t="inlineStr">
        <is>
          <t>VÄSTERNORRLANDS LÄN</t>
        </is>
      </c>
      <c r="E2857" t="inlineStr">
        <is>
          <t>ÖRNSKÖLDSVIK</t>
        </is>
      </c>
      <c r="G2857" t="n">
        <v>19.3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42522-2023</t>
        </is>
      </c>
      <c r="B2858" s="1" t="n">
        <v>45181</v>
      </c>
      <c r="C2858" s="1" t="n">
        <v>45260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43604-2023</t>
        </is>
      </c>
      <c r="B2859" s="1" t="n">
        <v>45181</v>
      </c>
      <c r="C2859" s="1" t="n">
        <v>45260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38.7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42533-2023</t>
        </is>
      </c>
      <c r="B2860" s="1" t="n">
        <v>45181</v>
      </c>
      <c r="C2860" s="1" t="n">
        <v>45260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42556-2023</t>
        </is>
      </c>
      <c r="B2861" s="1" t="n">
        <v>45181</v>
      </c>
      <c r="C2861" s="1" t="n">
        <v>45260</v>
      </c>
      <c r="D2861" t="inlineStr">
        <is>
          <t>VÄSTERNORRLANDS LÄN</t>
        </is>
      </c>
      <c r="E2861" t="inlineStr">
        <is>
          <t>ÖRNSKÖLDSVIK</t>
        </is>
      </c>
      <c r="G2861" t="n">
        <v>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42764-2023</t>
        </is>
      </c>
      <c r="B2862" s="1" t="n">
        <v>45181</v>
      </c>
      <c r="C2862" s="1" t="n">
        <v>45260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42603-2023</t>
        </is>
      </c>
      <c r="B2863" s="1" t="n">
        <v>45181</v>
      </c>
      <c r="C2863" s="1" t="n">
        <v>45260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42561-2023</t>
        </is>
      </c>
      <c r="B2864" s="1" t="n">
        <v>45181</v>
      </c>
      <c r="C2864" s="1" t="n">
        <v>45260</v>
      </c>
      <c r="D2864" t="inlineStr">
        <is>
          <t>VÄSTERNORRLANDS LÄN</t>
        </is>
      </c>
      <c r="E2864" t="inlineStr">
        <is>
          <t>ÖRNSKÖLDSVIK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42865-2023</t>
        </is>
      </c>
      <c r="B2865" s="1" t="n">
        <v>45182</v>
      </c>
      <c r="C2865" s="1" t="n">
        <v>45260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42866-2023</t>
        </is>
      </c>
      <c r="B2866" s="1" t="n">
        <v>45182</v>
      </c>
      <c r="C2866" s="1" t="n">
        <v>45260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42805-2023</t>
        </is>
      </c>
      <c r="B2867" s="1" t="n">
        <v>45182</v>
      </c>
      <c r="C2867" s="1" t="n">
        <v>45260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42813-2023</t>
        </is>
      </c>
      <c r="B2868" s="1" t="n">
        <v>45182</v>
      </c>
      <c r="C2868" s="1" t="n">
        <v>45260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42999-2023</t>
        </is>
      </c>
      <c r="B2869" s="1" t="n">
        <v>45182</v>
      </c>
      <c r="C2869" s="1" t="n">
        <v>45260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43100-2023</t>
        </is>
      </c>
      <c r="B2870" s="1" t="n">
        <v>45182</v>
      </c>
      <c r="C2870" s="1" t="n">
        <v>45260</v>
      </c>
      <c r="D2870" t="inlineStr">
        <is>
          <t>VÄSTERNORRLANDS LÄN</t>
        </is>
      </c>
      <c r="E2870" t="inlineStr">
        <is>
          <t>ÖRNSKÖLDSVIK</t>
        </is>
      </c>
      <c r="G2870" t="n">
        <v>12.9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43927-2023</t>
        </is>
      </c>
      <c r="B2871" s="1" t="n">
        <v>45182</v>
      </c>
      <c r="C2871" s="1" t="n">
        <v>45260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43928-2023</t>
        </is>
      </c>
      <c r="B2872" s="1" t="n">
        <v>45182</v>
      </c>
      <c r="C2872" s="1" t="n">
        <v>45260</v>
      </c>
      <c r="D2872" t="inlineStr">
        <is>
          <t>VÄSTERNORRLANDS LÄN</t>
        </is>
      </c>
      <c r="E2872" t="inlineStr">
        <is>
          <t>ÖRNSKÖLDSVIK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43924-2023</t>
        </is>
      </c>
      <c r="B2873" s="1" t="n">
        <v>45182</v>
      </c>
      <c r="C2873" s="1" t="n">
        <v>45260</v>
      </c>
      <c r="D2873" t="inlineStr">
        <is>
          <t>VÄSTERNORRLANDS LÄN</t>
        </is>
      </c>
      <c r="E2873" t="inlineStr">
        <is>
          <t>ÖRNSKÖLDSVIK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44059-2023</t>
        </is>
      </c>
      <c r="B2874" s="1" t="n">
        <v>45182</v>
      </c>
      <c r="C2874" s="1" t="n">
        <v>45260</v>
      </c>
      <c r="D2874" t="inlineStr">
        <is>
          <t>VÄSTERNORRLANDS LÄN</t>
        </is>
      </c>
      <c r="E2874" t="inlineStr">
        <is>
          <t>ÖRNSKÖLDSVIK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44011-2023</t>
        </is>
      </c>
      <c r="B2875" s="1" t="n">
        <v>45182</v>
      </c>
      <c r="C2875" s="1" t="n">
        <v>45260</v>
      </c>
      <c r="D2875" t="inlineStr">
        <is>
          <t>VÄSTERNORRLANDS LÄN</t>
        </is>
      </c>
      <c r="E2875" t="inlineStr">
        <is>
          <t>ÖRNSKÖLDSVIK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43189-2023</t>
        </is>
      </c>
      <c r="B2876" s="1" t="n">
        <v>45183</v>
      </c>
      <c r="C2876" s="1" t="n">
        <v>45260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43283-2023</t>
        </is>
      </c>
      <c r="B2877" s="1" t="n">
        <v>45183</v>
      </c>
      <c r="C2877" s="1" t="n">
        <v>45260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43191-2023</t>
        </is>
      </c>
      <c r="B2878" s="1" t="n">
        <v>45183</v>
      </c>
      <c r="C2878" s="1" t="n">
        <v>45260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43236-2023</t>
        </is>
      </c>
      <c r="B2879" s="1" t="n">
        <v>45183</v>
      </c>
      <c r="C2879" s="1" t="n">
        <v>45260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43242-2023</t>
        </is>
      </c>
      <c r="B2880" s="1" t="n">
        <v>45183</v>
      </c>
      <c r="C2880" s="1" t="n">
        <v>45260</v>
      </c>
      <c r="D2880" t="inlineStr">
        <is>
          <t>VÄSTERNORRLANDS LÄN</t>
        </is>
      </c>
      <c r="E2880" t="inlineStr">
        <is>
          <t>ÖRNSKÖLDSVIK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43325-2023</t>
        </is>
      </c>
      <c r="B2881" s="1" t="n">
        <v>45183</v>
      </c>
      <c r="C2881" s="1" t="n">
        <v>45260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43282-2023</t>
        </is>
      </c>
      <c r="B2882" s="1" t="n">
        <v>45183</v>
      </c>
      <c r="C2882" s="1" t="n">
        <v>45260</v>
      </c>
      <c r="D2882" t="inlineStr">
        <is>
          <t>VÄSTERNORRLANDS LÄN</t>
        </is>
      </c>
      <c r="E2882" t="inlineStr">
        <is>
          <t>ÖRNSKÖLDSVIK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43334-2023</t>
        </is>
      </c>
      <c r="B2883" s="1" t="n">
        <v>45183</v>
      </c>
      <c r="C2883" s="1" t="n">
        <v>45260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43245-2023</t>
        </is>
      </c>
      <c r="B2884" s="1" t="n">
        <v>45183</v>
      </c>
      <c r="C2884" s="1" t="n">
        <v>45260</v>
      </c>
      <c r="D2884" t="inlineStr">
        <is>
          <t>VÄSTERNORRLANDS LÄN</t>
        </is>
      </c>
      <c r="E2884" t="inlineStr">
        <is>
          <t>ÖRNSKÖLDSVIK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43427-2023</t>
        </is>
      </c>
      <c r="B2885" s="1" t="n">
        <v>45184</v>
      </c>
      <c r="C2885" s="1" t="n">
        <v>45260</v>
      </c>
      <c r="D2885" t="inlineStr">
        <is>
          <t>VÄSTERNORRLANDS LÄN</t>
        </is>
      </c>
      <c r="E2885" t="inlineStr">
        <is>
          <t>ÖRNSKÖLDSVIK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43597-2023</t>
        </is>
      </c>
      <c r="B2886" s="1" t="n">
        <v>45184</v>
      </c>
      <c r="C2886" s="1" t="n">
        <v>45260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43617-2023</t>
        </is>
      </c>
      <c r="B2887" s="1" t="n">
        <v>45184</v>
      </c>
      <c r="C2887" s="1" t="n">
        <v>45260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43664-2023</t>
        </is>
      </c>
      <c r="B2888" s="1" t="n">
        <v>45187</v>
      </c>
      <c r="C2888" s="1" t="n">
        <v>45260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43672-2023</t>
        </is>
      </c>
      <c r="B2889" s="1" t="n">
        <v>45187</v>
      </c>
      <c r="C2889" s="1" t="n">
        <v>45260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43733-2023</t>
        </is>
      </c>
      <c r="B2890" s="1" t="n">
        <v>45187</v>
      </c>
      <c r="C2890" s="1" t="n">
        <v>45260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43691-2023</t>
        </is>
      </c>
      <c r="B2891" s="1" t="n">
        <v>45187</v>
      </c>
      <c r="C2891" s="1" t="n">
        <v>45260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43909-2023</t>
        </is>
      </c>
      <c r="B2892" s="1" t="n">
        <v>45187</v>
      </c>
      <c r="C2892" s="1" t="n">
        <v>45260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43913-2023</t>
        </is>
      </c>
      <c r="B2893" s="1" t="n">
        <v>45187</v>
      </c>
      <c r="C2893" s="1" t="n">
        <v>45260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43985-2023</t>
        </is>
      </c>
      <c r="B2894" s="1" t="n">
        <v>45187</v>
      </c>
      <c r="C2894" s="1" t="n">
        <v>45260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43986-2023</t>
        </is>
      </c>
      <c r="B2895" s="1" t="n">
        <v>45187</v>
      </c>
      <c r="C2895" s="1" t="n">
        <v>45260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43966-2023</t>
        </is>
      </c>
      <c r="B2896" s="1" t="n">
        <v>45188</v>
      </c>
      <c r="C2896" s="1" t="n">
        <v>45260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44037-2023</t>
        </is>
      </c>
      <c r="B2897" s="1" t="n">
        <v>45188</v>
      </c>
      <c r="C2897" s="1" t="n">
        <v>45260</v>
      </c>
      <c r="D2897" t="inlineStr">
        <is>
          <t>VÄSTERNORRLANDS LÄN</t>
        </is>
      </c>
      <c r="E2897" t="inlineStr">
        <is>
          <t>ÖRNSKÖLDSVIK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44210-2023</t>
        </is>
      </c>
      <c r="B2898" s="1" t="n">
        <v>45188</v>
      </c>
      <c r="C2898" s="1" t="n">
        <v>45260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44288-2023</t>
        </is>
      </c>
      <c r="B2899" s="1" t="n">
        <v>45188</v>
      </c>
      <c r="C2899" s="1" t="n">
        <v>45260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44165-2023</t>
        </is>
      </c>
      <c r="B2900" s="1" t="n">
        <v>45188</v>
      </c>
      <c r="C2900" s="1" t="n">
        <v>45260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44236-2023</t>
        </is>
      </c>
      <c r="B2901" s="1" t="n">
        <v>45188</v>
      </c>
      <c r="C2901" s="1" t="n">
        <v>45260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44258-2023</t>
        </is>
      </c>
      <c r="B2902" s="1" t="n">
        <v>45188</v>
      </c>
      <c r="C2902" s="1" t="n">
        <v>45260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44275-2023</t>
        </is>
      </c>
      <c r="B2903" s="1" t="n">
        <v>45188</v>
      </c>
      <c r="C2903" s="1" t="n">
        <v>45260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44160-2023</t>
        </is>
      </c>
      <c r="B2904" s="1" t="n">
        <v>45188</v>
      </c>
      <c r="C2904" s="1" t="n">
        <v>45260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44202-2023</t>
        </is>
      </c>
      <c r="B2905" s="1" t="n">
        <v>45188</v>
      </c>
      <c r="C2905" s="1" t="n">
        <v>45260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44348-2023</t>
        </is>
      </c>
      <c r="B2906" s="1" t="n">
        <v>45188</v>
      </c>
      <c r="C2906" s="1" t="n">
        <v>45260</v>
      </c>
      <c r="D2906" t="inlineStr">
        <is>
          <t>VÄSTERNORRLANDS LÄN</t>
        </is>
      </c>
      <c r="E2906" t="inlineStr">
        <is>
          <t>ÖRNSKÖLDSVIK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45590-2023</t>
        </is>
      </c>
      <c r="B2907" s="1" t="n">
        <v>45188</v>
      </c>
      <c r="C2907" s="1" t="n">
        <v>45260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44500-2023</t>
        </is>
      </c>
      <c r="B2908" s="1" t="n">
        <v>45189</v>
      </c>
      <c r="C2908" s="1" t="n">
        <v>45260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44522-2023</t>
        </is>
      </c>
      <c r="B2909" s="1" t="n">
        <v>45189</v>
      </c>
      <c r="C2909" s="1" t="n">
        <v>45260</v>
      </c>
      <c r="D2909" t="inlineStr">
        <is>
          <t>VÄSTERNORRLANDS LÄN</t>
        </is>
      </c>
      <c r="E2909" t="inlineStr">
        <is>
          <t>ÖRNSKÖLDSVIK</t>
        </is>
      </c>
      <c r="G2909" t="n">
        <v>22.6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44574-2023</t>
        </is>
      </c>
      <c r="B2910" s="1" t="n">
        <v>45189</v>
      </c>
      <c r="C2910" s="1" t="n">
        <v>45260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44525-2023</t>
        </is>
      </c>
      <c r="B2911" s="1" t="n">
        <v>45189</v>
      </c>
      <c r="C2911" s="1" t="n">
        <v>45260</v>
      </c>
      <c r="D2911" t="inlineStr">
        <is>
          <t>VÄSTERNORRLANDS LÄN</t>
        </is>
      </c>
      <c r="E2911" t="inlineStr">
        <is>
          <t>ÖRNSKÖLDSVIK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45704-2023</t>
        </is>
      </c>
      <c r="B2912" s="1" t="n">
        <v>45189</v>
      </c>
      <c r="C2912" s="1" t="n">
        <v>45260</v>
      </c>
      <c r="D2912" t="inlineStr">
        <is>
          <t>VÄSTERNORRLANDS LÄN</t>
        </is>
      </c>
      <c r="E2912" t="inlineStr">
        <is>
          <t>ÖRNSKÖLDSVIK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45784-2023</t>
        </is>
      </c>
      <c r="B2913" s="1" t="n">
        <v>45189</v>
      </c>
      <c r="C2913" s="1" t="n">
        <v>45260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45815-2023</t>
        </is>
      </c>
      <c r="B2914" s="1" t="n">
        <v>45189</v>
      </c>
      <c r="C2914" s="1" t="n">
        <v>45260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45824-2023</t>
        </is>
      </c>
      <c r="B2915" s="1" t="n">
        <v>45189</v>
      </c>
      <c r="C2915" s="1" t="n">
        <v>45260</v>
      </c>
      <c r="D2915" t="inlineStr">
        <is>
          <t>VÄSTERNORRLANDS LÄN</t>
        </is>
      </c>
      <c r="E2915" t="inlineStr">
        <is>
          <t>ÖRNSKÖLDSVIK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44492-2023</t>
        </is>
      </c>
      <c r="B2916" s="1" t="n">
        <v>45189</v>
      </c>
      <c r="C2916" s="1" t="n">
        <v>45260</v>
      </c>
      <c r="D2916" t="inlineStr">
        <is>
          <t>VÄSTERNORRLANDS LÄN</t>
        </is>
      </c>
      <c r="E2916" t="inlineStr">
        <is>
          <t>ÖRNSKÖLDSVIK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44498-2023</t>
        </is>
      </c>
      <c r="B2917" s="1" t="n">
        <v>45189</v>
      </c>
      <c r="C2917" s="1" t="n">
        <v>45260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44591-2023</t>
        </is>
      </c>
      <c r="B2918" s="1" t="n">
        <v>45189</v>
      </c>
      <c r="C2918" s="1" t="n">
        <v>45260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45820-2023</t>
        </is>
      </c>
      <c r="B2919" s="1" t="n">
        <v>45189</v>
      </c>
      <c r="C2919" s="1" t="n">
        <v>45260</v>
      </c>
      <c r="D2919" t="inlineStr">
        <is>
          <t>VÄSTERNORRLANDS LÄN</t>
        </is>
      </c>
      <c r="E2919" t="inlineStr">
        <is>
          <t>ÖRNSKÖLDSVIK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44687-2023</t>
        </is>
      </c>
      <c r="B2920" s="1" t="n">
        <v>45189</v>
      </c>
      <c r="C2920" s="1" t="n">
        <v>45260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45715-2023</t>
        </is>
      </c>
      <c r="B2921" s="1" t="n">
        <v>45189</v>
      </c>
      <c r="C2921" s="1" t="n">
        <v>45260</v>
      </c>
      <c r="D2921" t="inlineStr">
        <is>
          <t>VÄSTERNORRLANDS LÄN</t>
        </is>
      </c>
      <c r="E2921" t="inlineStr">
        <is>
          <t>ÖRNSKÖLDSVIK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45773-2023</t>
        </is>
      </c>
      <c r="B2922" s="1" t="n">
        <v>45189</v>
      </c>
      <c r="C2922" s="1" t="n">
        <v>45260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44727-2023</t>
        </is>
      </c>
      <c r="B2923" s="1" t="n">
        <v>45190</v>
      </c>
      <c r="C2923" s="1" t="n">
        <v>45260</v>
      </c>
      <c r="D2923" t="inlineStr">
        <is>
          <t>VÄSTERNORRLANDS LÄN</t>
        </is>
      </c>
      <c r="E2923" t="inlineStr">
        <is>
          <t>ÖRNSKÖLDSVIK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44726-2023</t>
        </is>
      </c>
      <c r="B2924" s="1" t="n">
        <v>45190</v>
      </c>
      <c r="C2924" s="1" t="n">
        <v>45260</v>
      </c>
      <c r="D2924" t="inlineStr">
        <is>
          <t>VÄSTERNORRLANDS LÄN</t>
        </is>
      </c>
      <c r="E2924" t="inlineStr">
        <is>
          <t>ÖRNSKÖLDSVIK</t>
        </is>
      </c>
      <c r="G2924" t="n">
        <v>15.9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44861-2023</t>
        </is>
      </c>
      <c r="B2925" s="1" t="n">
        <v>45190</v>
      </c>
      <c r="C2925" s="1" t="n">
        <v>45260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44873-2023</t>
        </is>
      </c>
      <c r="B2926" s="1" t="n">
        <v>45190</v>
      </c>
      <c r="C2926" s="1" t="n">
        <v>45260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44945-2023</t>
        </is>
      </c>
      <c r="B2927" s="1" t="n">
        <v>45190</v>
      </c>
      <c r="C2927" s="1" t="n">
        <v>45260</v>
      </c>
      <c r="D2927" t="inlineStr">
        <is>
          <t>VÄSTERNORRLANDS LÄN</t>
        </is>
      </c>
      <c r="E2927" t="inlineStr">
        <is>
          <t>ÖRNSKÖLDSVIK</t>
        </is>
      </c>
      <c r="G2927" t="n">
        <v>10.2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45067-2023</t>
        </is>
      </c>
      <c r="B2928" s="1" t="n">
        <v>45191</v>
      </c>
      <c r="C2928" s="1" t="n">
        <v>45260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45105-2023</t>
        </is>
      </c>
      <c r="B2929" s="1" t="n">
        <v>45191</v>
      </c>
      <c r="C2929" s="1" t="n">
        <v>45260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46225-2023</t>
        </is>
      </c>
      <c r="B2930" s="1" t="n">
        <v>45191</v>
      </c>
      <c r="C2930" s="1" t="n">
        <v>45260</v>
      </c>
      <c r="D2930" t="inlineStr">
        <is>
          <t>VÄSTERNORRLANDS LÄN</t>
        </is>
      </c>
      <c r="E2930" t="inlineStr">
        <is>
          <t>ÖRNSKÖLDSVIK</t>
        </is>
      </c>
      <c r="G2930" t="n">
        <v>6.9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45362-2023</t>
        </is>
      </c>
      <c r="B2931" s="1" t="n">
        <v>45192</v>
      </c>
      <c r="C2931" s="1" t="n">
        <v>45260</v>
      </c>
      <c r="D2931" t="inlineStr">
        <is>
          <t>VÄSTERNORRLANDS LÄN</t>
        </is>
      </c>
      <c r="E2931" t="inlineStr">
        <is>
          <t>ÖRNSKÖLDSVIK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45363-2023</t>
        </is>
      </c>
      <c r="B2932" s="1" t="n">
        <v>45192</v>
      </c>
      <c r="C2932" s="1" t="n">
        <v>45260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45560-2023</t>
        </is>
      </c>
      <c r="B2933" s="1" t="n">
        <v>45194</v>
      </c>
      <c r="C2933" s="1" t="n">
        <v>45260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45619-2023</t>
        </is>
      </c>
      <c r="B2934" s="1" t="n">
        <v>45194</v>
      </c>
      <c r="C2934" s="1" t="n">
        <v>45260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45610-2023</t>
        </is>
      </c>
      <c r="B2935" s="1" t="n">
        <v>45194</v>
      </c>
      <c r="C2935" s="1" t="n">
        <v>45260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46481-2023</t>
        </is>
      </c>
      <c r="B2936" s="1" t="n">
        <v>45194</v>
      </c>
      <c r="C2936" s="1" t="n">
        <v>45260</v>
      </c>
      <c r="D2936" t="inlineStr">
        <is>
          <t>VÄSTERNORRLANDS LÄN</t>
        </is>
      </c>
      <c r="E2936" t="inlineStr">
        <is>
          <t>ÖRNSKÖLDSVIK</t>
        </is>
      </c>
      <c r="G2936" t="n">
        <v>18.8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45676-2023</t>
        </is>
      </c>
      <c r="B2937" s="1" t="n">
        <v>45195</v>
      </c>
      <c r="C2937" s="1" t="n">
        <v>45260</v>
      </c>
      <c r="D2937" t="inlineStr">
        <is>
          <t>VÄSTERNORRLANDS LÄN</t>
        </is>
      </c>
      <c r="E2937" t="inlineStr">
        <is>
          <t>ÖRNSKÖLDSVIK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45794-2023</t>
        </is>
      </c>
      <c r="B2938" s="1" t="n">
        <v>45195</v>
      </c>
      <c r="C2938" s="1" t="n">
        <v>45260</v>
      </c>
      <c r="D2938" t="inlineStr">
        <is>
          <t>VÄSTERNORRLANDS LÄN</t>
        </is>
      </c>
      <c r="E2938" t="inlineStr">
        <is>
          <t>ÖRNSKÖLDSVIK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45945-2023</t>
        </is>
      </c>
      <c r="B2939" s="1" t="n">
        <v>45195</v>
      </c>
      <c r="C2939" s="1" t="n">
        <v>45260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45914-2023</t>
        </is>
      </c>
      <c r="B2940" s="1" t="n">
        <v>45195</v>
      </c>
      <c r="C2940" s="1" t="n">
        <v>45260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45966-2023</t>
        </is>
      </c>
      <c r="B2941" s="1" t="n">
        <v>45195</v>
      </c>
      <c r="C2941" s="1" t="n">
        <v>45260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45942-2023</t>
        </is>
      </c>
      <c r="B2942" s="1" t="n">
        <v>45195</v>
      </c>
      <c r="C2942" s="1" t="n">
        <v>45260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46958-2023</t>
        </is>
      </c>
      <c r="B2943" s="1" t="n">
        <v>45195</v>
      </c>
      <c r="C2943" s="1" t="n">
        <v>45260</v>
      </c>
      <c r="D2943" t="inlineStr">
        <is>
          <t>VÄSTERNORRLANDS LÄN</t>
        </is>
      </c>
      <c r="E2943" t="inlineStr">
        <is>
          <t>ÖRNSKÖLDSVIK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45797-2023</t>
        </is>
      </c>
      <c r="B2944" s="1" t="n">
        <v>45195</v>
      </c>
      <c r="C2944" s="1" t="n">
        <v>45260</v>
      </c>
      <c r="D2944" t="inlineStr">
        <is>
          <t>VÄSTERNORRLANDS LÄN</t>
        </is>
      </c>
      <c r="E2944" t="inlineStr">
        <is>
          <t>ÖRNSKÖLDSVIK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45944-2023</t>
        </is>
      </c>
      <c r="B2945" s="1" t="n">
        <v>45195</v>
      </c>
      <c r="C2945" s="1" t="n">
        <v>45260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45943-2023</t>
        </is>
      </c>
      <c r="B2946" s="1" t="n">
        <v>45195</v>
      </c>
      <c r="C2946" s="1" t="n">
        <v>45260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46142-2023</t>
        </is>
      </c>
      <c r="B2947" s="1" t="n">
        <v>45196</v>
      </c>
      <c r="C2947" s="1" t="n">
        <v>45260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47330-2023</t>
        </is>
      </c>
      <c r="B2948" s="1" t="n">
        <v>45196</v>
      </c>
      <c r="C2948" s="1" t="n">
        <v>45260</v>
      </c>
      <c r="D2948" t="inlineStr">
        <is>
          <t>VÄSTERNORRLANDS LÄN</t>
        </is>
      </c>
      <c r="E2948" t="inlineStr">
        <is>
          <t>ÖRNSKÖLDSVIK</t>
        </is>
      </c>
      <c r="G2948" t="n">
        <v>12.7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47334-2023</t>
        </is>
      </c>
      <c r="B2949" s="1" t="n">
        <v>45196</v>
      </c>
      <c r="C2949" s="1" t="n">
        <v>45260</v>
      </c>
      <c r="D2949" t="inlineStr">
        <is>
          <t>VÄSTERNORRLANDS LÄN</t>
        </is>
      </c>
      <c r="E2949" t="inlineStr">
        <is>
          <t>ÖRNSKÖLDSVIK</t>
        </is>
      </c>
      <c r="G2949" t="n">
        <v>8.699999999999999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47342-2023</t>
        </is>
      </c>
      <c r="B2950" s="1" t="n">
        <v>45196</v>
      </c>
      <c r="C2950" s="1" t="n">
        <v>45260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47348-2023</t>
        </is>
      </c>
      <c r="B2951" s="1" t="n">
        <v>45196</v>
      </c>
      <c r="C2951" s="1" t="n">
        <v>45260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46284-2023</t>
        </is>
      </c>
      <c r="B2952" s="1" t="n">
        <v>45197</v>
      </c>
      <c r="C2952" s="1" t="n">
        <v>45260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46307-2023</t>
        </is>
      </c>
      <c r="B2953" s="1" t="n">
        <v>45197</v>
      </c>
      <c r="C2953" s="1" t="n">
        <v>45260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46428-2023</t>
        </is>
      </c>
      <c r="B2954" s="1" t="n">
        <v>45197</v>
      </c>
      <c r="C2954" s="1" t="n">
        <v>45260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46519-2023</t>
        </is>
      </c>
      <c r="B2955" s="1" t="n">
        <v>45197</v>
      </c>
      <c r="C2955" s="1" t="n">
        <v>45260</v>
      </c>
      <c r="D2955" t="inlineStr">
        <is>
          <t>VÄSTERNORRLANDS LÄN</t>
        </is>
      </c>
      <c r="E2955" t="inlineStr">
        <is>
          <t>ÖRNSKÖLDSVIK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46324-2023</t>
        </is>
      </c>
      <c r="B2956" s="1" t="n">
        <v>45197</v>
      </c>
      <c r="C2956" s="1" t="n">
        <v>45260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46295-2023</t>
        </is>
      </c>
      <c r="B2957" s="1" t="n">
        <v>45197</v>
      </c>
      <c r="C2957" s="1" t="n">
        <v>45260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47582-2023</t>
        </is>
      </c>
      <c r="B2958" s="1" t="n">
        <v>45197</v>
      </c>
      <c r="C2958" s="1" t="n">
        <v>45260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47511-2023</t>
        </is>
      </c>
      <c r="B2959" s="1" t="n">
        <v>45197</v>
      </c>
      <c r="C2959" s="1" t="n">
        <v>45260</v>
      </c>
      <c r="D2959" t="inlineStr">
        <is>
          <t>VÄSTERNORRLANDS LÄN</t>
        </is>
      </c>
      <c r="E2959" t="inlineStr">
        <is>
          <t>ÖRNSKÖLDSVIK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47598-2023</t>
        </is>
      </c>
      <c r="B2960" s="1" t="n">
        <v>45197</v>
      </c>
      <c r="C2960" s="1" t="n">
        <v>45260</v>
      </c>
      <c r="D2960" t="inlineStr">
        <is>
          <t>VÄSTERNORRLANDS LÄN</t>
        </is>
      </c>
      <c r="E2960" t="inlineStr">
        <is>
          <t>ÖRNSKÖLDSVIK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45260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47588-2023</t>
        </is>
      </c>
      <c r="B2962" s="1" t="n">
        <v>45197</v>
      </c>
      <c r="C2962" s="1" t="n">
        <v>45260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47514-2023</t>
        </is>
      </c>
      <c r="B2963" s="1" t="n">
        <v>45197</v>
      </c>
      <c r="C2963" s="1" t="n">
        <v>45260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46716-2023</t>
        </is>
      </c>
      <c r="B2964" s="1" t="n">
        <v>45198</v>
      </c>
      <c r="C2964" s="1" t="n">
        <v>45260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46821-2023</t>
        </is>
      </c>
      <c r="B2965" s="1" t="n">
        <v>45198</v>
      </c>
      <c r="C2965" s="1" t="n">
        <v>45260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4.8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47109-2023</t>
        </is>
      </c>
      <c r="B2966" s="1" t="n">
        <v>45201</v>
      </c>
      <c r="C2966" s="1" t="n">
        <v>45260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47171-2023</t>
        </is>
      </c>
      <c r="B2967" s="1" t="n">
        <v>45201</v>
      </c>
      <c r="C2967" s="1" t="n">
        <v>45260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47164-2023</t>
        </is>
      </c>
      <c r="B2968" s="1" t="n">
        <v>45201</v>
      </c>
      <c r="C2968" s="1" t="n">
        <v>45260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46974-2023</t>
        </is>
      </c>
      <c r="B2969" s="1" t="n">
        <v>45201</v>
      </c>
      <c r="C2969" s="1" t="n">
        <v>45260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46996-2023</t>
        </is>
      </c>
      <c r="B2970" s="1" t="n">
        <v>45201</v>
      </c>
      <c r="C2970" s="1" t="n">
        <v>45260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47072-2023</t>
        </is>
      </c>
      <c r="B2971" s="1" t="n">
        <v>45201</v>
      </c>
      <c r="C2971" s="1" t="n">
        <v>45260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46950-2023</t>
        </is>
      </c>
      <c r="B2972" s="1" t="n">
        <v>45201</v>
      </c>
      <c r="C2972" s="1" t="n">
        <v>45260</v>
      </c>
      <c r="D2972" t="inlineStr">
        <is>
          <t>VÄSTERNORRLANDS LÄN</t>
        </is>
      </c>
      <c r="E2972" t="inlineStr">
        <is>
          <t>ÖRNSKÖLDSVIK</t>
        </is>
      </c>
      <c r="G2972" t="n">
        <v>4.8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46976-2023</t>
        </is>
      </c>
      <c r="B2973" s="1" t="n">
        <v>45201</v>
      </c>
      <c r="C2973" s="1" t="n">
        <v>45260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46988-2023</t>
        </is>
      </c>
      <c r="B2974" s="1" t="n">
        <v>45201</v>
      </c>
      <c r="C2974" s="1" t="n">
        <v>45260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48308-2023</t>
        </is>
      </c>
      <c r="B2975" s="1" t="n">
        <v>45201</v>
      </c>
      <c r="C2975" s="1" t="n">
        <v>45260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48323-2023</t>
        </is>
      </c>
      <c r="B2976" s="1" t="n">
        <v>45201</v>
      </c>
      <c r="C2976" s="1" t="n">
        <v>45260</v>
      </c>
      <c r="D2976" t="inlineStr">
        <is>
          <t>VÄSTERNORRLANDS LÄN</t>
        </is>
      </c>
      <c r="E2976" t="inlineStr">
        <is>
          <t>ÖRNSKÖLDSVIK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47190-2023</t>
        </is>
      </c>
      <c r="B2977" s="1" t="n">
        <v>45202</v>
      </c>
      <c r="C2977" s="1" t="n">
        <v>45260</v>
      </c>
      <c r="D2977" t="inlineStr">
        <is>
          <t>VÄSTERNORRLANDS LÄN</t>
        </is>
      </c>
      <c r="E2977" t="inlineStr">
        <is>
          <t>ÖRNSKÖLDSVIK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47378-2023</t>
        </is>
      </c>
      <c r="B2978" s="1" t="n">
        <v>45202</v>
      </c>
      <c r="C2978" s="1" t="n">
        <v>45260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48653-2023</t>
        </is>
      </c>
      <c r="B2979" s="1" t="n">
        <v>45202</v>
      </c>
      <c r="C2979" s="1" t="n">
        <v>45260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48617-2023</t>
        </is>
      </c>
      <c r="B2980" s="1" t="n">
        <v>45202</v>
      </c>
      <c r="C2980" s="1" t="n">
        <v>45260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47508-2023</t>
        </is>
      </c>
      <c r="B2981" s="1" t="n">
        <v>45203</v>
      </c>
      <c r="C2981" s="1" t="n">
        <v>45260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47555-2023</t>
        </is>
      </c>
      <c r="B2982" s="1" t="n">
        <v>45203</v>
      </c>
      <c r="C2982" s="1" t="n">
        <v>45260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47560-2023</t>
        </is>
      </c>
      <c r="B2983" s="1" t="n">
        <v>45203</v>
      </c>
      <c r="C2983" s="1" t="n">
        <v>45260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47614-2023</t>
        </is>
      </c>
      <c r="B2984" s="1" t="n">
        <v>45203</v>
      </c>
      <c r="C2984" s="1" t="n">
        <v>45260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47590-2023</t>
        </is>
      </c>
      <c r="B2985" s="1" t="n">
        <v>45203</v>
      </c>
      <c r="C2985" s="1" t="n">
        <v>45260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47677-2023</t>
        </is>
      </c>
      <c r="B2986" s="1" t="n">
        <v>45203</v>
      </c>
      <c r="C2986" s="1" t="n">
        <v>45260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47667-2023</t>
        </is>
      </c>
      <c r="B2987" s="1" t="n">
        <v>45203</v>
      </c>
      <c r="C2987" s="1" t="n">
        <v>45260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47757-2023</t>
        </is>
      </c>
      <c r="B2988" s="1" t="n">
        <v>45203</v>
      </c>
      <c r="C2988" s="1" t="n">
        <v>45260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47755-2023</t>
        </is>
      </c>
      <c r="B2989" s="1" t="n">
        <v>45203</v>
      </c>
      <c r="C2989" s="1" t="n">
        <v>45260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47563-2023</t>
        </is>
      </c>
      <c r="B2990" s="1" t="n">
        <v>45203</v>
      </c>
      <c r="C2990" s="1" t="n">
        <v>45260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47654-2023</t>
        </is>
      </c>
      <c r="B2991" s="1" t="n">
        <v>45203</v>
      </c>
      <c r="C2991" s="1" t="n">
        <v>45260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47718-2023</t>
        </is>
      </c>
      <c r="B2992" s="1" t="n">
        <v>45203</v>
      </c>
      <c r="C2992" s="1" t="n">
        <v>45260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47752-2023</t>
        </is>
      </c>
      <c r="B2993" s="1" t="n">
        <v>45203</v>
      </c>
      <c r="C2993" s="1" t="n">
        <v>45260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47798-2023</t>
        </is>
      </c>
      <c r="B2994" s="1" t="n">
        <v>45203</v>
      </c>
      <c r="C2994" s="1" t="n">
        <v>45260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48720-2023</t>
        </is>
      </c>
      <c r="B2995" s="1" t="n">
        <v>45203</v>
      </c>
      <c r="C2995" s="1" t="n">
        <v>45260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48715-2023</t>
        </is>
      </c>
      <c r="B2996" s="1" t="n">
        <v>45203</v>
      </c>
      <c r="C2996" s="1" t="n">
        <v>45260</v>
      </c>
      <c r="D2996" t="inlineStr">
        <is>
          <t>VÄSTERNORRLANDS LÄN</t>
        </is>
      </c>
      <c r="E2996" t="inlineStr">
        <is>
          <t>ÖRNSKÖLDSVIK</t>
        </is>
      </c>
      <c r="G2996" t="n">
        <v>8.1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47810-2023</t>
        </is>
      </c>
      <c r="B2997" s="1" t="n">
        <v>45204</v>
      </c>
      <c r="C2997" s="1" t="n">
        <v>45260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47837-2023</t>
        </is>
      </c>
      <c r="B2998" s="1" t="n">
        <v>45204</v>
      </c>
      <c r="C2998" s="1" t="n">
        <v>45260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47930-2023</t>
        </is>
      </c>
      <c r="B2999" s="1" t="n">
        <v>45204</v>
      </c>
      <c r="C2999" s="1" t="n">
        <v>45260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48009-2023</t>
        </is>
      </c>
      <c r="B3000" s="1" t="n">
        <v>45204</v>
      </c>
      <c r="C3000" s="1" t="n">
        <v>45260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48007-2023</t>
        </is>
      </c>
      <c r="B3001" s="1" t="n">
        <v>45204</v>
      </c>
      <c r="C3001" s="1" t="n">
        <v>45260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48082-2023</t>
        </is>
      </c>
      <c r="B3002" s="1" t="n">
        <v>45204</v>
      </c>
      <c r="C3002" s="1" t="n">
        <v>45260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SCA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47861-2023</t>
        </is>
      </c>
      <c r="B3003" s="1" t="n">
        <v>45204</v>
      </c>
      <c r="C3003" s="1" t="n">
        <v>45260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48001-2023</t>
        </is>
      </c>
      <c r="B3004" s="1" t="n">
        <v>45204</v>
      </c>
      <c r="C3004" s="1" t="n">
        <v>45260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48010-2023</t>
        </is>
      </c>
      <c r="B3005" s="1" t="n">
        <v>45204</v>
      </c>
      <c r="C3005" s="1" t="n">
        <v>45260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48056-2023</t>
        </is>
      </c>
      <c r="B3006" s="1" t="n">
        <v>45205</v>
      </c>
      <c r="C3006" s="1" t="n">
        <v>45260</v>
      </c>
      <c r="D3006" t="inlineStr">
        <is>
          <t>VÄSTERNORRLANDS LÄN</t>
        </is>
      </c>
      <c r="E3006" t="inlineStr">
        <is>
          <t>ÖRNSKÖLDSVIK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49075-2023</t>
        </is>
      </c>
      <c r="B3007" s="1" t="n">
        <v>45204</v>
      </c>
      <c r="C3007" s="1" t="n">
        <v>45260</v>
      </c>
      <c r="D3007" t="inlineStr">
        <is>
          <t>VÄSTERNORRLANDS LÄN</t>
        </is>
      </c>
      <c r="E3007" t="inlineStr">
        <is>
          <t>ÖRNSKÖLDSVIK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49087-2023</t>
        </is>
      </c>
      <c r="B3008" s="1" t="n">
        <v>45204</v>
      </c>
      <c r="C3008" s="1" t="n">
        <v>45260</v>
      </c>
      <c r="D3008" t="inlineStr">
        <is>
          <t>VÄSTERNORRLANDS LÄN</t>
        </is>
      </c>
      <c r="E3008" t="inlineStr">
        <is>
          <t>ÖRNSKÖLDSVIK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48913-2023</t>
        </is>
      </c>
      <c r="B3009" s="1" t="n">
        <v>45204</v>
      </c>
      <c r="C3009" s="1" t="n">
        <v>45260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48098-2023</t>
        </is>
      </c>
      <c r="B3010" s="1" t="n">
        <v>45205</v>
      </c>
      <c r="C3010" s="1" t="n">
        <v>45260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48115-2023</t>
        </is>
      </c>
      <c r="B3011" s="1" t="n">
        <v>45205</v>
      </c>
      <c r="C3011" s="1" t="n">
        <v>45260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48134-2023</t>
        </is>
      </c>
      <c r="B3012" s="1" t="n">
        <v>45205</v>
      </c>
      <c r="C3012" s="1" t="n">
        <v>45260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48127-2023</t>
        </is>
      </c>
      <c r="B3013" s="1" t="n">
        <v>45205</v>
      </c>
      <c r="C3013" s="1" t="n">
        <v>45260</v>
      </c>
      <c r="D3013" t="inlineStr">
        <is>
          <t>VÄSTERNORRLANDS LÄN</t>
        </is>
      </c>
      <c r="E3013" t="inlineStr">
        <is>
          <t>ÖRNSKÖLDSVIK</t>
        </is>
      </c>
      <c r="G3013" t="n">
        <v>5.8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48191-2023</t>
        </is>
      </c>
      <c r="B3014" s="1" t="n">
        <v>45205</v>
      </c>
      <c r="C3014" s="1" t="n">
        <v>45260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48218-2023</t>
        </is>
      </c>
      <c r="B3015" s="1" t="n">
        <v>45205</v>
      </c>
      <c r="C3015" s="1" t="n">
        <v>45260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48202-2023</t>
        </is>
      </c>
      <c r="B3016" s="1" t="n">
        <v>45205</v>
      </c>
      <c r="C3016" s="1" t="n">
        <v>45260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48215-2023</t>
        </is>
      </c>
      <c r="B3017" s="1" t="n">
        <v>45205</v>
      </c>
      <c r="C3017" s="1" t="n">
        <v>45260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48189-2023</t>
        </is>
      </c>
      <c r="B3018" s="1" t="n">
        <v>45205</v>
      </c>
      <c r="C3018" s="1" t="n">
        <v>45260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48199-2023</t>
        </is>
      </c>
      <c r="B3019" s="1" t="n">
        <v>45205</v>
      </c>
      <c r="C3019" s="1" t="n">
        <v>45260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48239-2023</t>
        </is>
      </c>
      <c r="B3020" s="1" t="n">
        <v>45205</v>
      </c>
      <c r="C3020" s="1" t="n">
        <v>45260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48441-2023</t>
        </is>
      </c>
      <c r="B3021" s="1" t="n">
        <v>45205</v>
      </c>
      <c r="C3021" s="1" t="n">
        <v>45260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7.7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48436-2023</t>
        </is>
      </c>
      <c r="B3022" s="1" t="n">
        <v>45205</v>
      </c>
      <c r="C3022" s="1" t="n">
        <v>45260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8.5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49435-2023</t>
        </is>
      </c>
      <c r="B3023" s="1" t="n">
        <v>45205</v>
      </c>
      <c r="C3023" s="1" t="n">
        <v>45260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48439-2023</t>
        </is>
      </c>
      <c r="B3024" s="1" t="n">
        <v>45205</v>
      </c>
      <c r="C3024" s="1" t="n">
        <v>45260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48486-2023</t>
        </is>
      </c>
      <c r="B3025" s="1" t="n">
        <v>45206</v>
      </c>
      <c r="C3025" s="1" t="n">
        <v>45260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48487-2023</t>
        </is>
      </c>
      <c r="B3026" s="1" t="n">
        <v>45206</v>
      </c>
      <c r="C3026" s="1" t="n">
        <v>45260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48496-2023</t>
        </is>
      </c>
      <c r="B3027" s="1" t="n">
        <v>45207</v>
      </c>
      <c r="C3027" s="1" t="n">
        <v>45260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48497-2023</t>
        </is>
      </c>
      <c r="B3028" s="1" t="n">
        <v>45207</v>
      </c>
      <c r="C3028" s="1" t="n">
        <v>45260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48498-2023</t>
        </is>
      </c>
      <c r="B3029" s="1" t="n">
        <v>45207</v>
      </c>
      <c r="C3029" s="1" t="n">
        <v>45260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48529-2023</t>
        </is>
      </c>
      <c r="B3030" s="1" t="n">
        <v>45208</v>
      </c>
      <c r="C3030" s="1" t="n">
        <v>45260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48523-2023</t>
        </is>
      </c>
      <c r="B3031" s="1" t="n">
        <v>45208</v>
      </c>
      <c r="C3031" s="1" t="n">
        <v>45260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48537-2023</t>
        </is>
      </c>
      <c r="B3032" s="1" t="n">
        <v>45208</v>
      </c>
      <c r="C3032" s="1" t="n">
        <v>45260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48554-2023</t>
        </is>
      </c>
      <c r="B3033" s="1" t="n">
        <v>45208</v>
      </c>
      <c r="C3033" s="1" t="n">
        <v>45260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48700-2023</t>
        </is>
      </c>
      <c r="B3034" s="1" t="n">
        <v>45208</v>
      </c>
      <c r="C3034" s="1" t="n">
        <v>45260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Övriga Aktiebolag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48704-2023</t>
        </is>
      </c>
      <c r="B3035" s="1" t="n">
        <v>45208</v>
      </c>
      <c r="C3035" s="1" t="n">
        <v>45260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48703-2023</t>
        </is>
      </c>
      <c r="B3036" s="1" t="n">
        <v>45208</v>
      </c>
      <c r="C3036" s="1" t="n">
        <v>45260</v>
      </c>
      <c r="D3036" t="inlineStr">
        <is>
          <t>VÄSTERNORRLANDS LÄN</t>
        </is>
      </c>
      <c r="E3036" t="inlineStr">
        <is>
          <t>ÖRNSKÖLDSVIK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48741-2023</t>
        </is>
      </c>
      <c r="B3037" s="1" t="n">
        <v>45208</v>
      </c>
      <c r="C3037" s="1" t="n">
        <v>45260</v>
      </c>
      <c r="D3037" t="inlineStr">
        <is>
          <t>VÄSTERNORRLANDS LÄN</t>
        </is>
      </c>
      <c r="E3037" t="inlineStr">
        <is>
          <t>ÖRNSKÖLDSVIK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48705-2023</t>
        </is>
      </c>
      <c r="B3038" s="1" t="n">
        <v>45208</v>
      </c>
      <c r="C3038" s="1" t="n">
        <v>45260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48608-2023</t>
        </is>
      </c>
      <c r="B3039" s="1" t="n">
        <v>45208</v>
      </c>
      <c r="C3039" s="1" t="n">
        <v>45260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48666-2023</t>
        </is>
      </c>
      <c r="B3040" s="1" t="n">
        <v>45208</v>
      </c>
      <c r="C3040" s="1" t="n">
        <v>45260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50134-2023</t>
        </is>
      </c>
      <c r="B3041" s="1" t="n">
        <v>45208</v>
      </c>
      <c r="C3041" s="1" t="n">
        <v>45260</v>
      </c>
      <c r="D3041" t="inlineStr">
        <is>
          <t>VÄSTERNORRLANDS LÄN</t>
        </is>
      </c>
      <c r="E3041" t="inlineStr">
        <is>
          <t>ÖRNSKÖLDSVIK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48942-2023</t>
        </is>
      </c>
      <c r="B3042" s="1" t="n">
        <v>45209</v>
      </c>
      <c r="C3042" s="1" t="n">
        <v>45260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48977-2023</t>
        </is>
      </c>
      <c r="B3043" s="1" t="n">
        <v>45209</v>
      </c>
      <c r="C3043" s="1" t="n">
        <v>45260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48979-2023</t>
        </is>
      </c>
      <c r="B3044" s="1" t="n">
        <v>45209</v>
      </c>
      <c r="C3044" s="1" t="n">
        <v>45260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49023-2023</t>
        </is>
      </c>
      <c r="B3045" s="1" t="n">
        <v>45209</v>
      </c>
      <c r="C3045" s="1" t="n">
        <v>45260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49027-2023</t>
        </is>
      </c>
      <c r="B3046" s="1" t="n">
        <v>45209</v>
      </c>
      <c r="C3046" s="1" t="n">
        <v>45260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48993-2023</t>
        </is>
      </c>
      <c r="B3047" s="1" t="n">
        <v>45209</v>
      </c>
      <c r="C3047" s="1" t="n">
        <v>45260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50369-2023</t>
        </is>
      </c>
      <c r="B3048" s="1" t="n">
        <v>45209</v>
      </c>
      <c r="C3048" s="1" t="n">
        <v>45260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50362-2023</t>
        </is>
      </c>
      <c r="B3049" s="1" t="n">
        <v>45209</v>
      </c>
      <c r="C3049" s="1" t="n">
        <v>45260</v>
      </c>
      <c r="D3049" t="inlineStr">
        <is>
          <t>VÄSTERNORRLANDS LÄN</t>
        </is>
      </c>
      <c r="E3049" t="inlineStr">
        <is>
          <t>ÖRNSKÖLDSVIK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49010-2023</t>
        </is>
      </c>
      <c r="B3050" s="1" t="n">
        <v>45209</v>
      </c>
      <c r="C3050" s="1" t="n">
        <v>45260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49076-2023</t>
        </is>
      </c>
      <c r="B3051" s="1" t="n">
        <v>45210</v>
      </c>
      <c r="C3051" s="1" t="n">
        <v>45260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49180-2023</t>
        </is>
      </c>
      <c r="B3052" s="1" t="n">
        <v>45210</v>
      </c>
      <c r="C3052" s="1" t="n">
        <v>45260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49185-2023</t>
        </is>
      </c>
      <c r="B3053" s="1" t="n">
        <v>45210</v>
      </c>
      <c r="C3053" s="1" t="n">
        <v>45260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49051-2023</t>
        </is>
      </c>
      <c r="B3054" s="1" t="n">
        <v>45210</v>
      </c>
      <c r="C3054" s="1" t="n">
        <v>45260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49064-2023</t>
        </is>
      </c>
      <c r="B3055" s="1" t="n">
        <v>45210</v>
      </c>
      <c r="C3055" s="1" t="n">
        <v>45260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49074-2023</t>
        </is>
      </c>
      <c r="B3056" s="1" t="n">
        <v>45210</v>
      </c>
      <c r="C3056" s="1" t="n">
        <v>45260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49239-2023</t>
        </is>
      </c>
      <c r="B3057" s="1" t="n">
        <v>45210</v>
      </c>
      <c r="C3057" s="1" t="n">
        <v>45260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49260-2023</t>
        </is>
      </c>
      <c r="B3058" s="1" t="n">
        <v>45210</v>
      </c>
      <c r="C3058" s="1" t="n">
        <v>45260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49284-2023</t>
        </is>
      </c>
      <c r="B3059" s="1" t="n">
        <v>45210</v>
      </c>
      <c r="C3059" s="1" t="n">
        <v>45260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49287-2023</t>
        </is>
      </c>
      <c r="B3060" s="1" t="n">
        <v>45210</v>
      </c>
      <c r="C3060" s="1" t="n">
        <v>45260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50687-2023</t>
        </is>
      </c>
      <c r="B3061" s="1" t="n">
        <v>45210</v>
      </c>
      <c r="C3061" s="1" t="n">
        <v>45260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49342-2023</t>
        </is>
      </c>
      <c r="B3062" s="1" t="n">
        <v>45211</v>
      </c>
      <c r="C3062" s="1" t="n">
        <v>45260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49374-2023</t>
        </is>
      </c>
      <c r="B3063" s="1" t="n">
        <v>45211</v>
      </c>
      <c r="C3063" s="1" t="n">
        <v>45260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49379-2023</t>
        </is>
      </c>
      <c r="B3064" s="1" t="n">
        <v>45211</v>
      </c>
      <c r="C3064" s="1" t="n">
        <v>45260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49476-2023</t>
        </is>
      </c>
      <c r="B3065" s="1" t="n">
        <v>45211</v>
      </c>
      <c r="C3065" s="1" t="n">
        <v>45260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49469-2023</t>
        </is>
      </c>
      <c r="B3066" s="1" t="n">
        <v>45211</v>
      </c>
      <c r="C3066" s="1" t="n">
        <v>45260</v>
      </c>
      <c r="D3066" t="inlineStr">
        <is>
          <t>VÄSTERNORRLANDS LÄN</t>
        </is>
      </c>
      <c r="E3066" t="inlineStr">
        <is>
          <t>ÖRNSKÖLDSVIK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49504-2023</t>
        </is>
      </c>
      <c r="B3067" s="1" t="n">
        <v>45211</v>
      </c>
      <c r="C3067" s="1" t="n">
        <v>45260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49579-2023</t>
        </is>
      </c>
      <c r="B3068" s="1" t="n">
        <v>45211</v>
      </c>
      <c r="C3068" s="1" t="n">
        <v>45260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49576-2023</t>
        </is>
      </c>
      <c r="B3069" s="1" t="n">
        <v>45211</v>
      </c>
      <c r="C3069" s="1" t="n">
        <v>45260</v>
      </c>
      <c r="D3069" t="inlineStr">
        <is>
          <t>VÄSTERNORRLANDS LÄN</t>
        </is>
      </c>
      <c r="E3069" t="inlineStr">
        <is>
          <t>ÖRNSKÖLDSVIK</t>
        </is>
      </c>
      <c r="G3069" t="n">
        <v>10.2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49567-2023</t>
        </is>
      </c>
      <c r="B3070" s="1" t="n">
        <v>45211</v>
      </c>
      <c r="C3070" s="1" t="n">
        <v>45260</v>
      </c>
      <c r="D3070" t="inlineStr">
        <is>
          <t>VÄSTERNORRLANDS LÄN</t>
        </is>
      </c>
      <c r="E3070" t="inlineStr">
        <is>
          <t>ÖRNSKÖLDSVIK</t>
        </is>
      </c>
      <c r="G3070" t="n">
        <v>7.6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49381-2023</t>
        </is>
      </c>
      <c r="B3071" s="1" t="n">
        <v>45211</v>
      </c>
      <c r="C3071" s="1" t="n">
        <v>45260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49412-2023</t>
        </is>
      </c>
      <c r="B3072" s="1" t="n">
        <v>45211</v>
      </c>
      <c r="C3072" s="1" t="n">
        <v>45260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49426-2023</t>
        </is>
      </c>
      <c r="B3073" s="1" t="n">
        <v>45211</v>
      </c>
      <c r="C3073" s="1" t="n">
        <v>45260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49446-2023</t>
        </is>
      </c>
      <c r="B3074" s="1" t="n">
        <v>45211</v>
      </c>
      <c r="C3074" s="1" t="n">
        <v>45260</v>
      </c>
      <c r="D3074" t="inlineStr">
        <is>
          <t>VÄSTERNORRLANDS LÄN</t>
        </is>
      </c>
      <c r="E3074" t="inlineStr">
        <is>
          <t>ÖRNSKÖLDSVIK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49560-2023</t>
        </is>
      </c>
      <c r="B3075" s="1" t="n">
        <v>45211</v>
      </c>
      <c r="C3075" s="1" t="n">
        <v>45260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50947-2023</t>
        </is>
      </c>
      <c r="B3076" s="1" t="n">
        <v>45211</v>
      </c>
      <c r="C3076" s="1" t="n">
        <v>45260</v>
      </c>
      <c r="D3076" t="inlineStr">
        <is>
          <t>VÄSTERNORRLANDS LÄN</t>
        </is>
      </c>
      <c r="E3076" t="inlineStr">
        <is>
          <t>ÖRNSKÖLDSVIK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50863-2023</t>
        </is>
      </c>
      <c r="B3077" s="1" t="n">
        <v>45211</v>
      </c>
      <c r="C3077" s="1" t="n">
        <v>45260</v>
      </c>
      <c r="D3077" t="inlineStr">
        <is>
          <t>VÄSTERNORRLANDS LÄN</t>
        </is>
      </c>
      <c r="E3077" t="inlineStr">
        <is>
          <t>ÖRNSKÖLDSVIK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49677-2023</t>
        </is>
      </c>
      <c r="B3078" s="1" t="n">
        <v>45212</v>
      </c>
      <c r="C3078" s="1" t="n">
        <v>45260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49701-2023</t>
        </is>
      </c>
      <c r="B3079" s="1" t="n">
        <v>45212</v>
      </c>
      <c r="C3079" s="1" t="n">
        <v>45260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49675-2023</t>
        </is>
      </c>
      <c r="B3080" s="1" t="n">
        <v>45212</v>
      </c>
      <c r="C3080" s="1" t="n">
        <v>45260</v>
      </c>
      <c r="D3080" t="inlineStr">
        <is>
          <t>VÄSTERNORRLANDS LÄN</t>
        </is>
      </c>
      <c r="E3080" t="inlineStr">
        <is>
          <t>ÖRNSKÖLDSVIK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49758-2023</t>
        </is>
      </c>
      <c r="B3081" s="1" t="n">
        <v>45212</v>
      </c>
      <c r="C3081" s="1" t="n">
        <v>45260</v>
      </c>
      <c r="D3081" t="inlineStr">
        <is>
          <t>VÄSTERNORRLANDS LÄN</t>
        </is>
      </c>
      <c r="E3081" t="inlineStr">
        <is>
          <t>ÖRNSKÖLDSVIK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51298-2023</t>
        </is>
      </c>
      <c r="B3082" s="1" t="n">
        <v>45212</v>
      </c>
      <c r="C3082" s="1" t="n">
        <v>45260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51321-2023</t>
        </is>
      </c>
      <c r="B3083" s="1" t="n">
        <v>45212</v>
      </c>
      <c r="C3083" s="1" t="n">
        <v>45260</v>
      </c>
      <c r="D3083" t="inlineStr">
        <is>
          <t>VÄSTERNORRLANDS LÄN</t>
        </is>
      </c>
      <c r="E3083" t="inlineStr">
        <is>
          <t>ÖRNSKÖLDSVIK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51395-2023</t>
        </is>
      </c>
      <c r="B3084" s="1" t="n">
        <v>45214</v>
      </c>
      <c r="C3084" s="1" t="n">
        <v>45260</v>
      </c>
      <c r="D3084" t="inlineStr">
        <is>
          <t>VÄSTERNORRLANDS LÄN</t>
        </is>
      </c>
      <c r="E3084" t="inlineStr">
        <is>
          <t>ÖRNSKÖLDSVIK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49929-2023</t>
        </is>
      </c>
      <c r="B3085" s="1" t="n">
        <v>45215</v>
      </c>
      <c r="C3085" s="1" t="n">
        <v>45260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51402-2023</t>
        </is>
      </c>
      <c r="B3086" s="1" t="n">
        <v>45214</v>
      </c>
      <c r="C3086" s="1" t="n">
        <v>45260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50044-2023</t>
        </is>
      </c>
      <c r="B3087" s="1" t="n">
        <v>45215</v>
      </c>
      <c r="C3087" s="1" t="n">
        <v>45260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8.1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50014-2023</t>
        </is>
      </c>
      <c r="B3088" s="1" t="n">
        <v>45215</v>
      </c>
      <c r="C3088" s="1" t="n">
        <v>45260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50007-2023</t>
        </is>
      </c>
      <c r="B3089" s="1" t="n">
        <v>45215</v>
      </c>
      <c r="C3089" s="1" t="n">
        <v>45260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49960-2023</t>
        </is>
      </c>
      <c r="B3090" s="1" t="n">
        <v>45215</v>
      </c>
      <c r="C3090" s="1" t="n">
        <v>45260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50193-2023</t>
        </is>
      </c>
      <c r="B3091" s="1" t="n">
        <v>45215</v>
      </c>
      <c r="C3091" s="1" t="n">
        <v>45260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50201-2023</t>
        </is>
      </c>
      <c r="B3092" s="1" t="n">
        <v>45215</v>
      </c>
      <c r="C3092" s="1" t="n">
        <v>45260</v>
      </c>
      <c r="D3092" t="inlineStr">
        <is>
          <t>VÄSTERNORRLANDS LÄN</t>
        </is>
      </c>
      <c r="E3092" t="inlineStr">
        <is>
          <t>ÖRNSKÖLDSVIK</t>
        </is>
      </c>
      <c r="G3092" t="n">
        <v>8.5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50069-2023</t>
        </is>
      </c>
      <c r="B3093" s="1" t="n">
        <v>45215</v>
      </c>
      <c r="C3093" s="1" t="n">
        <v>45260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50196-2023</t>
        </is>
      </c>
      <c r="B3094" s="1" t="n">
        <v>45215</v>
      </c>
      <c r="C3094" s="1" t="n">
        <v>45260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51722-2023</t>
        </is>
      </c>
      <c r="B3095" s="1" t="n">
        <v>45215</v>
      </c>
      <c r="C3095" s="1" t="n">
        <v>45260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50265-2023</t>
        </is>
      </c>
      <c r="B3096" s="1" t="n">
        <v>45216</v>
      </c>
      <c r="C3096" s="1" t="n">
        <v>45260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50262-2023</t>
        </is>
      </c>
      <c r="B3097" s="1" t="n">
        <v>45216</v>
      </c>
      <c r="C3097" s="1" t="n">
        <v>45260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50342-2023</t>
        </is>
      </c>
      <c r="B3098" s="1" t="n">
        <v>45216</v>
      </c>
      <c r="C3098" s="1" t="n">
        <v>45260</v>
      </c>
      <c r="D3098" t="inlineStr">
        <is>
          <t>VÄSTERNORRLANDS LÄN</t>
        </is>
      </c>
      <c r="E3098" t="inlineStr">
        <is>
          <t>ÖRNSKÖLDSVIK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50411-2023</t>
        </is>
      </c>
      <c r="B3099" s="1" t="n">
        <v>45216</v>
      </c>
      <c r="C3099" s="1" t="n">
        <v>45260</v>
      </c>
      <c r="D3099" t="inlineStr">
        <is>
          <t>VÄSTERNORRLANDS LÄN</t>
        </is>
      </c>
      <c r="E3099" t="inlineStr">
        <is>
          <t>ÖRNSKÖLDSVIK</t>
        </is>
      </c>
      <c r="G3099" t="n">
        <v>6.5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50367-2023</t>
        </is>
      </c>
      <c r="B3100" s="1" t="n">
        <v>45216</v>
      </c>
      <c r="C3100" s="1" t="n">
        <v>45260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51972-2023</t>
        </is>
      </c>
      <c r="B3101" s="1" t="n">
        <v>45216</v>
      </c>
      <c r="C3101" s="1" t="n">
        <v>45260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51976-2023</t>
        </is>
      </c>
      <c r="B3102" s="1" t="n">
        <v>45216</v>
      </c>
      <c r="C3102" s="1" t="n">
        <v>45260</v>
      </c>
      <c r="D3102" t="inlineStr">
        <is>
          <t>VÄSTERNORRLANDS LÄN</t>
        </is>
      </c>
      <c r="E3102" t="inlineStr">
        <is>
          <t>ÖRNSKÖLDSVIK</t>
        </is>
      </c>
      <c r="G3102" t="n">
        <v>28.1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50586-2023</t>
        </is>
      </c>
      <c r="B3103" s="1" t="n">
        <v>45217</v>
      </c>
      <c r="C3103" s="1" t="n">
        <v>45260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50533-2023</t>
        </is>
      </c>
      <c r="B3104" s="1" t="n">
        <v>45217</v>
      </c>
      <c r="C3104" s="1" t="n">
        <v>45260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50730-2023</t>
        </is>
      </c>
      <c r="B3105" s="1" t="n">
        <v>45217</v>
      </c>
      <c r="C3105" s="1" t="n">
        <v>45260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50746-2023</t>
        </is>
      </c>
      <c r="B3106" s="1" t="n">
        <v>45217</v>
      </c>
      <c r="C3106" s="1" t="n">
        <v>45260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50762-2023</t>
        </is>
      </c>
      <c r="B3107" s="1" t="n">
        <v>45217</v>
      </c>
      <c r="C3107" s="1" t="n">
        <v>45260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50878-2023</t>
        </is>
      </c>
      <c r="B3108" s="1" t="n">
        <v>45218</v>
      </c>
      <c r="C3108" s="1" t="n">
        <v>45260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50888-2023</t>
        </is>
      </c>
      <c r="B3109" s="1" t="n">
        <v>45218</v>
      </c>
      <c r="C3109" s="1" t="n">
        <v>45260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51045-2023</t>
        </is>
      </c>
      <c r="B3110" s="1" t="n">
        <v>45218</v>
      </c>
      <c r="C3110" s="1" t="n">
        <v>45260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51054-2023</t>
        </is>
      </c>
      <c r="B3111" s="1" t="n">
        <v>45218</v>
      </c>
      <c r="C3111" s="1" t="n">
        <v>45260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51070-2023</t>
        </is>
      </c>
      <c r="B3112" s="1" t="n">
        <v>45218</v>
      </c>
      <c r="C3112" s="1" t="n">
        <v>45260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51040-2023</t>
        </is>
      </c>
      <c r="B3113" s="1" t="n">
        <v>45218</v>
      </c>
      <c r="C3113" s="1" t="n">
        <v>45260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51057-2023</t>
        </is>
      </c>
      <c r="B3114" s="1" t="n">
        <v>45218</v>
      </c>
      <c r="C3114" s="1" t="n">
        <v>45260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51013-2023</t>
        </is>
      </c>
      <c r="B3115" s="1" t="n">
        <v>45218</v>
      </c>
      <c r="C3115" s="1" t="n">
        <v>45260</v>
      </c>
      <c r="D3115" t="inlineStr">
        <is>
          <t>VÄSTERNORRLANDS LÄN</t>
        </is>
      </c>
      <c r="E3115" t="inlineStr">
        <is>
          <t>ÖRNSKÖLDSVIK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51026-2023</t>
        </is>
      </c>
      <c r="B3116" s="1" t="n">
        <v>45218</v>
      </c>
      <c r="C3116" s="1" t="n">
        <v>45260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52504-2023</t>
        </is>
      </c>
      <c r="B3117" s="1" t="n">
        <v>45218</v>
      </c>
      <c r="C3117" s="1" t="n">
        <v>45260</v>
      </c>
      <c r="D3117" t="inlineStr">
        <is>
          <t>VÄSTERNORRLANDS LÄN</t>
        </is>
      </c>
      <c r="E3117" t="inlineStr">
        <is>
          <t>ÖRNSKÖLDSVIK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52498-2023</t>
        </is>
      </c>
      <c r="B3118" s="1" t="n">
        <v>45218</v>
      </c>
      <c r="C3118" s="1" t="n">
        <v>45260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51105-2023</t>
        </is>
      </c>
      <c r="B3119" s="1" t="n">
        <v>45219</v>
      </c>
      <c r="C3119" s="1" t="n">
        <v>45260</v>
      </c>
      <c r="D3119" t="inlineStr">
        <is>
          <t>VÄSTERNORRLANDS LÄN</t>
        </is>
      </c>
      <c r="E3119" t="inlineStr">
        <is>
          <t>ÖRNSKÖLDSVIK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52679-2023</t>
        </is>
      </c>
      <c r="B3120" s="1" t="n">
        <v>45219</v>
      </c>
      <c r="C3120" s="1" t="n">
        <v>45260</v>
      </c>
      <c r="D3120" t="inlineStr">
        <is>
          <t>VÄSTERNORRLANDS LÄN</t>
        </is>
      </c>
      <c r="E3120" t="inlineStr">
        <is>
          <t>ÖRNSKÖLDSVIK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51329-2023</t>
        </is>
      </c>
      <c r="B3121" s="1" t="n">
        <v>45219</v>
      </c>
      <c r="C3121" s="1" t="n">
        <v>45260</v>
      </c>
      <c r="D3121" t="inlineStr">
        <is>
          <t>VÄSTERNORRLANDS LÄN</t>
        </is>
      </c>
      <c r="E3121" t="inlineStr">
        <is>
          <t>ÖRNSKÖLDSVIK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51272-2023</t>
        </is>
      </c>
      <c r="B3122" s="1" t="n">
        <v>45219</v>
      </c>
      <c r="C3122" s="1" t="n">
        <v>45260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6.9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51477-2023</t>
        </is>
      </c>
      <c r="B3123" s="1" t="n">
        <v>45221</v>
      </c>
      <c r="C3123" s="1" t="n">
        <v>45260</v>
      </c>
      <c r="D3123" t="inlineStr">
        <is>
          <t>VÄSTERNORRLANDS LÄN</t>
        </is>
      </c>
      <c r="E3123" t="inlineStr">
        <is>
          <t>ÖRNSKÖLDSVIK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51495-2023</t>
        </is>
      </c>
      <c r="B3124" s="1" t="n">
        <v>45222</v>
      </c>
      <c r="C3124" s="1" t="n">
        <v>45260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51508-2023</t>
        </is>
      </c>
      <c r="B3125" s="1" t="n">
        <v>45222</v>
      </c>
      <c r="C3125" s="1" t="n">
        <v>45260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51787-2023</t>
        </is>
      </c>
      <c r="B3126" s="1" t="n">
        <v>45222</v>
      </c>
      <c r="C3126" s="1" t="n">
        <v>45260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51561-2023</t>
        </is>
      </c>
      <c r="B3127" s="1" t="n">
        <v>45222</v>
      </c>
      <c r="C3127" s="1" t="n">
        <v>45260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53174-2023</t>
        </is>
      </c>
      <c r="B3128" s="1" t="n">
        <v>45222</v>
      </c>
      <c r="C3128" s="1" t="n">
        <v>45260</v>
      </c>
      <c r="D3128" t="inlineStr">
        <is>
          <t>VÄSTERNORRLANDS LÄN</t>
        </is>
      </c>
      <c r="E3128" t="inlineStr">
        <is>
          <t>ÖRNSKÖLDSVIK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53171-2023</t>
        </is>
      </c>
      <c r="B3129" s="1" t="n">
        <v>45222</v>
      </c>
      <c r="C3129" s="1" t="n">
        <v>45260</v>
      </c>
      <c r="D3129" t="inlineStr">
        <is>
          <t>VÄSTERNORRLANDS LÄN</t>
        </is>
      </c>
      <c r="E3129" t="inlineStr">
        <is>
          <t>ÖRNSKÖLDSVIK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51518-2023</t>
        </is>
      </c>
      <c r="B3130" s="1" t="n">
        <v>45222</v>
      </c>
      <c r="C3130" s="1" t="n">
        <v>45260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51711-2023</t>
        </is>
      </c>
      <c r="B3131" s="1" t="n">
        <v>45222</v>
      </c>
      <c r="C3131" s="1" t="n">
        <v>45260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51884-2023</t>
        </is>
      </c>
      <c r="B3132" s="1" t="n">
        <v>45223</v>
      </c>
      <c r="C3132" s="1" t="n">
        <v>45260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52053-2023</t>
        </is>
      </c>
      <c r="B3133" s="1" t="n">
        <v>45223</v>
      </c>
      <c r="C3133" s="1" t="n">
        <v>45260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53395-2023</t>
        </is>
      </c>
      <c r="B3134" s="1" t="n">
        <v>45223</v>
      </c>
      <c r="C3134" s="1" t="n">
        <v>45260</v>
      </c>
      <c r="D3134" t="inlineStr">
        <is>
          <t>VÄSTERNORRLANDS LÄN</t>
        </is>
      </c>
      <c r="E3134" t="inlineStr">
        <is>
          <t>ÖRNSKÖLDSVIK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52245-2023</t>
        </is>
      </c>
      <c r="B3135" s="1" t="n">
        <v>45224</v>
      </c>
      <c r="C3135" s="1" t="n">
        <v>45260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7.5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52306-2023</t>
        </is>
      </c>
      <c r="B3136" s="1" t="n">
        <v>45224</v>
      </c>
      <c r="C3136" s="1" t="n">
        <v>45260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52416-2023</t>
        </is>
      </c>
      <c r="B3137" s="1" t="n">
        <v>45225</v>
      </c>
      <c r="C3137" s="1" t="n">
        <v>45260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52439-2023</t>
        </is>
      </c>
      <c r="B3138" s="1" t="n">
        <v>45225</v>
      </c>
      <c r="C3138" s="1" t="n">
        <v>45260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52573-2023</t>
        </is>
      </c>
      <c r="B3139" s="1" t="n">
        <v>45225</v>
      </c>
      <c r="C3139" s="1" t="n">
        <v>45260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52764-2023</t>
        </is>
      </c>
      <c r="B3140" s="1" t="n">
        <v>45226</v>
      </c>
      <c r="C3140" s="1" t="n">
        <v>45260</v>
      </c>
      <c r="D3140" t="inlineStr">
        <is>
          <t>VÄSTERNORRLANDS LÄN</t>
        </is>
      </c>
      <c r="E3140" t="inlineStr">
        <is>
          <t>ÖRNSKÖLDSVIK</t>
        </is>
      </c>
      <c r="G3140" t="n">
        <v>15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52793-2023</t>
        </is>
      </c>
      <c r="B3141" s="1" t="n">
        <v>45226</v>
      </c>
      <c r="C3141" s="1" t="n">
        <v>45260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52986-2023</t>
        </is>
      </c>
      <c r="B3142" s="1" t="n">
        <v>45226</v>
      </c>
      <c r="C3142" s="1" t="n">
        <v>45260</v>
      </c>
      <c r="D3142" t="inlineStr">
        <is>
          <t>VÄSTERNORRLANDS LÄN</t>
        </is>
      </c>
      <c r="E3142" t="inlineStr">
        <is>
          <t>ÖRNSKÖLDSVIK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53282-2023</t>
        </is>
      </c>
      <c r="B3143" s="1" t="n">
        <v>45229</v>
      </c>
      <c r="C3143" s="1" t="n">
        <v>45260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53310-2023</t>
        </is>
      </c>
      <c r="B3144" s="1" t="n">
        <v>45229</v>
      </c>
      <c r="C3144" s="1" t="n">
        <v>45260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53147-2023</t>
        </is>
      </c>
      <c r="B3145" s="1" t="n">
        <v>45229</v>
      </c>
      <c r="C3145" s="1" t="n">
        <v>45260</v>
      </c>
      <c r="D3145" t="inlineStr">
        <is>
          <t>VÄSTERNORRLANDS LÄN</t>
        </is>
      </c>
      <c r="E3145" t="inlineStr">
        <is>
          <t>ÖRNSKÖLDSVIK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53259-2023</t>
        </is>
      </c>
      <c r="B3146" s="1" t="n">
        <v>45229</v>
      </c>
      <c r="C3146" s="1" t="n">
        <v>45260</v>
      </c>
      <c r="D3146" t="inlineStr">
        <is>
          <t>VÄSTERNORRLANDS LÄN</t>
        </is>
      </c>
      <c r="E3146" t="inlineStr">
        <is>
          <t>ÖRNSKÖLDSVIK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53371-2023</t>
        </is>
      </c>
      <c r="B3147" s="1" t="n">
        <v>45229</v>
      </c>
      <c r="C3147" s="1" t="n">
        <v>45260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53457-2023</t>
        </is>
      </c>
      <c r="B3148" s="1" t="n">
        <v>45230</v>
      </c>
      <c r="C3148" s="1" t="n">
        <v>45260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53462-2023</t>
        </is>
      </c>
      <c r="B3149" s="1" t="n">
        <v>45230</v>
      </c>
      <c r="C3149" s="1" t="n">
        <v>45260</v>
      </c>
      <c r="D3149" t="inlineStr">
        <is>
          <t>VÄSTERNORRLANDS LÄN</t>
        </is>
      </c>
      <c r="E3149" t="inlineStr">
        <is>
          <t>ÖRNSKÖLDSVIK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53689-2023</t>
        </is>
      </c>
      <c r="B3150" s="1" t="n">
        <v>45230</v>
      </c>
      <c r="C3150" s="1" t="n">
        <v>45260</v>
      </c>
      <c r="D3150" t="inlineStr">
        <is>
          <t>VÄSTERNORRLANDS LÄN</t>
        </is>
      </c>
      <c r="E3150" t="inlineStr">
        <is>
          <t>ÖRNSKÖLDSVIK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53469-2023</t>
        </is>
      </c>
      <c r="B3151" s="1" t="n">
        <v>45230</v>
      </c>
      <c r="C3151" s="1" t="n">
        <v>45260</v>
      </c>
      <c r="D3151" t="inlineStr">
        <is>
          <t>VÄSTERNORRLANDS LÄN</t>
        </is>
      </c>
      <c r="E3151" t="inlineStr">
        <is>
          <t>ÖRNSKÖLDSVIK</t>
        </is>
      </c>
      <c r="G3151" t="n">
        <v>6.4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53464-2023</t>
        </is>
      </c>
      <c r="B3152" s="1" t="n">
        <v>45230</v>
      </c>
      <c r="C3152" s="1" t="n">
        <v>45260</v>
      </c>
      <c r="D3152" t="inlineStr">
        <is>
          <t>VÄSTERNORRLANDS LÄN</t>
        </is>
      </c>
      <c r="E3152" t="inlineStr">
        <is>
          <t>ÖRNSKÖLDSVIK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55187-2023</t>
        </is>
      </c>
      <c r="B3153" s="1" t="n">
        <v>45230</v>
      </c>
      <c r="C3153" s="1" t="n">
        <v>45260</v>
      </c>
      <c r="D3153" t="inlineStr">
        <is>
          <t>VÄSTERNORRLANDS LÄN</t>
        </is>
      </c>
      <c r="E3153" t="inlineStr">
        <is>
          <t>ÖRNSKÖLDSVIK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53482-2023</t>
        </is>
      </c>
      <c r="B3154" s="1" t="n">
        <v>45230</v>
      </c>
      <c r="C3154" s="1" t="n">
        <v>45260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7.8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53465-2023</t>
        </is>
      </c>
      <c r="B3155" s="1" t="n">
        <v>45230</v>
      </c>
      <c r="C3155" s="1" t="n">
        <v>45260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53459-2023</t>
        </is>
      </c>
      <c r="B3156" s="1" t="n">
        <v>45230</v>
      </c>
      <c r="C3156" s="1" t="n">
        <v>45260</v>
      </c>
      <c r="D3156" t="inlineStr">
        <is>
          <t>VÄSTERNORRLANDS LÄN</t>
        </is>
      </c>
      <c r="E3156" t="inlineStr">
        <is>
          <t>ÖRNSKÖLDSVIK</t>
        </is>
      </c>
      <c r="G3156" t="n">
        <v>6.4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53806-2023</t>
        </is>
      </c>
      <c r="B3157" s="1" t="n">
        <v>45231</v>
      </c>
      <c r="C3157" s="1" t="n">
        <v>45260</v>
      </c>
      <c r="D3157" t="inlineStr">
        <is>
          <t>VÄSTERNORRLANDS LÄN</t>
        </is>
      </c>
      <c r="E3157" t="inlineStr">
        <is>
          <t>ÖRNSKÖLDSVIK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45260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53800-2023</t>
        </is>
      </c>
      <c r="B3159" s="1" t="n">
        <v>45231</v>
      </c>
      <c r="C3159" s="1" t="n">
        <v>45260</v>
      </c>
      <c r="D3159" t="inlineStr">
        <is>
          <t>VÄSTERNORRLANDS LÄN</t>
        </is>
      </c>
      <c r="E3159" t="inlineStr">
        <is>
          <t>ÖRNSKÖLDSVIK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53924-2023</t>
        </is>
      </c>
      <c r="B3160" s="1" t="n">
        <v>45231</v>
      </c>
      <c r="C3160" s="1" t="n">
        <v>45260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55256-2023</t>
        </is>
      </c>
      <c r="B3161" s="1" t="n">
        <v>45231</v>
      </c>
      <c r="C3161" s="1" t="n">
        <v>45260</v>
      </c>
      <c r="D3161" t="inlineStr">
        <is>
          <t>VÄSTERNORRLANDS LÄN</t>
        </is>
      </c>
      <c r="E3161" t="inlineStr">
        <is>
          <t>ÖRNSKÖLDSVIK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55275-2023</t>
        </is>
      </c>
      <c r="B3162" s="1" t="n">
        <v>45231</v>
      </c>
      <c r="C3162" s="1" t="n">
        <v>45260</v>
      </c>
      <c r="D3162" t="inlineStr">
        <is>
          <t>VÄSTERNORRLANDS LÄN</t>
        </is>
      </c>
      <c r="E3162" t="inlineStr">
        <is>
          <t>ÖRNSKÖLDSVIK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45260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45260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54169-2023</t>
        </is>
      </c>
      <c r="B3165" s="1" t="n">
        <v>45232</v>
      </c>
      <c r="C3165" s="1" t="n">
        <v>45260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54215-2023</t>
        </is>
      </c>
      <c r="B3167" s="1" t="n">
        <v>45232</v>
      </c>
      <c r="C3167" s="1" t="n">
        <v>45260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54260-2023</t>
        </is>
      </c>
      <c r="B3168" s="1" t="n">
        <v>45232</v>
      </c>
      <c r="C3168" s="1" t="n">
        <v>45260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45260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54186-2023</t>
        </is>
      </c>
      <c r="B3170" s="1" t="n">
        <v>45232</v>
      </c>
      <c r="C3170" s="1" t="n">
        <v>45260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56022-2023</t>
        </is>
      </c>
      <c r="B3171" s="1" t="n">
        <v>45233</v>
      </c>
      <c r="C3171" s="1" t="n">
        <v>45260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56040-2023</t>
        </is>
      </c>
      <c r="B3172" s="1" t="n">
        <v>45233</v>
      </c>
      <c r="C3172" s="1" t="n">
        <v>45260</v>
      </c>
      <c r="D3172" t="inlineStr">
        <is>
          <t>VÄSTERNORRLANDS LÄN</t>
        </is>
      </c>
      <c r="E3172" t="inlineStr">
        <is>
          <t>ÖRNSKÖLDSVIK</t>
        </is>
      </c>
      <c r="G3172" t="n">
        <v>8.300000000000001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54707-2023</t>
        </is>
      </c>
      <c r="B3173" s="1" t="n">
        <v>45236</v>
      </c>
      <c r="C3173" s="1" t="n">
        <v>45260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54799-2023</t>
        </is>
      </c>
      <c r="B3174" s="1" t="n">
        <v>45236</v>
      </c>
      <c r="C3174" s="1" t="n">
        <v>45260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54913-2023</t>
        </is>
      </c>
      <c r="B3175" s="1" t="n">
        <v>45236</v>
      </c>
      <c r="C3175" s="1" t="n">
        <v>45260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54939-2023</t>
        </is>
      </c>
      <c r="B3176" s="1" t="n">
        <v>45236</v>
      </c>
      <c r="C3176" s="1" t="n">
        <v>45260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54853-2023</t>
        </is>
      </c>
      <c r="B3177" s="1" t="n">
        <v>45236</v>
      </c>
      <c r="C3177" s="1" t="n">
        <v>45260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54900-2023</t>
        </is>
      </c>
      <c r="B3178" s="1" t="n">
        <v>45236</v>
      </c>
      <c r="C3178" s="1" t="n">
        <v>45260</v>
      </c>
      <c r="D3178" t="inlineStr">
        <is>
          <t>VÄSTERNORRLANDS LÄN</t>
        </is>
      </c>
      <c r="E3178" t="inlineStr">
        <is>
          <t>ÖRNSKÖLDSVIK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54896-2023</t>
        </is>
      </c>
      <c r="B3179" s="1" t="n">
        <v>45236</v>
      </c>
      <c r="C3179" s="1" t="n">
        <v>45260</v>
      </c>
      <c r="D3179" t="inlineStr">
        <is>
          <t>VÄSTERNORRLANDS LÄN</t>
        </is>
      </c>
      <c r="E3179" t="inlineStr">
        <is>
          <t>ÖRNSKÖLDSVIK</t>
        </is>
      </c>
      <c r="G3179" t="n">
        <v>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54990-2023</t>
        </is>
      </c>
      <c r="B3180" s="1" t="n">
        <v>45237</v>
      </c>
      <c r="C3180" s="1" t="n">
        <v>45260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54824-2023</t>
        </is>
      </c>
      <c r="B3181" s="1" t="n">
        <v>45236</v>
      </c>
      <c r="C3181" s="1" t="n">
        <v>45260</v>
      </c>
      <c r="D3181" t="inlineStr">
        <is>
          <t>VÄSTERNORRLANDS LÄN</t>
        </is>
      </c>
      <c r="E3181" t="inlineStr">
        <is>
          <t>ÖRNSKÖLDSVIK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55023-2023</t>
        </is>
      </c>
      <c r="B3182" s="1" t="n">
        <v>45237</v>
      </c>
      <c r="C3182" s="1" t="n">
        <v>45260</v>
      </c>
      <c r="D3182" t="inlineStr">
        <is>
          <t>VÄSTERNORRLANDS LÄN</t>
        </is>
      </c>
      <c r="E3182" t="inlineStr">
        <is>
          <t>ÖRNSKÖLDSVIK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55165-2023</t>
        </is>
      </c>
      <c r="B3183" s="1" t="n">
        <v>45237</v>
      </c>
      <c r="C3183" s="1" t="n">
        <v>45260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45260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45260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55382-2023</t>
        </is>
      </c>
      <c r="B3186" s="1" t="n">
        <v>45238</v>
      </c>
      <c r="C3186" s="1" t="n">
        <v>45260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5.7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55488-2023</t>
        </is>
      </c>
      <c r="B3187" s="1" t="n">
        <v>45238</v>
      </c>
      <c r="C3187" s="1" t="n">
        <v>45260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55490-2023</t>
        </is>
      </c>
      <c r="B3188" s="1" t="n">
        <v>45238</v>
      </c>
      <c r="C3188" s="1" t="n">
        <v>45260</v>
      </c>
      <c r="D3188" t="inlineStr">
        <is>
          <t>VÄSTERNORRLANDS LÄN</t>
        </is>
      </c>
      <c r="E3188" t="inlineStr">
        <is>
          <t>ÖRNSKÖLDSVIK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55494-2023</t>
        </is>
      </c>
      <c r="B3189" s="1" t="n">
        <v>45238</v>
      </c>
      <c r="C3189" s="1" t="n">
        <v>45260</v>
      </c>
      <c r="D3189" t="inlineStr">
        <is>
          <t>VÄSTERNORRLANDS LÄN</t>
        </is>
      </c>
      <c r="E3189" t="inlineStr">
        <is>
          <t>ÖRNSKÖLDSVIK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55493-2023</t>
        </is>
      </c>
      <c r="B3190" s="1" t="n">
        <v>45238</v>
      </c>
      <c r="C3190" s="1" t="n">
        <v>45260</v>
      </c>
      <c r="D3190" t="inlineStr">
        <is>
          <t>VÄSTERNORRLANDS LÄN</t>
        </is>
      </c>
      <c r="E3190" t="inlineStr">
        <is>
          <t>ÖRNSKÖLDSVIK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55641-2023</t>
        </is>
      </c>
      <c r="B3191" s="1" t="n">
        <v>45238</v>
      </c>
      <c r="C3191" s="1" t="n">
        <v>45260</v>
      </c>
      <c r="D3191" t="inlineStr">
        <is>
          <t>VÄSTERNORRLANDS LÄN</t>
        </is>
      </c>
      <c r="E3191" t="inlineStr">
        <is>
          <t>ÖRNSKÖLDSVIK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55640-2023</t>
        </is>
      </c>
      <c r="B3192" s="1" t="n">
        <v>45238</v>
      </c>
      <c r="C3192" s="1" t="n">
        <v>45260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56567-2023</t>
        </is>
      </c>
      <c r="B3193" s="1" t="n">
        <v>45238</v>
      </c>
      <c r="C3193" s="1" t="n">
        <v>45260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56549-2023</t>
        </is>
      </c>
      <c r="B3194" s="1" t="n">
        <v>45238</v>
      </c>
      <c r="C3194" s="1" t="n">
        <v>45260</v>
      </c>
      <c r="D3194" t="inlineStr">
        <is>
          <t>VÄSTERNORRLANDS LÄN</t>
        </is>
      </c>
      <c r="E3194" t="inlineStr">
        <is>
          <t>ÖRNSKÖLDSVIK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45260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55639-2023</t>
        </is>
      </c>
      <c r="B3196" s="1" t="n">
        <v>45238</v>
      </c>
      <c r="C3196" s="1" t="n">
        <v>45260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56558-2023</t>
        </is>
      </c>
      <c r="B3197" s="1" t="n">
        <v>45238</v>
      </c>
      <c r="C3197" s="1" t="n">
        <v>45260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55792-2023</t>
        </is>
      </c>
      <c r="B3198" s="1" t="n">
        <v>45239</v>
      </c>
      <c r="C3198" s="1" t="n">
        <v>45260</v>
      </c>
      <c r="D3198" t="inlineStr">
        <is>
          <t>VÄSTERNORRLANDS LÄN</t>
        </is>
      </c>
      <c r="E3198" t="inlineStr">
        <is>
          <t>ÖRNSKÖLDSVIK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55774-2023</t>
        </is>
      </c>
      <c r="B3199" s="1" t="n">
        <v>45239</v>
      </c>
      <c r="C3199" s="1" t="n">
        <v>45260</v>
      </c>
      <c r="D3199" t="inlineStr">
        <is>
          <t>VÄSTERNORRLANDS LÄN</t>
        </is>
      </c>
      <c r="E3199" t="inlineStr">
        <is>
          <t>ÖRNSKÖLDSVIK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57097-2023</t>
        </is>
      </c>
      <c r="B3200" s="1" t="n">
        <v>45239</v>
      </c>
      <c r="C3200" s="1" t="n">
        <v>45260</v>
      </c>
      <c r="D3200" t="inlineStr">
        <is>
          <t>VÄSTERNORRLANDS LÄN</t>
        </is>
      </c>
      <c r="E3200" t="inlineStr">
        <is>
          <t>ÖRNSKÖLDSVIK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57268-2023</t>
        </is>
      </c>
      <c r="B3201" s="1" t="n">
        <v>45239</v>
      </c>
      <c r="C3201" s="1" t="n">
        <v>45260</v>
      </c>
      <c r="D3201" t="inlineStr">
        <is>
          <t>VÄSTERNORRLANDS LÄN</t>
        </is>
      </c>
      <c r="E3201" t="inlineStr">
        <is>
          <t>ÖRNSKÖLDSVIK</t>
        </is>
      </c>
      <c r="G3201" t="n">
        <v>10.6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45260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55949-2023</t>
        </is>
      </c>
      <c r="B3203" s="1" t="n">
        <v>45240</v>
      </c>
      <c r="C3203" s="1" t="n">
        <v>45260</v>
      </c>
      <c r="D3203" t="inlineStr">
        <is>
          <t>VÄSTERNORRLANDS LÄN</t>
        </is>
      </c>
      <c r="E3203" t="inlineStr">
        <is>
          <t>ÖRNSKÖLDSVIK</t>
        </is>
      </c>
      <c r="G3203" t="n">
        <v>6.3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56128-2023</t>
        </is>
      </c>
      <c r="B3204" s="1" t="n">
        <v>45240</v>
      </c>
      <c r="C3204" s="1" t="n">
        <v>45260</v>
      </c>
      <c r="D3204" t="inlineStr">
        <is>
          <t>VÄSTERNORRLANDS LÄN</t>
        </is>
      </c>
      <c r="E3204" t="inlineStr">
        <is>
          <t>ÖRNSKÖLDSVIK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56154-2023</t>
        </is>
      </c>
      <c r="B3205" s="1" t="n">
        <v>45240</v>
      </c>
      <c r="C3205" s="1" t="n">
        <v>45260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57458-2023</t>
        </is>
      </c>
      <c r="B3207" s="1" t="n">
        <v>45240</v>
      </c>
      <c r="C3207" s="1" t="n">
        <v>45260</v>
      </c>
      <c r="D3207" t="inlineStr">
        <is>
          <t>VÄSTERNORRLANDS LÄN</t>
        </is>
      </c>
      <c r="E3207" t="inlineStr">
        <is>
          <t>ÖRNSKÖLDSVIK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45260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57449-2023</t>
        </is>
      </c>
      <c r="B3209" s="1" t="n">
        <v>45240</v>
      </c>
      <c r="C3209" s="1" t="n">
        <v>45260</v>
      </c>
      <c r="D3209" t="inlineStr">
        <is>
          <t>VÄSTERNORRLANDS LÄN</t>
        </is>
      </c>
      <c r="E3209" t="inlineStr">
        <is>
          <t>ÖRNSKÖLDSVIK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57469-2023</t>
        </is>
      </c>
      <c r="B3210" s="1" t="n">
        <v>45240</v>
      </c>
      <c r="C3210" s="1" t="n">
        <v>45260</v>
      </c>
      <c r="D3210" t="inlineStr">
        <is>
          <t>VÄSTERNORRLANDS LÄN</t>
        </is>
      </c>
      <c r="E3210" t="inlineStr">
        <is>
          <t>ÖRNSKÖLDSVIK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57482-2023</t>
        </is>
      </c>
      <c r="B3211" s="1" t="n">
        <v>45240</v>
      </c>
      <c r="C3211" s="1" t="n">
        <v>45260</v>
      </c>
      <c r="D3211" t="inlineStr">
        <is>
          <t>VÄSTERNORRLANDS LÄN</t>
        </is>
      </c>
      <c r="E3211" t="inlineStr">
        <is>
          <t>ÖRNSKÖLDSVIK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57309-2023</t>
        </is>
      </c>
      <c r="B3212" s="1" t="n">
        <v>45240</v>
      </c>
      <c r="C3212" s="1" t="n">
        <v>45260</v>
      </c>
      <c r="D3212" t="inlineStr">
        <is>
          <t>VÄSTERNORRLANDS LÄN</t>
        </is>
      </c>
      <c r="E3212" t="inlineStr">
        <is>
          <t>ÖRNSKÖLDSVIK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45260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57480-2023</t>
        </is>
      </c>
      <c r="B3214" s="1" t="n">
        <v>45240</v>
      </c>
      <c r="C3214" s="1" t="n">
        <v>45260</v>
      </c>
      <c r="D3214" t="inlineStr">
        <is>
          <t>VÄSTERNORRLANDS LÄN</t>
        </is>
      </c>
      <c r="E3214" t="inlineStr">
        <is>
          <t>ÖRNSKÖLDSVIK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45260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57452-2023</t>
        </is>
      </c>
      <c r="B3216" s="1" t="n">
        <v>45240</v>
      </c>
      <c r="C3216" s="1" t="n">
        <v>45260</v>
      </c>
      <c r="D3216" t="inlineStr">
        <is>
          <t>VÄSTERNORRLANDS LÄN</t>
        </is>
      </c>
      <c r="E3216" t="inlineStr">
        <is>
          <t>ÖRNSKÖLDSVIK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56411-2023</t>
        </is>
      </c>
      <c r="B3217" s="1" t="n">
        <v>45243</v>
      </c>
      <c r="C3217" s="1" t="n">
        <v>45260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56555-2023</t>
        </is>
      </c>
      <c r="B3218" s="1" t="n">
        <v>45243</v>
      </c>
      <c r="C3218" s="1" t="n">
        <v>45260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45260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45260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57597-2023</t>
        </is>
      </c>
      <c r="B3221" s="1" t="n">
        <v>45243</v>
      </c>
      <c r="C3221" s="1" t="n">
        <v>45260</v>
      </c>
      <c r="D3221" t="inlineStr">
        <is>
          <t>VÄSTERNORRLANDS LÄN</t>
        </is>
      </c>
      <c r="E3221" t="inlineStr">
        <is>
          <t>ÖRNSKÖLDSVIK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57688-2023</t>
        </is>
      </c>
      <c r="B3222" s="1" t="n">
        <v>45243</v>
      </c>
      <c r="C3222" s="1" t="n">
        <v>45260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57585-2023</t>
        </is>
      </c>
      <c r="B3223" s="1" t="n">
        <v>45243</v>
      </c>
      <c r="C3223" s="1" t="n">
        <v>45260</v>
      </c>
      <c r="D3223" t="inlineStr">
        <is>
          <t>VÄSTERNORRLANDS LÄN</t>
        </is>
      </c>
      <c r="E3223" t="inlineStr">
        <is>
          <t>ÖRNSKÖLDSVIK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57605-2023</t>
        </is>
      </c>
      <c r="B3224" s="1" t="n">
        <v>45243</v>
      </c>
      <c r="C3224" s="1" t="n">
        <v>45260</v>
      </c>
      <c r="D3224" t="inlineStr">
        <is>
          <t>VÄSTERNORRLANDS LÄN</t>
        </is>
      </c>
      <c r="E3224" t="inlineStr">
        <is>
          <t>ÖRNSKÖLDSVIK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57686-2023</t>
        </is>
      </c>
      <c r="B3225" s="1" t="n">
        <v>45243</v>
      </c>
      <c r="C3225" s="1" t="n">
        <v>45260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56867-2023</t>
        </is>
      </c>
      <c r="B3226" s="1" t="n">
        <v>45244</v>
      </c>
      <c r="C3226" s="1" t="n">
        <v>45260</v>
      </c>
      <c r="D3226" t="inlineStr">
        <is>
          <t>VÄSTERNORRLANDS LÄN</t>
        </is>
      </c>
      <c r="E3226" t="inlineStr">
        <is>
          <t>ÖRNSKÖLDSVIK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56901-2023</t>
        </is>
      </c>
      <c r="B3227" s="1" t="n">
        <v>45244</v>
      </c>
      <c r="C3227" s="1" t="n">
        <v>45260</v>
      </c>
      <c r="D3227" t="inlineStr">
        <is>
          <t>VÄSTERNORRLANDS LÄN</t>
        </is>
      </c>
      <c r="E3227" t="inlineStr">
        <is>
          <t>ÖRNSKÖLDSVIK</t>
        </is>
      </c>
      <c r="G3227" t="n">
        <v>13.8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56868-2023</t>
        </is>
      </c>
      <c r="B3228" s="1" t="n">
        <v>45244</v>
      </c>
      <c r="C3228" s="1" t="n">
        <v>45260</v>
      </c>
      <c r="D3228" t="inlineStr">
        <is>
          <t>VÄSTERNORRLANDS LÄN</t>
        </is>
      </c>
      <c r="E3228" t="inlineStr">
        <is>
          <t>ÖRNSKÖLDSVIK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56751-2023</t>
        </is>
      </c>
      <c r="B3229" s="1" t="n">
        <v>45244</v>
      </c>
      <c r="C3229" s="1" t="n">
        <v>45260</v>
      </c>
      <c r="D3229" t="inlineStr">
        <is>
          <t>VÄSTERNORRLANDS LÄN</t>
        </is>
      </c>
      <c r="E3229" t="inlineStr">
        <is>
          <t>ÖRNSKÖLDSVIK</t>
        </is>
      </c>
      <c r="G3229" t="n">
        <v>14.5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56870-2023</t>
        </is>
      </c>
      <c r="B3230" s="1" t="n">
        <v>45244</v>
      </c>
      <c r="C3230" s="1" t="n">
        <v>45260</v>
      </c>
      <c r="D3230" t="inlineStr">
        <is>
          <t>VÄSTERNORRLANDS LÄN</t>
        </is>
      </c>
      <c r="E3230" t="inlineStr">
        <is>
          <t>ÖRNSKÖLDSVIK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57258-2023</t>
        </is>
      </c>
      <c r="B3231" s="1" t="n">
        <v>45245</v>
      </c>
      <c r="C3231" s="1" t="n">
        <v>45260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57273-2023</t>
        </is>
      </c>
      <c r="B3232" s="1" t="n">
        <v>45245</v>
      </c>
      <c r="C3232" s="1" t="n">
        <v>45260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8.6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57280-2023</t>
        </is>
      </c>
      <c r="B3233" s="1" t="n">
        <v>45245</v>
      </c>
      <c r="C3233" s="1" t="n">
        <v>45260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57294-2023</t>
        </is>
      </c>
      <c r="B3234" s="1" t="n">
        <v>45245</v>
      </c>
      <c r="C3234" s="1" t="n">
        <v>45260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58019-2023</t>
        </is>
      </c>
      <c r="B3235" s="1" t="n">
        <v>45245</v>
      </c>
      <c r="C3235" s="1" t="n">
        <v>45260</v>
      </c>
      <c r="D3235" t="inlineStr">
        <is>
          <t>VÄSTERNORRLANDS LÄN</t>
        </is>
      </c>
      <c r="E3235" t="inlineStr">
        <is>
          <t>ÖRNSKÖLDSVIK</t>
        </is>
      </c>
      <c r="G3235" t="n">
        <v>7.9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58200-2023</t>
        </is>
      </c>
      <c r="B3236" s="1" t="n">
        <v>45245</v>
      </c>
      <c r="C3236" s="1" t="n">
        <v>45260</v>
      </c>
      <c r="D3236" t="inlineStr">
        <is>
          <t>VÄSTERNORRLANDS LÄN</t>
        </is>
      </c>
      <c r="E3236" t="inlineStr">
        <is>
          <t>ÖRNSKÖLDSVIK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57126-2023</t>
        </is>
      </c>
      <c r="B3237" s="1" t="n">
        <v>45245</v>
      </c>
      <c r="C3237" s="1" t="n">
        <v>45260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5.4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57305-2023</t>
        </is>
      </c>
      <c r="B3238" s="1" t="n">
        <v>45245</v>
      </c>
      <c r="C3238" s="1" t="n">
        <v>45260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57318-2023</t>
        </is>
      </c>
      <c r="B3239" s="1" t="n">
        <v>45245</v>
      </c>
      <c r="C3239" s="1" t="n">
        <v>45260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57340-2023</t>
        </is>
      </c>
      <c r="B3240" s="1" t="n">
        <v>45245</v>
      </c>
      <c r="C3240" s="1" t="n">
        <v>45260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57545-2023</t>
        </is>
      </c>
      <c r="B3241" s="1" t="n">
        <v>45246</v>
      </c>
      <c r="C3241" s="1" t="n">
        <v>45260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57623-2023</t>
        </is>
      </c>
      <c r="B3242" s="1" t="n">
        <v>45246</v>
      </c>
      <c r="C3242" s="1" t="n">
        <v>45260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45260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57671-2023</t>
        </is>
      </c>
      <c r="B3244" s="1" t="n">
        <v>45246</v>
      </c>
      <c r="C3244" s="1" t="n">
        <v>45260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57859-2023</t>
        </is>
      </c>
      <c r="B3245" s="1" t="n">
        <v>45247</v>
      </c>
      <c r="C3245" s="1" t="n">
        <v>45260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57888-2023</t>
        </is>
      </c>
      <c r="B3246" s="1" t="n">
        <v>45247</v>
      </c>
      <c r="C3246" s="1" t="n">
        <v>45260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57918-2023</t>
        </is>
      </c>
      <c r="B3247" s="1" t="n">
        <v>45247</v>
      </c>
      <c r="C3247" s="1" t="n">
        <v>45260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57924-2023</t>
        </is>
      </c>
      <c r="B3248" s="1" t="n">
        <v>45247</v>
      </c>
      <c r="C3248" s="1" t="n">
        <v>45260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57977-2023</t>
        </is>
      </c>
      <c r="B3249" s="1" t="n">
        <v>45247</v>
      </c>
      <c r="C3249" s="1" t="n">
        <v>45260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57919-2023</t>
        </is>
      </c>
      <c r="B3250" s="1" t="n">
        <v>45247</v>
      </c>
      <c r="C3250" s="1" t="n">
        <v>45260</v>
      </c>
      <c r="D3250" t="inlineStr">
        <is>
          <t>VÄSTERNORRLANDS LÄN</t>
        </is>
      </c>
      <c r="E3250" t="inlineStr">
        <is>
          <t>ÖRNSKÖLDSVIK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57974-2023</t>
        </is>
      </c>
      <c r="B3251" s="1" t="n">
        <v>45247</v>
      </c>
      <c r="C3251" s="1" t="n">
        <v>45260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57994-2023</t>
        </is>
      </c>
      <c r="B3252" s="1" t="n">
        <v>45247</v>
      </c>
      <c r="C3252" s="1" t="n">
        <v>45260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58055-2023</t>
        </is>
      </c>
      <c r="B3253" s="1" t="n">
        <v>45247</v>
      </c>
      <c r="C3253" s="1" t="n">
        <v>45260</v>
      </c>
      <c r="D3253" t="inlineStr">
        <is>
          <t>VÄSTERNORRLANDS LÄN</t>
        </is>
      </c>
      <c r="E3253" t="inlineStr">
        <is>
          <t>ÖRNSKÖLDSVIK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45260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58696-2023</t>
        </is>
      </c>
      <c r="B3255" s="1" t="n">
        <v>45247</v>
      </c>
      <c r="C3255" s="1" t="n">
        <v>45260</v>
      </c>
      <c r="D3255" t="inlineStr">
        <is>
          <t>VÄSTERNORRLANDS LÄN</t>
        </is>
      </c>
      <c r="E3255" t="inlineStr">
        <is>
          <t>ÖRNSKÖLDSVIK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58681-2023</t>
        </is>
      </c>
      <c r="B3256" s="1" t="n">
        <v>45247</v>
      </c>
      <c r="C3256" s="1" t="n">
        <v>45260</v>
      </c>
      <c r="D3256" t="inlineStr">
        <is>
          <t>VÄSTERNORRLANDS LÄN</t>
        </is>
      </c>
      <c r="E3256" t="inlineStr">
        <is>
          <t>ÖRNSKÖLDSVIK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58120-2023</t>
        </is>
      </c>
      <c r="B3257" s="1" t="n">
        <v>45249</v>
      </c>
      <c r="C3257" s="1" t="n">
        <v>45260</v>
      </c>
      <c r="D3257" t="inlineStr">
        <is>
          <t>VÄSTERNORRLANDS LÄN</t>
        </is>
      </c>
      <c r="E3257" t="inlineStr">
        <is>
          <t>ÖRNSKÖLDSVIK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58167-2023</t>
        </is>
      </c>
      <c r="B3258" s="1" t="n">
        <v>45250</v>
      </c>
      <c r="C3258" s="1" t="n">
        <v>45260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58250-2023</t>
        </is>
      </c>
      <c r="B3259" s="1" t="n">
        <v>45250</v>
      </c>
      <c r="C3259" s="1" t="n">
        <v>45260</v>
      </c>
      <c r="D3259" t="inlineStr">
        <is>
          <t>VÄSTERNORRLANDS LÄN</t>
        </is>
      </c>
      <c r="E3259" t="inlineStr">
        <is>
          <t>ÖRNSKÖLDSVIK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58329-2023</t>
        </is>
      </c>
      <c r="B3260" s="1" t="n">
        <v>45250</v>
      </c>
      <c r="C3260" s="1" t="n">
        <v>45260</v>
      </c>
      <c r="D3260" t="inlineStr">
        <is>
          <t>VÄSTERNORRLANDS LÄN</t>
        </is>
      </c>
      <c r="E3260" t="inlineStr">
        <is>
          <t>ÖRNSKÖLDSVIK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58380-2023</t>
        </is>
      </c>
      <c r="B3261" s="1" t="n">
        <v>45250</v>
      </c>
      <c r="C3261" s="1" t="n">
        <v>45260</v>
      </c>
      <c r="D3261" t="inlineStr">
        <is>
          <t>VÄSTERNORRLANDS LÄN</t>
        </is>
      </c>
      <c r="E3261" t="inlineStr">
        <is>
          <t>ÖRNSKÖLDSVIK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58251-2023</t>
        </is>
      </c>
      <c r="B3262" s="1" t="n">
        <v>45250</v>
      </c>
      <c r="C3262" s="1" t="n">
        <v>45260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58328-2023</t>
        </is>
      </c>
      <c r="B3263" s="1" t="n">
        <v>45250</v>
      </c>
      <c r="C3263" s="1" t="n">
        <v>45260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58449-2023</t>
        </is>
      </c>
      <c r="B3264" s="1" t="n">
        <v>45250</v>
      </c>
      <c r="C3264" s="1" t="n">
        <v>45260</v>
      </c>
      <c r="D3264" t="inlineStr">
        <is>
          <t>VÄSTERNORRLANDS LÄN</t>
        </is>
      </c>
      <c r="E3264" t="inlineStr">
        <is>
          <t>ÖRNSKÖLDSVIK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59024-2023</t>
        </is>
      </c>
      <c r="B3265" s="1" t="n">
        <v>45250</v>
      </c>
      <c r="C3265" s="1" t="n">
        <v>45260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58532-2023</t>
        </is>
      </c>
      <c r="B3266" s="1" t="n">
        <v>45251</v>
      </c>
      <c r="C3266" s="1" t="n">
        <v>45260</v>
      </c>
      <c r="D3266" t="inlineStr">
        <is>
          <t>VÄSTERNORRLANDS LÄN</t>
        </is>
      </c>
      <c r="E3266" t="inlineStr">
        <is>
          <t>ÖRNSKÖLDSVIK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58576-2023</t>
        </is>
      </c>
      <c r="B3267" s="1" t="n">
        <v>45251</v>
      </c>
      <c r="C3267" s="1" t="n">
        <v>45260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58643-2023</t>
        </is>
      </c>
      <c r="B3268" s="1" t="n">
        <v>45251</v>
      </c>
      <c r="C3268" s="1" t="n">
        <v>45260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58678-2023</t>
        </is>
      </c>
      <c r="B3269" s="1" t="n">
        <v>45251</v>
      </c>
      <c r="C3269" s="1" t="n">
        <v>45260</v>
      </c>
      <c r="D3269" t="inlineStr">
        <is>
          <t>VÄSTERNORRLANDS LÄN</t>
        </is>
      </c>
      <c r="E3269" t="inlineStr">
        <is>
          <t>ÖRNSKÖLDSVIK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58709-2023</t>
        </is>
      </c>
      <c r="B3270" s="1" t="n">
        <v>45251</v>
      </c>
      <c r="C3270" s="1" t="n">
        <v>45260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58530-2023</t>
        </is>
      </c>
      <c r="B3271" s="1" t="n">
        <v>45251</v>
      </c>
      <c r="C3271" s="1" t="n">
        <v>45260</v>
      </c>
      <c r="D3271" t="inlineStr">
        <is>
          <t>VÄSTERNORRLANDS LÄN</t>
        </is>
      </c>
      <c r="E3271" t="inlineStr">
        <is>
          <t>ÖRNSKÖLDSVIK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58702-2023</t>
        </is>
      </c>
      <c r="B3272" s="1" t="n">
        <v>45251</v>
      </c>
      <c r="C3272" s="1" t="n">
        <v>45260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45260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59018-2023</t>
        </is>
      </c>
      <c r="B3274" s="1" t="n">
        <v>45252</v>
      </c>
      <c r="C3274" s="1" t="n">
        <v>45260</v>
      </c>
      <c r="D3274" t="inlineStr">
        <is>
          <t>VÄSTERNORRLANDS LÄN</t>
        </is>
      </c>
      <c r="E3274" t="inlineStr">
        <is>
          <t>ÖRNSKÖLDSVIK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59162-2023</t>
        </is>
      </c>
      <c r="B3275" s="1" t="n">
        <v>45253</v>
      </c>
      <c r="C3275" s="1" t="n">
        <v>45260</v>
      </c>
      <c r="D3275" t="inlineStr">
        <is>
          <t>VÄSTERNORRLANDS LÄN</t>
        </is>
      </c>
      <c r="E3275" t="inlineStr">
        <is>
          <t>ÖRNSKÖLDSVIK</t>
        </is>
      </c>
      <c r="G3275" t="n">
        <v>8.9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59316-2023</t>
        </is>
      </c>
      <c r="B3276" s="1" t="n">
        <v>45253</v>
      </c>
      <c r="C3276" s="1" t="n">
        <v>45260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59230-2023</t>
        </is>
      </c>
      <c r="B3277" s="1" t="n">
        <v>45253</v>
      </c>
      <c r="C3277" s="1" t="n">
        <v>45260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59531-2023</t>
        </is>
      </c>
      <c r="B3278" s="1" t="n">
        <v>45253</v>
      </c>
      <c r="C3278" s="1" t="n">
        <v>45260</v>
      </c>
      <c r="D3278" t="inlineStr">
        <is>
          <t>VÄSTERNORRLANDS LÄN</t>
        </is>
      </c>
      <c r="E3278" t="inlineStr">
        <is>
          <t>ÖRNSKÖLDSVIK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59495-2023</t>
        </is>
      </c>
      <c r="B3279" s="1" t="n">
        <v>45253</v>
      </c>
      <c r="C3279" s="1" t="n">
        <v>45260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59649-2023</t>
        </is>
      </c>
      <c r="B3280" s="1" t="n">
        <v>45253</v>
      </c>
      <c r="C3280" s="1" t="n">
        <v>45260</v>
      </c>
      <c r="D3280" t="inlineStr">
        <is>
          <t>VÄSTERNORRLANDS LÄN</t>
        </is>
      </c>
      <c r="E3280" t="inlineStr">
        <is>
          <t>ÖRNSKÖLDSVIK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59451-2023</t>
        </is>
      </c>
      <c r="B3281" s="1" t="n">
        <v>45254</v>
      </c>
      <c r="C3281" s="1" t="n">
        <v>45260</v>
      </c>
      <c r="D3281" t="inlineStr">
        <is>
          <t>VÄSTERNORRLANDS LÄN</t>
        </is>
      </c>
      <c r="E3281" t="inlineStr">
        <is>
          <t>ÖRNSKÖLDSVIK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59432-2023</t>
        </is>
      </c>
      <c r="B3282" s="1" t="n">
        <v>45254</v>
      </c>
      <c r="C3282" s="1" t="n">
        <v>45260</v>
      </c>
      <c r="D3282" t="inlineStr">
        <is>
          <t>VÄSTERNORRLANDS LÄN</t>
        </is>
      </c>
      <c r="E3282" t="inlineStr">
        <is>
          <t>ÖRNSKÖLDSVIK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59592-2023</t>
        </is>
      </c>
      <c r="B3283" s="1" t="n">
        <v>45254</v>
      </c>
      <c r="C3283" s="1" t="n">
        <v>45260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59494-2023</t>
        </is>
      </c>
      <c r="B3284" s="1" t="n">
        <v>45254</v>
      </c>
      <c r="C3284" s="1" t="n">
        <v>45260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59560-2023</t>
        </is>
      </c>
      <c r="B3285" s="1" t="n">
        <v>45254</v>
      </c>
      <c r="C3285" s="1" t="n">
        <v>45260</v>
      </c>
      <c r="D3285" t="inlineStr">
        <is>
          <t>VÄSTERNORRLANDS LÄN</t>
        </is>
      </c>
      <c r="E3285" t="inlineStr">
        <is>
          <t>ÖRNSKÖLDSVIK</t>
        </is>
      </c>
      <c r="G3285" t="n">
        <v>12.1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59581-2023</t>
        </is>
      </c>
      <c r="B3286" s="1" t="n">
        <v>45254</v>
      </c>
      <c r="C3286" s="1" t="n">
        <v>45260</v>
      </c>
      <c r="D3286" t="inlineStr">
        <is>
          <t>VÄSTERNORRLANDS LÄN</t>
        </is>
      </c>
      <c r="E3286" t="inlineStr">
        <is>
          <t>ÖRNSKÖLDSVIK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59665-2023</t>
        </is>
      </c>
      <c r="B3287" s="1" t="n">
        <v>45255</v>
      </c>
      <c r="C3287" s="1" t="n">
        <v>45260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SCA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59970-2023</t>
        </is>
      </c>
      <c r="B3288" s="1" t="n">
        <v>45254</v>
      </c>
      <c r="C3288" s="1" t="n">
        <v>45260</v>
      </c>
      <c r="D3288" t="inlineStr">
        <is>
          <t>VÄSTERNORRLANDS LÄN</t>
        </is>
      </c>
      <c r="E3288" t="inlineStr">
        <is>
          <t>ÖRNSKÖLDSVIK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59898-2023</t>
        </is>
      </c>
      <c r="B3289" s="1" t="n">
        <v>45257</v>
      </c>
      <c r="C3289" s="1" t="n">
        <v>45260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59911-2023</t>
        </is>
      </c>
      <c r="B3290" s="1" t="n">
        <v>45257</v>
      </c>
      <c r="C3290" s="1" t="n">
        <v>45260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59924-2023</t>
        </is>
      </c>
      <c r="B3291" s="1" t="n">
        <v>45257</v>
      </c>
      <c r="C3291" s="1" t="n">
        <v>45260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60000-2023</t>
        </is>
      </c>
      <c r="B3292" s="1" t="n">
        <v>45258</v>
      </c>
      <c r="C3292" s="1" t="n">
        <v>45260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12.8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60070-2023</t>
        </is>
      </c>
      <c r="B3293" s="1" t="n">
        <v>45258</v>
      </c>
      <c r="C3293" s="1" t="n">
        <v>45260</v>
      </c>
      <c r="D3293" t="inlineStr">
        <is>
          <t>VÄSTERNORRLANDS LÄN</t>
        </is>
      </c>
      <c r="E3293" t="inlineStr">
        <is>
          <t>ÖRNSKÖLDSVIK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60110-2023</t>
        </is>
      </c>
      <c r="B3294" s="1" t="n">
        <v>45258</v>
      </c>
      <c r="C3294" s="1" t="n">
        <v>45260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60095-2023</t>
        </is>
      </c>
      <c r="B3295" s="1" t="n">
        <v>45258</v>
      </c>
      <c r="C3295" s="1" t="n">
        <v>45260</v>
      </c>
      <c r="D3295" t="inlineStr">
        <is>
          <t>VÄSTERNORRLANDS LÄN</t>
        </is>
      </c>
      <c r="E3295" t="inlineStr">
        <is>
          <t>ÖRNSKÖLDSVIK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60241-2023</t>
        </is>
      </c>
      <c r="B3296" s="1" t="n">
        <v>45258</v>
      </c>
      <c r="C3296" s="1" t="n">
        <v>45260</v>
      </c>
      <c r="D3296" t="inlineStr">
        <is>
          <t>VÄSTERNORRLANDS LÄN</t>
        </is>
      </c>
      <c r="E3296" t="inlineStr">
        <is>
          <t>ÖRNSKÖLDSVIK</t>
        </is>
      </c>
      <c r="G3296" t="n">
        <v>23.9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60219-2023</t>
        </is>
      </c>
      <c r="B3297" s="1" t="n">
        <v>45258</v>
      </c>
      <c r="C3297" s="1" t="n">
        <v>45260</v>
      </c>
      <c r="D3297" t="inlineStr">
        <is>
          <t>VÄSTERNORRLANDS LÄN</t>
        </is>
      </c>
      <c r="E3297" t="inlineStr">
        <is>
          <t>ÖRNSKÖLDSVIK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60419-2023</t>
        </is>
      </c>
      <c r="B3298" s="1" t="n">
        <v>45258</v>
      </c>
      <c r="C3298" s="1" t="n">
        <v>45260</v>
      </c>
      <c r="D3298" t="inlineStr">
        <is>
          <t>VÄSTERNORRLANDS LÄN</t>
        </is>
      </c>
      <c r="E3298" t="inlineStr">
        <is>
          <t>ÖRNSKÖLDSVIK</t>
        </is>
      </c>
      <c r="G3298" t="n">
        <v>4.6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60440-2023</t>
        </is>
      </c>
      <c r="B3299" s="1" t="n">
        <v>45258</v>
      </c>
      <c r="C3299" s="1" t="n">
        <v>45260</v>
      </c>
      <c r="D3299" t="inlineStr">
        <is>
          <t>VÄSTERNORRLANDS LÄN</t>
        </is>
      </c>
      <c r="E3299" t="inlineStr">
        <is>
          <t>ÖRNSKÖLDSVIK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60313-2023</t>
        </is>
      </c>
      <c r="B3300" s="1" t="n">
        <v>45258</v>
      </c>
      <c r="C3300" s="1" t="n">
        <v>45260</v>
      </c>
      <c r="D3300" t="inlineStr">
        <is>
          <t>VÄSTERNORRLANDS LÄN</t>
        </is>
      </c>
      <c r="E3300" t="inlineStr">
        <is>
          <t>ÖRNSKÖLDSVIK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60425-2023</t>
        </is>
      </c>
      <c r="B3301" s="1" t="n">
        <v>45258</v>
      </c>
      <c r="C3301" s="1" t="n">
        <v>45260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45260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60470-2023</t>
        </is>
      </c>
      <c r="B3303" s="1" t="n">
        <v>45258</v>
      </c>
      <c r="C3303" s="1" t="n">
        <v>45260</v>
      </c>
      <c r="D3303" t="inlineStr">
        <is>
          <t>VÄSTERNORRLANDS LÄN</t>
        </is>
      </c>
      <c r="E3303" t="inlineStr">
        <is>
          <t>ÖRNSKÖLDSVIK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>
      <c r="A3304" t="inlineStr">
        <is>
          <t>A 60573-2023</t>
        </is>
      </c>
      <c r="B3304" s="1" t="n">
        <v>45259</v>
      </c>
      <c r="C3304" s="1" t="n">
        <v>45260</v>
      </c>
      <c r="D3304" t="inlineStr">
        <is>
          <t>VÄSTERNORRLANDS LÄN</t>
        </is>
      </c>
      <c r="E3304" t="inlineStr">
        <is>
          <t>ÖRNSKÖLDSVIK</t>
        </is>
      </c>
      <c r="G3304" t="n">
        <v>36.7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2023-11-30T10:29:50Z</dcterms:created>
  <dcterms:modified xmlns:dcterms="http://purl.org/dc/terms/" xmlns:xsi="http://www.w3.org/2001/XMLSchema-instance" xsi:type="dcterms:W3CDTF">2023-11-30T10:29:51Z</dcterms:modified>
</cp:coreProperties>
</file>