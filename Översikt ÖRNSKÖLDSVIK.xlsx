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46137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46137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46137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46137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46137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46137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46137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46137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46137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46137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46137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46137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46137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46137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46137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46137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46137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46137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46137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46137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46137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46137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46137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46137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46137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46137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46137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46137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46137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46137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46137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46137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46137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46137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46137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46137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46137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46137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44274-2025</t>
        </is>
      </c>
      <c r="B59" s="1" t="n">
        <v>45916.33296296297</v>
      </c>
      <c r="C59" s="1" t="n">
        <v>46137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8.9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Bårdlav</t>
        </is>
      </c>
      <c r="S59">
        <f>HYPERLINK("https://klasma.github.io/Logging_2284/artfynd/A 44274-2025 artfynd.xlsx", "A 44274-2025")</f>
        <v/>
      </c>
      <c r="T59">
        <f>HYPERLINK("https://klasma.github.io/Logging_2284/kartor/A 44274-2025 karta.png", "A 44274-2025")</f>
        <v/>
      </c>
      <c r="V59">
        <f>HYPERLINK("https://klasma.github.io/Logging_2284/klagomål/A 44274-2025 FSC-klagomål.docx", "A 44274-2025")</f>
        <v/>
      </c>
      <c r="W59">
        <f>HYPERLINK("https://klasma.github.io/Logging_2284/klagomålsmail/A 44274-2025 FSC-klagomål mail.docx", "A 44274-2025")</f>
        <v/>
      </c>
      <c r="X59">
        <f>HYPERLINK("https://klasma.github.io/Logging_2284/tillsyn/A 44274-2025 tillsynsbegäran.docx", "A 44274-2025")</f>
        <v/>
      </c>
      <c r="Y59">
        <f>HYPERLINK("https://klasma.github.io/Logging_2284/tillsynsmail/A 44274-2025 tillsynsbegäran mail.docx", "A 44274-2025")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46137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46137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46137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46137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46137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12288-2024</t>
        </is>
      </c>
      <c r="B66" s="1" t="n">
        <v>45378</v>
      </c>
      <c r="C66" s="1" t="n">
        <v>46137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4.7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Vedskivlav
Luddlav</t>
        </is>
      </c>
      <c r="S66">
        <f>HYPERLINK("https://klasma.github.io/Logging_2284/artfynd/A 12288-2024 artfynd.xlsx", "A 12288-2024")</f>
        <v/>
      </c>
      <c r="T66">
        <f>HYPERLINK("https://klasma.github.io/Logging_2284/kartor/A 12288-2024 karta.png", "A 12288-2024")</f>
        <v/>
      </c>
      <c r="V66">
        <f>HYPERLINK("https://klasma.github.io/Logging_2284/klagomål/A 12288-2024 FSC-klagomål.docx", "A 12288-2024")</f>
        <v/>
      </c>
      <c r="W66">
        <f>HYPERLINK("https://klasma.github.io/Logging_2284/klagomålsmail/A 12288-2024 FSC-klagomål mail.docx", "A 12288-2024")</f>
        <v/>
      </c>
      <c r="X66">
        <f>HYPERLINK("https://klasma.github.io/Logging_2284/tillsyn/A 12288-2024 tillsynsbegäran.docx", "A 12288-2024")</f>
        <v/>
      </c>
      <c r="Y66">
        <f>HYPERLINK("https://klasma.github.io/Logging_2284/tillsynsmail/A 12288-2024 tillsynsbegäran mail.docx", "A 12288-2024")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46137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46137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46137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46137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46137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46137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46137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46137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61395-2025</t>
        </is>
      </c>
      <c r="B78" s="1" t="n">
        <v>46001.47253472222</v>
      </c>
      <c r="C78" s="1" t="n">
        <v>46137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0.3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Mindre hackspett
Spillkråka</t>
        </is>
      </c>
      <c r="S78">
        <f>HYPERLINK("https://klasma.github.io/Logging_2284/artfynd/A 61395-2025 artfynd.xlsx", "A 61395-2025")</f>
        <v/>
      </c>
      <c r="T78">
        <f>HYPERLINK("https://klasma.github.io/Logging_2284/kartor/A 61395-2025 karta.png", "A 61395-2025")</f>
        <v/>
      </c>
      <c r="V78">
        <f>HYPERLINK("https://klasma.github.io/Logging_2284/klagomål/A 61395-2025 FSC-klagomål.docx", "A 61395-2025")</f>
        <v/>
      </c>
      <c r="W78">
        <f>HYPERLINK("https://klasma.github.io/Logging_2284/klagomålsmail/A 61395-2025 FSC-klagomål mail.docx", "A 61395-2025")</f>
        <v/>
      </c>
      <c r="X78">
        <f>HYPERLINK("https://klasma.github.io/Logging_2284/tillsyn/A 61395-2025 tillsynsbegäran.docx", "A 61395-2025")</f>
        <v/>
      </c>
      <c r="Y78">
        <f>HYPERLINK("https://klasma.github.io/Logging_2284/tillsynsmail/A 61395-2025 tillsynsbegäran mail.docx", "A 61395-2025")</f>
        <v/>
      </c>
      <c r="Z78">
        <f>HYPERLINK("https://klasma.github.io/Logging_2284/fåglar/A 61395-2025 prioriterade fågelarter.docx", "A 61395-2025")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46137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56530-2022</t>
        </is>
      </c>
      <c r="B80" s="1" t="n">
        <v>44893</v>
      </c>
      <c r="C80" s="1" t="n">
        <v>46137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Violettgrå tagellav
Skinnlav</t>
        </is>
      </c>
      <c r="S80">
        <f>HYPERLINK("https://klasma.github.io/Logging_2284/artfynd/A 56530-2022 artfynd.xlsx", "A 56530-2022")</f>
        <v/>
      </c>
      <c r="T80">
        <f>HYPERLINK("https://klasma.github.io/Logging_2284/kartor/A 56530-2022 karta.png", "A 56530-2022")</f>
        <v/>
      </c>
      <c r="V80">
        <f>HYPERLINK("https://klasma.github.io/Logging_2284/klagomål/A 56530-2022 FSC-klagomål.docx", "A 56530-2022")</f>
        <v/>
      </c>
      <c r="W80">
        <f>HYPERLINK("https://klasma.github.io/Logging_2284/klagomålsmail/A 56530-2022 FSC-klagomål mail.docx", "A 56530-2022")</f>
        <v/>
      </c>
      <c r="X80">
        <f>HYPERLINK("https://klasma.github.io/Logging_2284/tillsyn/A 56530-2022 tillsynsbegäran.docx", "A 56530-2022")</f>
        <v/>
      </c>
      <c r="Y80">
        <f>HYPERLINK("https://klasma.github.io/Logging_2284/tillsynsmail/A 56530-2022 tillsynsbegäran mail.docx", "A 56530-2022")</f>
        <v/>
      </c>
    </row>
    <row r="81" ht="15" customHeight="1">
      <c r="A81" t="inlineStr">
        <is>
          <t>A 22498-2024</t>
        </is>
      </c>
      <c r="B81" s="1" t="n">
        <v>45447</v>
      </c>
      <c r="C81" s="1" t="n">
        <v>46137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HYPERLINK("https://klasma.github.io/Logging_2284/artfynd/A 22498-2024 artfynd.xlsx", "A 22498-2024")</f>
        <v/>
      </c>
      <c r="T81">
        <f>HYPERLINK("https://klasma.github.io/Logging_2284/kartor/A 22498-2024 karta.png", "A 22498-2024")</f>
        <v/>
      </c>
      <c r="V81">
        <f>HYPERLINK("https://klasma.github.io/Logging_2284/klagomål/A 22498-2024 FSC-klagomål.docx", "A 22498-2024")</f>
        <v/>
      </c>
      <c r="W81">
        <f>HYPERLINK("https://klasma.github.io/Logging_2284/klagomålsmail/A 22498-2024 FSC-klagomål mail.docx", "A 22498-2024")</f>
        <v/>
      </c>
      <c r="X81">
        <f>HYPERLINK("https://klasma.github.io/Logging_2284/tillsyn/A 22498-2024 tillsynsbegäran.docx", "A 22498-2024")</f>
        <v/>
      </c>
      <c r="Y81">
        <f>HYPERLINK("https://klasma.github.io/Logging_2284/tillsynsmail/A 22498-2024 tillsynsbegäran mail.docx", "A 22498-2024")</f>
        <v/>
      </c>
    </row>
    <row r="82" ht="15" customHeight="1">
      <c r="A82" t="inlineStr">
        <is>
          <t>A 32524-2024</t>
        </is>
      </c>
      <c r="B82" s="1" t="n">
        <v>45513.47335648148</v>
      </c>
      <c r="C82" s="1" t="n">
        <v>46137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Kolflarnlav</t>
        </is>
      </c>
      <c r="S82">
        <f>HYPERLINK("https://klasma.github.io/Logging_2284/artfynd/A 32524-2024 artfynd.xlsx", "A 32524-2024")</f>
        <v/>
      </c>
      <c r="T82">
        <f>HYPERLINK("https://klasma.github.io/Logging_2284/kartor/A 32524-2024 karta.png", "A 32524-2024")</f>
        <v/>
      </c>
      <c r="V82">
        <f>HYPERLINK("https://klasma.github.io/Logging_2284/klagomål/A 32524-2024 FSC-klagomål.docx", "A 32524-2024")</f>
        <v/>
      </c>
      <c r="W82">
        <f>HYPERLINK("https://klasma.github.io/Logging_2284/klagomålsmail/A 32524-2024 FSC-klagomål mail.docx", "A 32524-2024")</f>
        <v/>
      </c>
      <c r="X82">
        <f>HYPERLINK("https://klasma.github.io/Logging_2284/tillsyn/A 32524-2024 tillsynsbegäran.docx", "A 32524-2024")</f>
        <v/>
      </c>
      <c r="Y82">
        <f>HYPERLINK("https://klasma.github.io/Logging_2284/tillsynsmail/A 32524-2024 tillsynsbegäran mail.docx", "A 32524-2024")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46137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46137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46137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46137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46137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46137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46137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46137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46137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46137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62080-2022</t>
        </is>
      </c>
      <c r="B94" s="1" t="n">
        <v>44918.93556712963</v>
      </c>
      <c r="C94" s="1" t="n">
        <v>46137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4.8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62080-2022 artfynd.xlsx", "A 62080-2022")</f>
        <v/>
      </c>
      <c r="T94">
        <f>HYPERLINK("https://klasma.github.io/Logging_2284/kartor/A 62080-2022 karta.png", "A 62080-2022")</f>
        <v/>
      </c>
      <c r="V94">
        <f>HYPERLINK("https://klasma.github.io/Logging_2284/klagomål/A 62080-2022 FSC-klagomål.docx", "A 62080-2022")</f>
        <v/>
      </c>
      <c r="W94">
        <f>HYPERLINK("https://klasma.github.io/Logging_2284/klagomålsmail/A 62080-2022 FSC-klagomål mail.docx", "A 62080-2022")</f>
        <v/>
      </c>
      <c r="X94">
        <f>HYPERLINK("https://klasma.github.io/Logging_2284/tillsyn/A 62080-2022 tillsynsbegäran.docx", "A 62080-2022")</f>
        <v/>
      </c>
      <c r="Y94">
        <f>HYPERLINK("https://klasma.github.io/Logging_2284/tillsynsmail/A 62080-2022 tillsynsbegäran mail.docx", "A 62080-2022")</f>
        <v/>
      </c>
      <c r="Z94">
        <f>HYPERLINK("https://klasma.github.io/Logging_2284/fåglar/A 62080-2022 prioriterade fågelarter.docx", "A 62080-2022")</f>
        <v/>
      </c>
    </row>
    <row r="95" ht="15" customHeight="1">
      <c r="A95" t="inlineStr">
        <is>
          <t>A 50351-2023</t>
        </is>
      </c>
      <c r="B95" s="1" t="n">
        <v>45216</v>
      </c>
      <c r="C95" s="1" t="n">
        <v>46137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Bårdlav</t>
        </is>
      </c>
      <c r="S95">
        <f>HYPERLINK("https://klasma.github.io/Logging_2284/artfynd/A 50351-2023 artfynd.xlsx", "A 50351-2023")</f>
        <v/>
      </c>
      <c r="T95">
        <f>HYPERLINK("https://klasma.github.io/Logging_2284/kartor/A 50351-2023 karta.png", "A 50351-2023")</f>
        <v/>
      </c>
      <c r="V95">
        <f>HYPERLINK("https://klasma.github.io/Logging_2284/klagomål/A 50351-2023 FSC-klagomål.docx", "A 50351-2023")</f>
        <v/>
      </c>
      <c r="W95">
        <f>HYPERLINK("https://klasma.github.io/Logging_2284/klagomålsmail/A 50351-2023 FSC-klagomål mail.docx", "A 50351-2023")</f>
        <v/>
      </c>
      <c r="X95">
        <f>HYPERLINK("https://klasma.github.io/Logging_2284/tillsyn/A 50351-2023 tillsynsbegäran.docx", "A 50351-2023")</f>
        <v/>
      </c>
      <c r="Y95">
        <f>HYPERLINK("https://klasma.github.io/Logging_2284/tillsynsmail/A 50351-2023 tillsynsbegäran mail.docx", "A 50351-2023")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46137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46137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46137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20690-2025</t>
        </is>
      </c>
      <c r="B99" s="1" t="n">
        <v>45776.45857638889</v>
      </c>
      <c r="C99" s="1" t="n">
        <v>46137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20690-2025 artfynd.xlsx", "A 20690-2025")</f>
        <v/>
      </c>
      <c r="T99">
        <f>HYPERLINK("https://klasma.github.io/Logging_2284/kartor/A 20690-2025 karta.png", "A 20690-2025")</f>
        <v/>
      </c>
      <c r="V99">
        <f>HYPERLINK("https://klasma.github.io/Logging_2284/klagomål/A 20690-2025 FSC-klagomål.docx", "A 20690-2025")</f>
        <v/>
      </c>
      <c r="W99">
        <f>HYPERLINK("https://klasma.github.io/Logging_2284/klagomålsmail/A 20690-2025 FSC-klagomål mail.docx", "A 20690-2025")</f>
        <v/>
      </c>
      <c r="X99">
        <f>HYPERLINK("https://klasma.github.io/Logging_2284/tillsyn/A 20690-2025 tillsynsbegäran.docx", "A 20690-2025")</f>
        <v/>
      </c>
      <c r="Y99">
        <f>HYPERLINK("https://klasma.github.io/Logging_2284/tillsynsmail/A 20690-2025 tillsynsbegäran mail.docx", "A 20690-2025")</f>
        <v/>
      </c>
    </row>
    <row r="100" ht="15" customHeight="1">
      <c r="A100" t="inlineStr">
        <is>
          <t>A 21356-2025</t>
        </is>
      </c>
      <c r="B100" s="1" t="n">
        <v>45782.42341435186</v>
      </c>
      <c r="C100" s="1" t="n">
        <v>46137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21356-2025 artfynd.xlsx", "A 21356-2025")</f>
        <v/>
      </c>
      <c r="T100">
        <f>HYPERLINK("https://klasma.github.io/Logging_2284/kartor/A 21356-2025 karta.png", "A 21356-2025")</f>
        <v/>
      </c>
      <c r="V100">
        <f>HYPERLINK("https://klasma.github.io/Logging_2284/klagomål/A 21356-2025 FSC-klagomål.docx", "A 21356-2025")</f>
        <v/>
      </c>
      <c r="W100">
        <f>HYPERLINK("https://klasma.github.io/Logging_2284/klagomålsmail/A 21356-2025 FSC-klagomål mail.docx", "A 21356-2025")</f>
        <v/>
      </c>
      <c r="X100">
        <f>HYPERLINK("https://klasma.github.io/Logging_2284/tillsyn/A 21356-2025 tillsynsbegäran.docx", "A 21356-2025")</f>
        <v/>
      </c>
      <c r="Y100">
        <f>HYPERLINK("https://klasma.github.io/Logging_2284/tillsynsmail/A 21356-2025 tillsynsbegäran mail.docx", "A 21356-2025")</f>
        <v/>
      </c>
    </row>
    <row r="101" ht="15" customHeight="1">
      <c r="A101" t="inlineStr">
        <is>
          <t>A 8677-2023</t>
        </is>
      </c>
      <c r="B101" s="1" t="n">
        <v>44977</v>
      </c>
      <c r="C101" s="1" t="n">
        <v>46137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8677-2023 artfynd.xlsx", "A 8677-2023")</f>
        <v/>
      </c>
      <c r="T101">
        <f>HYPERLINK("https://klasma.github.io/Logging_2284/kartor/A 8677-2023 karta.png", "A 8677-2023")</f>
        <v/>
      </c>
      <c r="V101">
        <f>HYPERLINK("https://klasma.github.io/Logging_2284/klagomål/A 8677-2023 FSC-klagomål.docx", "A 8677-2023")</f>
        <v/>
      </c>
      <c r="W101">
        <f>HYPERLINK("https://klasma.github.io/Logging_2284/klagomålsmail/A 8677-2023 FSC-klagomål mail.docx", "A 8677-2023")</f>
        <v/>
      </c>
      <c r="X101">
        <f>HYPERLINK("https://klasma.github.io/Logging_2284/tillsyn/A 8677-2023 tillsynsbegäran.docx", "A 8677-2023")</f>
        <v/>
      </c>
      <c r="Y101">
        <f>HYPERLINK("https://klasma.github.io/Logging_2284/tillsynsmail/A 8677-2023 tillsynsbegäran mail.docx", "A 8677-2023")</f>
        <v/>
      </c>
    </row>
    <row r="102" ht="15" customHeight="1">
      <c r="A102" t="inlineStr">
        <is>
          <t>A 44743-2025</t>
        </is>
      </c>
      <c r="B102" s="1" t="n">
        <v>45917.67121527778</v>
      </c>
      <c r="C102" s="1" t="n">
        <v>46137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44743-2025 artfynd.xlsx", "A 44743-2025")</f>
        <v/>
      </c>
      <c r="T102">
        <f>HYPERLINK("https://klasma.github.io/Logging_2284/kartor/A 44743-2025 karta.png", "A 44743-2025")</f>
        <v/>
      </c>
      <c r="V102">
        <f>HYPERLINK("https://klasma.github.io/Logging_2284/klagomål/A 44743-2025 FSC-klagomål.docx", "A 44743-2025")</f>
        <v/>
      </c>
      <c r="W102">
        <f>HYPERLINK("https://klasma.github.io/Logging_2284/klagomålsmail/A 44743-2025 FSC-klagomål mail.docx", "A 44743-2025")</f>
        <v/>
      </c>
      <c r="X102">
        <f>HYPERLINK("https://klasma.github.io/Logging_2284/tillsyn/A 44743-2025 tillsynsbegäran.docx", "A 44743-2025")</f>
        <v/>
      </c>
      <c r="Y102">
        <f>HYPERLINK("https://klasma.github.io/Logging_2284/tillsynsmail/A 44743-2025 tillsynsbegäran mail.docx", "A 44743-2025")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46137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23708-2025</t>
        </is>
      </c>
      <c r="B104" s="1" t="n">
        <v>45793.37701388889</v>
      </c>
      <c r="C104" s="1" t="n">
        <v>46137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HYPERLINK("https://klasma.github.io/Logging_2284/artfynd/A 23708-2025 artfynd.xlsx", "A 23708-2025")</f>
        <v/>
      </c>
      <c r="T104">
        <f>HYPERLINK("https://klasma.github.io/Logging_2284/kartor/A 23708-2025 karta.png", "A 23708-2025")</f>
        <v/>
      </c>
      <c r="V104">
        <f>HYPERLINK("https://klasma.github.io/Logging_2284/klagomål/A 23708-2025 FSC-klagomål.docx", "A 23708-2025")</f>
        <v/>
      </c>
      <c r="W104">
        <f>HYPERLINK("https://klasma.github.io/Logging_2284/klagomålsmail/A 23708-2025 FSC-klagomål mail.docx", "A 23708-2025")</f>
        <v/>
      </c>
      <c r="X104">
        <f>HYPERLINK("https://klasma.github.io/Logging_2284/tillsyn/A 23708-2025 tillsynsbegäran.docx", "A 23708-2025")</f>
        <v/>
      </c>
      <c r="Y104">
        <f>HYPERLINK("https://klasma.github.io/Logging_2284/tillsynsmail/A 23708-2025 tillsynsbegäran mail.docx", "A 23708-2025")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46137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46137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25054-2025</t>
        </is>
      </c>
      <c r="B107" s="1" t="n">
        <v>45799.67668981481</v>
      </c>
      <c r="C107" s="1" t="n">
        <v>46137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25054-2025 artfynd.xlsx", "A 25054-2025")</f>
        <v/>
      </c>
      <c r="T107">
        <f>HYPERLINK("https://klasma.github.io/Logging_2284/kartor/A 25054-2025 karta.png", "A 25054-2025")</f>
        <v/>
      </c>
      <c r="V107">
        <f>HYPERLINK("https://klasma.github.io/Logging_2284/klagomål/A 25054-2025 FSC-klagomål.docx", "A 25054-2025")</f>
        <v/>
      </c>
      <c r="W107">
        <f>HYPERLINK("https://klasma.github.io/Logging_2284/klagomålsmail/A 25054-2025 FSC-klagomål mail.docx", "A 25054-2025")</f>
        <v/>
      </c>
      <c r="X107">
        <f>HYPERLINK("https://klasma.github.io/Logging_2284/tillsyn/A 25054-2025 tillsynsbegäran.docx", "A 25054-2025")</f>
        <v/>
      </c>
      <c r="Y107">
        <f>HYPERLINK("https://klasma.github.io/Logging_2284/tillsynsmail/A 25054-2025 tillsynsbegäran mail.docx", "A 25054-2025")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46137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54549-2024</t>
        </is>
      </c>
      <c r="B109" s="1" t="n">
        <v>45617.61650462963</v>
      </c>
      <c r="C109" s="1" t="n">
        <v>46137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54549-2024 artfynd.xlsx", "A 54549-2024")</f>
        <v/>
      </c>
      <c r="T109">
        <f>HYPERLINK("https://klasma.github.io/Logging_2284/kartor/A 54549-2024 karta.png", "A 54549-2024")</f>
        <v/>
      </c>
      <c r="V109">
        <f>HYPERLINK("https://klasma.github.io/Logging_2284/klagomål/A 54549-2024 FSC-klagomål.docx", "A 54549-2024")</f>
        <v/>
      </c>
      <c r="W109">
        <f>HYPERLINK("https://klasma.github.io/Logging_2284/klagomålsmail/A 54549-2024 FSC-klagomål mail.docx", "A 54549-2024")</f>
        <v/>
      </c>
      <c r="X109">
        <f>HYPERLINK("https://klasma.github.io/Logging_2284/tillsyn/A 54549-2024 tillsynsbegäran.docx", "A 54549-2024")</f>
        <v/>
      </c>
      <c r="Y109">
        <f>HYPERLINK("https://klasma.github.io/Logging_2284/tillsynsmail/A 54549-2024 tillsynsbegäran mail.docx", "A 54549-2024")</f>
        <v/>
      </c>
    </row>
    <row r="110" ht="15" customHeight="1">
      <c r="A110" t="inlineStr">
        <is>
          <t>A 26400-2025</t>
        </is>
      </c>
      <c r="B110" s="1" t="n">
        <v>45807.33248842593</v>
      </c>
      <c r="C110" s="1" t="n">
        <v>46137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26400-2025 artfynd.xlsx", "A 26400-2025")</f>
        <v/>
      </c>
      <c r="T110">
        <f>HYPERLINK("https://klasma.github.io/Logging_2284/kartor/A 26400-2025 karta.png", "A 26400-2025")</f>
        <v/>
      </c>
      <c r="V110">
        <f>HYPERLINK("https://klasma.github.io/Logging_2284/klagomål/A 26400-2025 FSC-klagomål.docx", "A 26400-2025")</f>
        <v/>
      </c>
      <c r="W110">
        <f>HYPERLINK("https://klasma.github.io/Logging_2284/klagomålsmail/A 26400-2025 FSC-klagomål mail.docx", "A 26400-2025")</f>
        <v/>
      </c>
      <c r="X110">
        <f>HYPERLINK("https://klasma.github.io/Logging_2284/tillsyn/A 26400-2025 tillsynsbegäran.docx", "A 26400-2025")</f>
        <v/>
      </c>
      <c r="Y110">
        <f>HYPERLINK("https://klasma.github.io/Logging_2284/tillsynsmail/A 26400-2025 tillsynsbegäran mail.docx", "A 26400-2025")</f>
        <v/>
      </c>
    </row>
    <row r="111" ht="15" customHeight="1">
      <c r="A111" t="inlineStr">
        <is>
          <t>A 58802-2023</t>
        </is>
      </c>
      <c r="B111" s="1" t="n">
        <v>45247</v>
      </c>
      <c r="C111" s="1" t="n">
        <v>46137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HYPERLINK("https://klasma.github.io/Logging_2284/artfynd/A 58802-2023 artfynd.xlsx", "A 58802-2023")</f>
        <v/>
      </c>
      <c r="T111">
        <f>HYPERLINK("https://klasma.github.io/Logging_2284/kartor/A 58802-2023 karta.png", "A 58802-2023")</f>
        <v/>
      </c>
      <c r="V111">
        <f>HYPERLINK("https://klasma.github.io/Logging_2284/klagomål/A 58802-2023 FSC-klagomål.docx", "A 58802-2023")</f>
        <v/>
      </c>
      <c r="W111">
        <f>HYPERLINK("https://klasma.github.io/Logging_2284/klagomålsmail/A 58802-2023 FSC-klagomål mail.docx", "A 58802-2023")</f>
        <v/>
      </c>
      <c r="X111">
        <f>HYPERLINK("https://klasma.github.io/Logging_2284/tillsyn/A 58802-2023 tillsynsbegäran.docx", "A 58802-2023")</f>
        <v/>
      </c>
      <c r="Y111">
        <f>HYPERLINK("https://klasma.github.io/Logging_2284/tillsynsmail/A 58802-2023 tillsynsbegäran mail.docx", "A 58802-2023")</f>
        <v/>
      </c>
      <c r="Z111">
        <f>HYPERLINK("https://klasma.github.io/Logging_2284/fåglar/A 58802-2023 prioriterade fågelarter.docx", "A 58802-2023")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46137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46137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46137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56479-2025</t>
        </is>
      </c>
      <c r="B117" s="1" t="n">
        <v>45975.39144675926</v>
      </c>
      <c r="C117" s="1" t="n">
        <v>46137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HYPERLINK("https://klasma.github.io/Logging_2284/artfynd/A 56479-2025 artfynd.xlsx", "A 56479-2025")</f>
        <v/>
      </c>
      <c r="T117">
        <f>HYPERLINK("https://klasma.github.io/Logging_2284/kartor/A 56479-2025 karta.png", "A 56479-2025")</f>
        <v/>
      </c>
      <c r="V117">
        <f>HYPERLINK("https://klasma.github.io/Logging_2284/klagomål/A 56479-2025 FSC-klagomål.docx", "A 56479-2025")</f>
        <v/>
      </c>
      <c r="W117">
        <f>HYPERLINK("https://klasma.github.io/Logging_2284/klagomålsmail/A 56479-2025 FSC-klagomål mail.docx", "A 56479-2025")</f>
        <v/>
      </c>
      <c r="X117">
        <f>HYPERLINK("https://klasma.github.io/Logging_2284/tillsyn/A 56479-2025 tillsynsbegäran.docx", "A 56479-2025")</f>
        <v/>
      </c>
      <c r="Y117">
        <f>HYPERLINK("https://klasma.github.io/Logging_2284/tillsynsmail/A 56479-2025 tillsynsbegäran mail.docx", "A 56479-2025")</f>
        <v/>
      </c>
      <c r="Z117">
        <f>HYPERLINK("https://klasma.github.io/Logging_2284/fåglar/A 56479-2025 prioriterade fågelarter.docx", "A 56479-2025")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46137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58252-2025</t>
        </is>
      </c>
      <c r="B119" s="1" t="n">
        <v>45985.39784722222</v>
      </c>
      <c r="C119" s="1" t="n">
        <v>46137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58252-2025 artfynd.xlsx", "A 58252-2025")</f>
        <v/>
      </c>
      <c r="T119">
        <f>HYPERLINK("https://klasma.github.io/Logging_2284/kartor/A 58252-2025 karta.png", "A 58252-2025")</f>
        <v/>
      </c>
      <c r="V119">
        <f>HYPERLINK("https://klasma.github.io/Logging_2284/klagomål/A 58252-2025 FSC-klagomål.docx", "A 58252-2025")</f>
        <v/>
      </c>
      <c r="W119">
        <f>HYPERLINK("https://klasma.github.io/Logging_2284/klagomålsmail/A 58252-2025 FSC-klagomål mail.docx", "A 58252-2025")</f>
        <v/>
      </c>
      <c r="X119">
        <f>HYPERLINK("https://klasma.github.io/Logging_2284/tillsyn/A 58252-2025 tillsynsbegäran.docx", "A 58252-2025")</f>
        <v/>
      </c>
      <c r="Y119">
        <f>HYPERLINK("https://klasma.github.io/Logging_2284/tillsynsmail/A 58252-2025 tillsynsbegäran mail.docx", "A 58252-2025")</f>
        <v/>
      </c>
    </row>
    <row r="120" ht="15" customHeight="1">
      <c r="A120" t="inlineStr">
        <is>
          <t>A 12979-2023</t>
        </is>
      </c>
      <c r="B120" s="1" t="n">
        <v>45002</v>
      </c>
      <c r="C120" s="1" t="n">
        <v>46137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5.2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HYPERLINK("https://klasma.github.io/Logging_2284/artfynd/A 12979-2023 artfynd.xlsx", "A 12979-2023")</f>
        <v/>
      </c>
      <c r="T120">
        <f>HYPERLINK("https://klasma.github.io/Logging_2284/kartor/A 12979-2023 karta.png", "A 12979-2023")</f>
        <v/>
      </c>
      <c r="V120">
        <f>HYPERLINK("https://klasma.github.io/Logging_2284/klagomål/A 12979-2023 FSC-klagomål.docx", "A 12979-2023")</f>
        <v/>
      </c>
      <c r="W120">
        <f>HYPERLINK("https://klasma.github.io/Logging_2284/klagomålsmail/A 12979-2023 FSC-klagomål mail.docx", "A 12979-2023")</f>
        <v/>
      </c>
      <c r="X120">
        <f>HYPERLINK("https://klasma.github.io/Logging_2284/tillsyn/A 12979-2023 tillsynsbegäran.docx", "A 12979-2023")</f>
        <v/>
      </c>
      <c r="Y120">
        <f>HYPERLINK("https://klasma.github.io/Logging_2284/tillsynsmail/A 12979-2023 tillsynsbegäran mail.docx", "A 12979-2023")</f>
        <v/>
      </c>
      <c r="Z120">
        <f>HYPERLINK("https://klasma.github.io/Logging_2284/fåglar/A 12979-2023 prioriterade fågelarter.docx", "A 12979-2023")</f>
        <v/>
      </c>
    </row>
    <row r="121" ht="15" customHeight="1">
      <c r="A121" t="inlineStr">
        <is>
          <t>A 42565-2023</t>
        </is>
      </c>
      <c r="B121" s="1" t="n">
        <v>45176</v>
      </c>
      <c r="C121" s="1" t="n">
        <v>46137</v>
      </c>
      <c r="D121" t="inlineStr">
        <is>
          <t>VÄSTERNORRLANDS LÄN</t>
        </is>
      </c>
      <c r="E121" t="inlineStr">
        <is>
          <t>ÖRNSKÖLDSVIK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42565-2023 artfynd.xlsx", "A 42565-2023")</f>
        <v/>
      </c>
      <c r="T121">
        <f>HYPERLINK("https://klasma.github.io/Logging_2284/kartor/A 42565-2023 karta.png", "A 42565-2023")</f>
        <v/>
      </c>
      <c r="V121">
        <f>HYPERLINK("https://klasma.github.io/Logging_2284/klagomål/A 42565-2023 FSC-klagomål.docx", "A 42565-2023")</f>
        <v/>
      </c>
      <c r="W121">
        <f>HYPERLINK("https://klasma.github.io/Logging_2284/klagomålsmail/A 42565-2023 FSC-klagomål mail.docx", "A 42565-2023")</f>
        <v/>
      </c>
      <c r="X121">
        <f>HYPERLINK("https://klasma.github.io/Logging_2284/tillsyn/A 42565-2023 tillsynsbegäran.docx", "A 42565-2023")</f>
        <v/>
      </c>
      <c r="Y121">
        <f>HYPERLINK("https://klasma.github.io/Logging_2284/tillsynsmail/A 42565-2023 tillsynsbegäran mail.docx", "A 42565-2023")</f>
        <v/>
      </c>
    </row>
    <row r="122" ht="15" customHeight="1">
      <c r="A122" t="inlineStr">
        <is>
          <t>A 61112-2025</t>
        </is>
      </c>
      <c r="B122" s="1" t="n">
        <v>46000.45546296296</v>
      </c>
      <c r="C122" s="1" t="n">
        <v>46137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HYPERLINK("https://klasma.github.io/Logging_2284/artfynd/A 61112-2025 artfynd.xlsx", "A 61112-2025")</f>
        <v/>
      </c>
      <c r="T122">
        <f>HYPERLINK("https://klasma.github.io/Logging_2284/kartor/A 61112-2025 karta.png", "A 61112-2025")</f>
        <v/>
      </c>
      <c r="V122">
        <f>HYPERLINK("https://klasma.github.io/Logging_2284/klagomål/A 61112-2025 FSC-klagomål.docx", "A 61112-2025")</f>
        <v/>
      </c>
      <c r="W122">
        <f>HYPERLINK("https://klasma.github.io/Logging_2284/klagomålsmail/A 61112-2025 FSC-klagomål mail.docx", "A 61112-2025")</f>
        <v/>
      </c>
      <c r="X122">
        <f>HYPERLINK("https://klasma.github.io/Logging_2284/tillsyn/A 61112-2025 tillsynsbegäran.docx", "A 61112-2025")</f>
        <v/>
      </c>
      <c r="Y122">
        <f>HYPERLINK("https://klasma.github.io/Logging_2284/tillsynsmail/A 61112-2025 tillsynsbegäran mail.docx", "A 61112-2025")</f>
        <v/>
      </c>
      <c r="Z122">
        <f>HYPERLINK("https://klasma.github.io/Logging_2284/fåglar/A 61112-2025 prioriterade fågelarter.docx", "A 61112-2025")</f>
        <v/>
      </c>
    </row>
    <row r="123" ht="15" customHeight="1">
      <c r="A123" t="inlineStr">
        <is>
          <t>A 62864-2025</t>
        </is>
      </c>
      <c r="B123" s="1" t="n">
        <v>46008</v>
      </c>
      <c r="C123" s="1" t="n">
        <v>46137</v>
      </c>
      <c r="D123" t="inlineStr">
        <is>
          <t>VÄSTERNORRLANDS LÄN</t>
        </is>
      </c>
      <c r="E123" t="inlineStr">
        <is>
          <t>ÖRNSKÖLDSVIK</t>
        </is>
      </c>
      <c r="G123" t="n">
        <v>10.1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Lappranunkel</t>
        </is>
      </c>
      <c r="S123">
        <f>HYPERLINK("https://klasma.github.io/Logging_2284/artfynd/A 62864-2025 artfynd.xlsx", "A 62864-2025")</f>
        <v/>
      </c>
      <c r="T123">
        <f>HYPERLINK("https://klasma.github.io/Logging_2284/kartor/A 62864-2025 karta.png", "A 62864-2025")</f>
        <v/>
      </c>
      <c r="V123">
        <f>HYPERLINK("https://klasma.github.io/Logging_2284/klagomål/A 62864-2025 FSC-klagomål.docx", "A 62864-2025")</f>
        <v/>
      </c>
      <c r="W123">
        <f>HYPERLINK("https://klasma.github.io/Logging_2284/klagomålsmail/A 62864-2025 FSC-klagomål mail.docx", "A 62864-2025")</f>
        <v/>
      </c>
      <c r="X123">
        <f>HYPERLINK("https://klasma.github.io/Logging_2284/tillsyn/A 62864-2025 tillsynsbegäran.docx", "A 62864-2025")</f>
        <v/>
      </c>
      <c r="Y123">
        <f>HYPERLINK("https://klasma.github.io/Logging_2284/tillsynsmail/A 62864-2025 tillsynsbegäran mail.docx", "A 62864-2025")</f>
        <v/>
      </c>
    </row>
    <row r="124" ht="15" customHeight="1">
      <c r="A124" t="inlineStr">
        <is>
          <t>A 63349-2025</t>
        </is>
      </c>
      <c r="B124" s="1" t="n">
        <v>46010.6640625</v>
      </c>
      <c r="C124" s="1" t="n">
        <v>46137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HYPERLINK("https://klasma.github.io/Logging_2284/artfynd/A 63349-2025 artfynd.xlsx", "A 63349-2025")</f>
        <v/>
      </c>
      <c r="T124">
        <f>HYPERLINK("https://klasma.github.io/Logging_2284/kartor/A 63349-2025 karta.png", "A 63349-2025")</f>
        <v/>
      </c>
      <c r="V124">
        <f>HYPERLINK("https://klasma.github.io/Logging_2284/klagomål/A 63349-2025 FSC-klagomål.docx", "A 63349-2025")</f>
        <v/>
      </c>
      <c r="W124">
        <f>HYPERLINK("https://klasma.github.io/Logging_2284/klagomålsmail/A 63349-2025 FSC-klagomål mail.docx", "A 63349-2025")</f>
        <v/>
      </c>
      <c r="X124">
        <f>HYPERLINK("https://klasma.github.io/Logging_2284/tillsyn/A 63349-2025 tillsynsbegäran.docx", "A 63349-2025")</f>
        <v/>
      </c>
      <c r="Y124">
        <f>HYPERLINK("https://klasma.github.io/Logging_2284/tillsynsmail/A 63349-2025 tillsynsbegäran mail.docx", "A 63349-2025")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46137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46137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46137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51343-2024</t>
        </is>
      </c>
      <c r="B128" s="1" t="n">
        <v>45604.35097222222</v>
      </c>
      <c r="C128" s="1" t="n">
        <v>46137</v>
      </c>
      <c r="D128" t="inlineStr">
        <is>
          <t>VÄSTERNORRLANDS LÄN</t>
        </is>
      </c>
      <c r="E128" t="inlineStr">
        <is>
          <t>ÖRNSKÖLDSVIK</t>
        </is>
      </c>
      <c r="G128" t="n">
        <v>0.8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HYPERLINK("https://klasma.github.io/Logging_2284/artfynd/A 51343-2024 artfynd.xlsx", "A 51343-2024")</f>
        <v/>
      </c>
      <c r="T128">
        <f>HYPERLINK("https://klasma.github.io/Logging_2284/kartor/A 51343-2024 karta.png", "A 51343-2024")</f>
        <v/>
      </c>
      <c r="V128">
        <f>HYPERLINK("https://klasma.github.io/Logging_2284/klagomål/A 51343-2024 FSC-klagomål.docx", "A 51343-2024")</f>
        <v/>
      </c>
      <c r="W128">
        <f>HYPERLINK("https://klasma.github.io/Logging_2284/klagomålsmail/A 51343-2024 FSC-klagomål mail.docx", "A 51343-2024")</f>
        <v/>
      </c>
      <c r="X128">
        <f>HYPERLINK("https://klasma.github.io/Logging_2284/tillsyn/A 51343-2024 tillsynsbegäran.docx", "A 51343-2024")</f>
        <v/>
      </c>
      <c r="Y128">
        <f>HYPERLINK("https://klasma.github.io/Logging_2284/tillsynsmail/A 51343-2024 tillsynsbegäran mail.docx", "A 51343-2024")</f>
        <v/>
      </c>
    </row>
    <row r="129" ht="15" customHeight="1">
      <c r="A129" t="inlineStr">
        <is>
          <t>A 64642-2023</t>
        </is>
      </c>
      <c r="B129" s="1" t="n">
        <v>45281</v>
      </c>
      <c r="C129" s="1" t="n">
        <v>46137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Sotlav</t>
        </is>
      </c>
      <c r="S129">
        <f>HYPERLINK("https://klasma.github.io/Logging_2284/artfynd/A 64642-2023 artfynd.xlsx", "A 64642-2023")</f>
        <v/>
      </c>
      <c r="T129">
        <f>HYPERLINK("https://klasma.github.io/Logging_2284/kartor/A 64642-2023 karta.png", "A 64642-2023")</f>
        <v/>
      </c>
      <c r="V129">
        <f>HYPERLINK("https://klasma.github.io/Logging_2284/klagomål/A 64642-2023 FSC-klagomål.docx", "A 64642-2023")</f>
        <v/>
      </c>
      <c r="W129">
        <f>HYPERLINK("https://klasma.github.io/Logging_2284/klagomålsmail/A 64642-2023 FSC-klagomål mail.docx", "A 64642-2023")</f>
        <v/>
      </c>
      <c r="X129">
        <f>HYPERLINK("https://klasma.github.io/Logging_2284/tillsyn/A 64642-2023 tillsynsbegäran.docx", "A 64642-2023")</f>
        <v/>
      </c>
      <c r="Y129">
        <f>HYPERLINK("https://klasma.github.io/Logging_2284/tillsynsmail/A 64642-2023 tillsynsbegäran mail.docx", "A 64642-2023")</f>
        <v/>
      </c>
    </row>
    <row r="130" ht="15" customHeight="1">
      <c r="A130" t="inlineStr">
        <is>
          <t>A 6651-2025</t>
        </is>
      </c>
      <c r="B130" s="1" t="n">
        <v>45700.42429398148</v>
      </c>
      <c r="C130" s="1" t="n">
        <v>46137</v>
      </c>
      <c r="D130" t="inlineStr">
        <is>
          <t>VÄSTERNORRLANDS LÄN</t>
        </is>
      </c>
      <c r="E130" t="inlineStr">
        <is>
          <t>ÖRNSKÖLDSVIK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6651-2025 artfynd.xlsx", "A 6651-2025")</f>
        <v/>
      </c>
      <c r="T130">
        <f>HYPERLINK("https://klasma.github.io/Logging_2284/kartor/A 6651-2025 karta.png", "A 6651-2025")</f>
        <v/>
      </c>
      <c r="V130">
        <f>HYPERLINK("https://klasma.github.io/Logging_2284/klagomål/A 6651-2025 FSC-klagomål.docx", "A 6651-2025")</f>
        <v/>
      </c>
      <c r="W130">
        <f>HYPERLINK("https://klasma.github.io/Logging_2284/klagomålsmail/A 6651-2025 FSC-klagomål mail.docx", "A 6651-2025")</f>
        <v/>
      </c>
      <c r="X130">
        <f>HYPERLINK("https://klasma.github.io/Logging_2284/tillsyn/A 6651-2025 tillsynsbegäran.docx", "A 6651-2025")</f>
        <v/>
      </c>
      <c r="Y130">
        <f>HYPERLINK("https://klasma.github.io/Logging_2284/tillsynsmail/A 6651-2025 tillsynsbegäran mail.docx", "A 6651-2025")</f>
        <v/>
      </c>
    </row>
    <row r="131" ht="15" customHeight="1">
      <c r="A131" t="inlineStr">
        <is>
          <t>A 14140-2026</t>
        </is>
      </c>
      <c r="B131" s="1" t="n">
        <v>46099.45783564815</v>
      </c>
      <c r="C131" s="1" t="n">
        <v>46137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14140-2026 artfynd.xlsx", "A 14140-2026")</f>
        <v/>
      </c>
      <c r="T131">
        <f>HYPERLINK("https://klasma.github.io/Logging_2284/kartor/A 14140-2026 karta.png", "A 14140-2026")</f>
        <v/>
      </c>
      <c r="V131">
        <f>HYPERLINK("https://klasma.github.io/Logging_2284/klagomål/A 14140-2026 FSC-klagomål.docx", "A 14140-2026")</f>
        <v/>
      </c>
      <c r="W131">
        <f>HYPERLINK("https://klasma.github.io/Logging_2284/klagomålsmail/A 14140-2026 FSC-klagomål mail.docx", "A 14140-2026")</f>
        <v/>
      </c>
      <c r="X131">
        <f>HYPERLINK("https://klasma.github.io/Logging_2284/tillsyn/A 14140-2026 tillsynsbegäran.docx", "A 14140-2026")</f>
        <v/>
      </c>
      <c r="Y131">
        <f>HYPERLINK("https://klasma.github.io/Logging_2284/tillsynsmail/A 14140-2026 tillsynsbegäran mail.docx", "A 14140-2026")</f>
        <v/>
      </c>
    </row>
    <row r="132" ht="15" customHeight="1">
      <c r="A132" t="inlineStr">
        <is>
          <t>A 14132-2026</t>
        </is>
      </c>
      <c r="B132" s="1" t="n">
        <v>46099.45082175926</v>
      </c>
      <c r="C132" s="1" t="n">
        <v>46137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14132-2026 artfynd.xlsx", "A 14132-2026")</f>
        <v/>
      </c>
      <c r="T132">
        <f>HYPERLINK("https://klasma.github.io/Logging_2284/kartor/A 14132-2026 karta.png", "A 14132-2026")</f>
        <v/>
      </c>
      <c r="V132">
        <f>HYPERLINK("https://klasma.github.io/Logging_2284/klagomål/A 14132-2026 FSC-klagomål.docx", "A 14132-2026")</f>
        <v/>
      </c>
      <c r="W132">
        <f>HYPERLINK("https://klasma.github.io/Logging_2284/klagomålsmail/A 14132-2026 FSC-klagomål mail.docx", "A 14132-2026")</f>
        <v/>
      </c>
      <c r="X132">
        <f>HYPERLINK("https://klasma.github.io/Logging_2284/tillsyn/A 14132-2026 tillsynsbegäran.docx", "A 14132-2026")</f>
        <v/>
      </c>
      <c r="Y132">
        <f>HYPERLINK("https://klasma.github.io/Logging_2284/tillsynsmail/A 14132-2026 tillsynsbegäran mail.docx", "A 14132-2026")</f>
        <v/>
      </c>
    </row>
    <row r="133" ht="15" customHeight="1">
      <c r="A133" t="inlineStr">
        <is>
          <t>A 7412-2026</t>
        </is>
      </c>
      <c r="B133" s="1" t="n">
        <v>46059.40758101852</v>
      </c>
      <c r="C133" s="1" t="n">
        <v>46137</v>
      </c>
      <c r="D133" t="inlineStr">
        <is>
          <t>VÄSTERNORRLANDS LÄN</t>
        </is>
      </c>
      <c r="E133" t="inlineStr">
        <is>
          <t>ÖRNSKÖLDSVIK</t>
        </is>
      </c>
      <c r="G133" t="n">
        <v>3.9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padda</t>
        </is>
      </c>
      <c r="S133">
        <f>HYPERLINK("https://klasma.github.io/Logging_2284/artfynd/A 7412-2026 artfynd.xlsx", "A 7412-2026")</f>
        <v/>
      </c>
      <c r="T133">
        <f>HYPERLINK("https://klasma.github.io/Logging_2284/kartor/A 7412-2026 karta.png", "A 7412-2026")</f>
        <v/>
      </c>
      <c r="V133">
        <f>HYPERLINK("https://klasma.github.io/Logging_2284/klagomål/A 7412-2026 FSC-klagomål.docx", "A 7412-2026")</f>
        <v/>
      </c>
      <c r="W133">
        <f>HYPERLINK("https://klasma.github.io/Logging_2284/klagomålsmail/A 7412-2026 FSC-klagomål mail.docx", "A 7412-2026")</f>
        <v/>
      </c>
      <c r="X133">
        <f>HYPERLINK("https://klasma.github.io/Logging_2284/tillsyn/A 7412-2026 tillsynsbegäran.docx", "A 7412-2026")</f>
        <v/>
      </c>
      <c r="Y133">
        <f>HYPERLINK("https://klasma.github.io/Logging_2284/tillsynsmail/A 7412-2026 tillsynsbegäran mail.docx", "A 7412-2026")</f>
        <v/>
      </c>
    </row>
    <row r="134" ht="15" customHeight="1">
      <c r="A134" t="inlineStr">
        <is>
          <t>A 7686-2026</t>
        </is>
      </c>
      <c r="B134" s="1" t="n">
        <v>46062.4353587963</v>
      </c>
      <c r="C134" s="1" t="n">
        <v>46137</v>
      </c>
      <c r="D134" t="inlineStr">
        <is>
          <t>VÄSTERNORRLANDS LÄN</t>
        </is>
      </c>
      <c r="E134" t="inlineStr">
        <is>
          <t>ÖRNSKÖLDSVIK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Skogsduva</t>
        </is>
      </c>
      <c r="S134">
        <f>HYPERLINK("https://klasma.github.io/Logging_2284/artfynd/A 7686-2026 artfynd.xlsx", "A 7686-2026")</f>
        <v/>
      </c>
      <c r="T134">
        <f>HYPERLINK("https://klasma.github.io/Logging_2284/kartor/A 7686-2026 karta.png", "A 7686-2026")</f>
        <v/>
      </c>
      <c r="V134">
        <f>HYPERLINK("https://klasma.github.io/Logging_2284/klagomål/A 7686-2026 FSC-klagomål.docx", "A 7686-2026")</f>
        <v/>
      </c>
      <c r="W134">
        <f>HYPERLINK("https://klasma.github.io/Logging_2284/klagomålsmail/A 7686-2026 FSC-klagomål mail.docx", "A 7686-2026")</f>
        <v/>
      </c>
      <c r="X134">
        <f>HYPERLINK("https://klasma.github.io/Logging_2284/tillsyn/A 7686-2026 tillsynsbegäran.docx", "A 7686-2026")</f>
        <v/>
      </c>
      <c r="Y134">
        <f>HYPERLINK("https://klasma.github.io/Logging_2284/tillsynsmail/A 7686-2026 tillsynsbegäran mail.docx", "A 7686-2026")</f>
        <v/>
      </c>
      <c r="Z134">
        <f>HYPERLINK("https://klasma.github.io/Logging_2284/fåglar/A 7686-2026 prioriterade fågelarter.docx", "A 7686-2026")</f>
        <v/>
      </c>
    </row>
    <row r="135" ht="15" customHeight="1">
      <c r="A135" t="inlineStr">
        <is>
          <t>A 16208-2026</t>
        </is>
      </c>
      <c r="B135" s="1" t="n">
        <v>46111.40922453703</v>
      </c>
      <c r="C135" s="1" t="n">
        <v>46137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HYPERLINK("https://klasma.github.io/Logging_2284/artfynd/A 16208-2026 artfynd.xlsx", "A 16208-2026")</f>
        <v/>
      </c>
      <c r="T135">
        <f>HYPERLINK("https://klasma.github.io/Logging_2284/kartor/A 16208-2026 karta.png", "A 16208-2026")</f>
        <v/>
      </c>
      <c r="V135">
        <f>HYPERLINK("https://klasma.github.io/Logging_2284/klagomål/A 16208-2026 FSC-klagomål.docx", "A 16208-2026")</f>
        <v/>
      </c>
      <c r="W135">
        <f>HYPERLINK("https://klasma.github.io/Logging_2284/klagomålsmail/A 16208-2026 FSC-klagomål mail.docx", "A 16208-2026")</f>
        <v/>
      </c>
      <c r="X135">
        <f>HYPERLINK("https://klasma.github.io/Logging_2284/tillsyn/A 16208-2026 tillsynsbegäran.docx", "A 16208-2026")</f>
        <v/>
      </c>
      <c r="Y135">
        <f>HYPERLINK("https://klasma.github.io/Logging_2284/tillsynsmail/A 16208-2026 tillsynsbegäran mail.docx", "A 16208-2026")</f>
        <v/>
      </c>
    </row>
    <row r="136" ht="15" customHeight="1">
      <c r="A136" t="inlineStr">
        <is>
          <t>A 8429-2025</t>
        </is>
      </c>
      <c r="B136" s="1" t="n">
        <v>45709.42633101852</v>
      </c>
      <c r="C136" s="1" t="n">
        <v>46137</v>
      </c>
      <c r="D136" t="inlineStr">
        <is>
          <t>VÄSTERNORRLANDS LÄN</t>
        </is>
      </c>
      <c r="E136" t="inlineStr">
        <is>
          <t>ÖRNSKÖLDSVIK</t>
        </is>
      </c>
      <c r="G136" t="n">
        <v>25.8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8429-2025 artfynd.xlsx", "A 8429-2025")</f>
        <v/>
      </c>
      <c r="T136">
        <f>HYPERLINK("https://klasma.github.io/Logging_2284/kartor/A 8429-2025 karta.png", "A 8429-2025")</f>
        <v/>
      </c>
      <c r="V136">
        <f>HYPERLINK("https://klasma.github.io/Logging_2284/klagomål/A 8429-2025 FSC-klagomål.docx", "A 8429-2025")</f>
        <v/>
      </c>
      <c r="W136">
        <f>HYPERLINK("https://klasma.github.io/Logging_2284/klagomålsmail/A 8429-2025 FSC-klagomål mail.docx", "A 8429-2025")</f>
        <v/>
      </c>
      <c r="X136">
        <f>HYPERLINK("https://klasma.github.io/Logging_2284/tillsyn/A 8429-2025 tillsynsbegäran.docx", "A 8429-2025")</f>
        <v/>
      </c>
      <c r="Y136">
        <f>HYPERLINK("https://klasma.github.io/Logging_2284/tillsynsmail/A 8429-2025 tillsynsbegäran mail.docx", "A 8429-2025")</f>
        <v/>
      </c>
    </row>
    <row r="137" ht="15" customHeight="1">
      <c r="A137" t="inlineStr">
        <is>
          <t>A 16195-2026</t>
        </is>
      </c>
      <c r="B137" s="1" t="n">
        <v>46111.38601851852</v>
      </c>
      <c r="C137" s="1" t="n">
        <v>46137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16195-2026 artfynd.xlsx", "A 16195-2026")</f>
        <v/>
      </c>
      <c r="T137">
        <f>HYPERLINK("https://klasma.github.io/Logging_2284/kartor/A 16195-2026 karta.png", "A 16195-2026")</f>
        <v/>
      </c>
      <c r="V137">
        <f>HYPERLINK("https://klasma.github.io/Logging_2284/klagomål/A 16195-2026 FSC-klagomål.docx", "A 16195-2026")</f>
        <v/>
      </c>
      <c r="W137">
        <f>HYPERLINK("https://klasma.github.io/Logging_2284/klagomålsmail/A 16195-2026 FSC-klagomål mail.docx", "A 16195-2026")</f>
        <v/>
      </c>
      <c r="X137">
        <f>HYPERLINK("https://klasma.github.io/Logging_2284/tillsyn/A 16195-2026 tillsynsbegäran.docx", "A 16195-2026")</f>
        <v/>
      </c>
      <c r="Y137">
        <f>HYPERLINK("https://klasma.github.io/Logging_2284/tillsynsmail/A 16195-2026 tillsynsbegäran mail.docx", "A 16195-2026")</f>
        <v/>
      </c>
    </row>
    <row r="138" ht="15" customHeight="1">
      <c r="A138" t="inlineStr">
        <is>
          <t>A 21683-2024</t>
        </is>
      </c>
      <c r="B138" s="1" t="n">
        <v>45442.43640046296</v>
      </c>
      <c r="C138" s="1" t="n">
        <v>46137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HYPERLINK("https://klasma.github.io/Logging_2284/artfynd/A 21683-2024 artfynd.xlsx", "A 21683-2024")</f>
        <v/>
      </c>
      <c r="T138">
        <f>HYPERLINK("https://klasma.github.io/Logging_2284/kartor/A 21683-2024 karta.png", "A 21683-2024")</f>
        <v/>
      </c>
      <c r="V138">
        <f>HYPERLINK("https://klasma.github.io/Logging_2284/klagomål/A 21683-2024 FSC-klagomål.docx", "A 21683-2024")</f>
        <v/>
      </c>
      <c r="W138">
        <f>HYPERLINK("https://klasma.github.io/Logging_2284/klagomålsmail/A 21683-2024 FSC-klagomål mail.docx", "A 21683-2024")</f>
        <v/>
      </c>
      <c r="X138">
        <f>HYPERLINK("https://klasma.github.io/Logging_2284/tillsyn/A 21683-2024 tillsynsbegäran.docx", "A 21683-2024")</f>
        <v/>
      </c>
      <c r="Y138">
        <f>HYPERLINK("https://klasma.github.io/Logging_2284/tillsynsmail/A 21683-2024 tillsynsbegäran mail.docx", "A 21683-2024")</f>
        <v/>
      </c>
    </row>
    <row r="139" ht="15" customHeight="1">
      <c r="A139" t="inlineStr">
        <is>
          <t>A 31647-2023</t>
        </is>
      </c>
      <c r="B139" s="1" t="n">
        <v>45105</v>
      </c>
      <c r="C139" s="1" t="n">
        <v>46137</v>
      </c>
      <c r="D139" t="inlineStr">
        <is>
          <t>VÄSTERNORRLANDS LÄN</t>
        </is>
      </c>
      <c r="E139" t="inlineStr">
        <is>
          <t>ÖRNSKÖLDSVIK</t>
        </is>
      </c>
      <c r="G139" t="n">
        <v>2.7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Kungsörn</t>
        </is>
      </c>
      <c r="S139">
        <f>HYPERLINK("https://klasma.github.io/Logging_2284/artfynd/A 31647-2023 artfynd.xlsx", "A 31647-2023")</f>
        <v/>
      </c>
      <c r="T139">
        <f>HYPERLINK("https://klasma.github.io/Logging_2284/kartor/A 31647-2023 karta.png", "A 31647-2023")</f>
        <v/>
      </c>
      <c r="V139">
        <f>HYPERLINK("https://klasma.github.io/Logging_2284/klagomål/A 31647-2023 FSC-klagomål.docx", "A 31647-2023")</f>
        <v/>
      </c>
      <c r="W139">
        <f>HYPERLINK("https://klasma.github.io/Logging_2284/klagomålsmail/A 31647-2023 FSC-klagomål mail.docx", "A 31647-2023")</f>
        <v/>
      </c>
      <c r="X139">
        <f>HYPERLINK("https://klasma.github.io/Logging_2284/tillsyn/A 31647-2023 tillsynsbegäran.docx", "A 31647-2023")</f>
        <v/>
      </c>
      <c r="Y139">
        <f>HYPERLINK("https://klasma.github.io/Logging_2284/tillsynsmail/A 31647-2023 tillsynsbegäran mail.docx", "A 31647-2023")</f>
        <v/>
      </c>
      <c r="Z139">
        <f>HYPERLINK("https://klasma.github.io/Logging_2284/fåglar/A 31647-2023 prioriterade fågelarter.docx", "A 31647-2023")</f>
        <v/>
      </c>
    </row>
    <row r="140" ht="15" customHeight="1">
      <c r="A140" t="inlineStr">
        <is>
          <t>A 24808-2024</t>
        </is>
      </c>
      <c r="B140" s="1" t="n">
        <v>45460.95358796296</v>
      </c>
      <c r="C140" s="1" t="n">
        <v>46137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Kungsörn</t>
        </is>
      </c>
      <c r="S140">
        <f>HYPERLINK("https://klasma.github.io/Logging_2284/artfynd/A 24808-2024 artfynd.xlsx", "A 24808-2024")</f>
        <v/>
      </c>
      <c r="T140">
        <f>HYPERLINK("https://klasma.github.io/Logging_2284/kartor/A 24808-2024 karta.png", "A 24808-2024")</f>
        <v/>
      </c>
      <c r="V140">
        <f>HYPERLINK("https://klasma.github.io/Logging_2284/klagomål/A 24808-2024 FSC-klagomål.docx", "A 24808-2024")</f>
        <v/>
      </c>
      <c r="W140">
        <f>HYPERLINK("https://klasma.github.io/Logging_2284/klagomålsmail/A 24808-2024 FSC-klagomål mail.docx", "A 24808-2024")</f>
        <v/>
      </c>
      <c r="X140">
        <f>HYPERLINK("https://klasma.github.io/Logging_2284/tillsyn/A 24808-2024 tillsynsbegäran.docx", "A 24808-2024")</f>
        <v/>
      </c>
      <c r="Y140">
        <f>HYPERLINK("https://klasma.github.io/Logging_2284/tillsynsmail/A 24808-2024 tillsynsbegäran mail.docx", "A 24808-2024")</f>
        <v/>
      </c>
      <c r="Z140">
        <f>HYPERLINK("https://klasma.github.io/Logging_2284/fåglar/A 24808-2024 prioriterade fågelarter.docx", "A 24808-2024")</f>
        <v/>
      </c>
    </row>
    <row r="141" ht="15" customHeight="1">
      <c r="A141" t="inlineStr">
        <is>
          <t>A 47067-2022</t>
        </is>
      </c>
      <c r="B141" s="1" t="n">
        <v>44852</v>
      </c>
      <c r="C141" s="1" t="n">
        <v>46137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HYPERLINK("https://klasma.github.io/Logging_2284/artfynd/A 47067-2022 artfynd.xlsx", "A 47067-2022")</f>
        <v/>
      </c>
      <c r="T141">
        <f>HYPERLINK("https://klasma.github.io/Logging_2284/kartor/A 47067-2022 karta.png", "A 47067-2022")</f>
        <v/>
      </c>
      <c r="V141">
        <f>HYPERLINK("https://klasma.github.io/Logging_2284/klagomål/A 47067-2022 FSC-klagomål.docx", "A 47067-2022")</f>
        <v/>
      </c>
      <c r="W141">
        <f>HYPERLINK("https://klasma.github.io/Logging_2284/klagomålsmail/A 47067-2022 FSC-klagomål mail.docx", "A 47067-2022")</f>
        <v/>
      </c>
      <c r="X141">
        <f>HYPERLINK("https://klasma.github.io/Logging_2284/tillsyn/A 47067-2022 tillsynsbegäran.docx", "A 47067-2022")</f>
        <v/>
      </c>
      <c r="Y141">
        <f>HYPERLINK("https://klasma.github.io/Logging_2284/tillsynsmail/A 47067-2022 tillsynsbegäran mail.docx", "A 47067-2022")</f>
        <v/>
      </c>
    </row>
    <row r="142" ht="15" customHeight="1">
      <c r="A142" t="inlineStr">
        <is>
          <t>A 31882-2024</t>
        </is>
      </c>
      <c r="B142" s="1" t="n">
        <v>45509.95708333333</v>
      </c>
      <c r="C142" s="1" t="n">
        <v>46137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9.1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31882-2024 artfynd.xlsx", "A 31882-2024")</f>
        <v/>
      </c>
      <c r="T142">
        <f>HYPERLINK("https://klasma.github.io/Logging_2284/kartor/A 31882-2024 karta.png", "A 31882-2024")</f>
        <v/>
      </c>
      <c r="V142">
        <f>HYPERLINK("https://klasma.github.io/Logging_2284/klagomål/A 31882-2024 FSC-klagomål.docx", "A 31882-2024")</f>
        <v/>
      </c>
      <c r="W142">
        <f>HYPERLINK("https://klasma.github.io/Logging_2284/klagomålsmail/A 31882-2024 FSC-klagomål mail.docx", "A 31882-2024")</f>
        <v/>
      </c>
      <c r="X142">
        <f>HYPERLINK("https://klasma.github.io/Logging_2284/tillsyn/A 31882-2024 tillsynsbegäran.docx", "A 31882-2024")</f>
        <v/>
      </c>
      <c r="Y142">
        <f>HYPERLINK("https://klasma.github.io/Logging_2284/tillsynsmail/A 31882-2024 tillsynsbegäran mail.docx", "A 31882-2024")</f>
        <v/>
      </c>
      <c r="Z142">
        <f>HYPERLINK("https://klasma.github.io/Logging_2284/fåglar/A 31882-2024 prioriterade fågelarter.docx", "A 31882-2024")</f>
        <v/>
      </c>
    </row>
    <row r="143" ht="15" customHeight="1">
      <c r="A143" t="inlineStr">
        <is>
          <t>A 1488-2024</t>
        </is>
      </c>
      <c r="B143" s="1" t="n">
        <v>45305</v>
      </c>
      <c r="C143" s="1" t="n">
        <v>46137</v>
      </c>
      <c r="D143" t="inlineStr">
        <is>
          <t>VÄSTERNORRLANDS LÄN</t>
        </is>
      </c>
      <c r="E143" t="inlineStr">
        <is>
          <t>ÖRNSKÖLDSVIK</t>
        </is>
      </c>
      <c r="G143" t="n">
        <v>2.6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padda</t>
        </is>
      </c>
      <c r="S143">
        <f>HYPERLINK("https://klasma.github.io/Logging_2284/artfynd/A 1488-2024 artfynd.xlsx", "A 1488-2024")</f>
        <v/>
      </c>
      <c r="T143">
        <f>HYPERLINK("https://klasma.github.io/Logging_2284/kartor/A 1488-2024 karta.png", "A 1488-2024")</f>
        <v/>
      </c>
      <c r="V143">
        <f>HYPERLINK("https://klasma.github.io/Logging_2284/klagomål/A 1488-2024 FSC-klagomål.docx", "A 1488-2024")</f>
        <v/>
      </c>
      <c r="W143">
        <f>HYPERLINK("https://klasma.github.io/Logging_2284/klagomålsmail/A 1488-2024 FSC-klagomål mail.docx", "A 1488-2024")</f>
        <v/>
      </c>
      <c r="X143">
        <f>HYPERLINK("https://klasma.github.io/Logging_2284/tillsyn/A 1488-2024 tillsynsbegäran.docx", "A 1488-2024")</f>
        <v/>
      </c>
      <c r="Y143">
        <f>HYPERLINK("https://klasma.github.io/Logging_2284/tillsynsmail/A 1488-2024 tillsynsbegäran mail.docx", "A 1488-2024")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46137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46137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46137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46137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46137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46137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46137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46137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46137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46137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24309-2021</t>
        </is>
      </c>
      <c r="B154" s="1" t="n">
        <v>44336</v>
      </c>
      <c r="C154" s="1" t="n">
        <v>46137</v>
      </c>
      <c r="D154" t="inlineStr">
        <is>
          <t>VÄSTERNORRLANDS LÄN</t>
        </is>
      </c>
      <c r="E154" t="inlineStr">
        <is>
          <t>ÖRNSKÖLDSVIK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24311-2021</t>
        </is>
      </c>
      <c r="B155" s="1" t="n">
        <v>44336</v>
      </c>
      <c r="C155" s="1" t="n">
        <v>46137</v>
      </c>
      <c r="D155" t="inlineStr">
        <is>
          <t>VÄSTERNORRLANDS LÄN</t>
        </is>
      </c>
      <c r="E155" t="inlineStr">
        <is>
          <t>ÖRNSKÖLDSVIK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46137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52413-2021</t>
        </is>
      </c>
      <c r="B157" s="1" t="n">
        <v>44466.32505787037</v>
      </c>
      <c r="C157" s="1" t="n">
        <v>46137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46137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974-2022</t>
        </is>
      </c>
      <c r="B159" s="1" t="n">
        <v>44571.57930555556</v>
      </c>
      <c r="C159" s="1" t="n">
        <v>46137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46137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46137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46137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69799-2021</t>
        </is>
      </c>
      <c r="B163" s="1" t="n">
        <v>44532</v>
      </c>
      <c r="C163" s="1" t="n">
        <v>46137</v>
      </c>
      <c r="D163" t="inlineStr">
        <is>
          <t>VÄSTERNORRLANDS LÄN</t>
        </is>
      </c>
      <c r="E163" t="inlineStr">
        <is>
          <t>ÖRNSKÖLDSVIK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46137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46137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33737-2021</t>
        </is>
      </c>
      <c r="B166" s="1" t="n">
        <v>44377</v>
      </c>
      <c r="C166" s="1" t="n">
        <v>46137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46137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46137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46137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46137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46137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46137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46137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46137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46137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20902-2021</t>
        </is>
      </c>
      <c r="B176" s="1" t="n">
        <v>44319</v>
      </c>
      <c r="C176" s="1" t="n">
        <v>46137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46137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46137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46137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46137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46137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46137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46137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46137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46137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46137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46137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46137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46137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63394-2021</t>
        </is>
      </c>
      <c r="B192" s="1" t="n">
        <v>44505</v>
      </c>
      <c r="C192" s="1" t="n">
        <v>46137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62404-2021</t>
        </is>
      </c>
      <c r="B193" s="1" t="n">
        <v>44503.48112268518</v>
      </c>
      <c r="C193" s="1" t="n">
        <v>46137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26349-2021</t>
        </is>
      </c>
      <c r="B194" s="1" t="n">
        <v>44347</v>
      </c>
      <c r="C194" s="1" t="n">
        <v>46137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46137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46137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29853-2021</t>
        </is>
      </c>
      <c r="B197" s="1" t="n">
        <v>44362</v>
      </c>
      <c r="C197" s="1" t="n">
        <v>46137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46137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46137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46137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46137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46137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46137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46137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46137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46137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46137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46137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46137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46137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46137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46137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46137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69962-2021</t>
        </is>
      </c>
      <c r="B215" s="1" t="n">
        <v>44533</v>
      </c>
      <c r="C215" s="1" t="n">
        <v>46137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2271-2022</t>
        </is>
      </c>
      <c r="B216" s="1" t="n">
        <v>44578</v>
      </c>
      <c r="C216" s="1" t="n">
        <v>46137</v>
      </c>
      <c r="D216" t="inlineStr">
        <is>
          <t>VÄSTERNORRLANDS LÄN</t>
        </is>
      </c>
      <c r="E216" t="inlineStr">
        <is>
          <t>ÖRNSKÖLDSVIK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17940-2022</t>
        </is>
      </c>
      <c r="B217" s="1" t="n">
        <v>44683</v>
      </c>
      <c r="C217" s="1" t="n">
        <v>46137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27519-2021</t>
        </is>
      </c>
      <c r="B218" s="1" t="n">
        <v>44351</v>
      </c>
      <c r="C218" s="1" t="n">
        <v>46137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46137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38157-2021</t>
        </is>
      </c>
      <c r="B220" s="1" t="n">
        <v>44405.4246412037</v>
      </c>
      <c r="C220" s="1" t="n">
        <v>46137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56741-2021</t>
        </is>
      </c>
      <c r="B221" s="1" t="n">
        <v>44481</v>
      </c>
      <c r="C221" s="1" t="n">
        <v>46137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46137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25609-2021</t>
        </is>
      </c>
      <c r="B223" s="1" t="n">
        <v>44343</v>
      </c>
      <c r="C223" s="1" t="n">
        <v>46137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46137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46137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46137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689-2022</t>
        </is>
      </c>
      <c r="B227" s="1" t="n">
        <v>44566</v>
      </c>
      <c r="C227" s="1" t="n">
        <v>46137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21870-2022</t>
        </is>
      </c>
      <c r="B228" s="1" t="n">
        <v>44711</v>
      </c>
      <c r="C228" s="1" t="n">
        <v>46137</v>
      </c>
      <c r="D228" t="inlineStr">
        <is>
          <t>VÄSTERNORRLANDS LÄN</t>
        </is>
      </c>
      <c r="E228" t="inlineStr">
        <is>
          <t>ÖRNSKÖLDSVIK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46137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46137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46137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46137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38818-2021</t>
        </is>
      </c>
      <c r="B233" s="1" t="n">
        <v>44411.31755787037</v>
      </c>
      <c r="C233" s="1" t="n">
        <v>46137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46137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46137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46137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46137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45799-2021</t>
        </is>
      </c>
      <c r="B238" s="1" t="n">
        <v>44441.48052083333</v>
      </c>
      <c r="C238" s="1" t="n">
        <v>46137</v>
      </c>
      <c r="D238" t="inlineStr">
        <is>
          <t>VÄSTERNORRLANDS LÄN</t>
        </is>
      </c>
      <c r="E238" t="inlineStr">
        <is>
          <t>ÖRNSKÖLDSVIK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46137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46137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47672-2021</t>
        </is>
      </c>
      <c r="B241" s="1" t="n">
        <v>44448</v>
      </c>
      <c r="C241" s="1" t="n">
        <v>46137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17781-2022</t>
        </is>
      </c>
      <c r="B242" s="1" t="n">
        <v>44682</v>
      </c>
      <c r="C242" s="1" t="n">
        <v>46137</v>
      </c>
      <c r="D242" t="inlineStr">
        <is>
          <t>VÄSTERNORRLANDS LÄN</t>
        </is>
      </c>
      <c r="E242" t="inlineStr">
        <is>
          <t>ÖRNSKÖLDSVIK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46137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46137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50243-2022</t>
        </is>
      </c>
      <c r="B245" s="1" t="n">
        <v>44865</v>
      </c>
      <c r="C245" s="1" t="n">
        <v>46137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46137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46137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46137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46137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46137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46137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46137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46137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46137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46137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46137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46137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46137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46137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46137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46137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46137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33555-2022</t>
        </is>
      </c>
      <c r="B264" s="1" t="n">
        <v>44789</v>
      </c>
      <c r="C264" s="1" t="n">
        <v>46137</v>
      </c>
      <c r="D264" t="inlineStr">
        <is>
          <t>VÄSTERNORRLANDS LÄN</t>
        </is>
      </c>
      <c r="E264" t="inlineStr">
        <is>
          <t>ÖRNSKÖLDSVIK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46137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46137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46137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46137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46137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46137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46137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46137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46137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46137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64113-2021</t>
        </is>
      </c>
      <c r="B275" s="1" t="n">
        <v>44509</v>
      </c>
      <c r="C275" s="1" t="n">
        <v>46137</v>
      </c>
      <c r="D275" t="inlineStr">
        <is>
          <t>VÄSTERNORRLANDS LÄN</t>
        </is>
      </c>
      <c r="E275" t="inlineStr">
        <is>
          <t>ÖRNSKÖLDSVIK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46137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46137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46137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46137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46137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46137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46137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46137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46137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46137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46137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46137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46137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29904-2022</t>
        </is>
      </c>
      <c r="B290" s="1" t="n">
        <v>44756.50890046296</v>
      </c>
      <c r="C290" s="1" t="n">
        <v>46137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54424-2021</t>
        </is>
      </c>
      <c r="B291" s="1" t="n">
        <v>44473.43869212963</v>
      </c>
      <c r="C291" s="1" t="n">
        <v>46137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46137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46137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46137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46137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46137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58442-2021</t>
        </is>
      </c>
      <c r="B297" s="1" t="n">
        <v>44488</v>
      </c>
      <c r="C297" s="1" t="n">
        <v>46137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46137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44799-2022</t>
        </is>
      </c>
      <c r="B299" s="1" t="n">
        <v>44841.37050925926</v>
      </c>
      <c r="C299" s="1" t="n">
        <v>46137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46137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46137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46137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39500-2022</t>
        </is>
      </c>
      <c r="B303" s="1" t="n">
        <v>44818</v>
      </c>
      <c r="C303" s="1" t="n">
        <v>46137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41847-2022</t>
        </is>
      </c>
      <c r="B304" s="1" t="n">
        <v>44828</v>
      </c>
      <c r="C304" s="1" t="n">
        <v>46137</v>
      </c>
      <c r="D304" t="inlineStr">
        <is>
          <t>VÄSTERNORRLANDS LÄN</t>
        </is>
      </c>
      <c r="E304" t="inlineStr">
        <is>
          <t>ÖRNSKÖLDSVIK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46137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46137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46137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46137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46137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46137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46137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46137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66753-2021</t>
        </is>
      </c>
      <c r="B313" s="1" t="n">
        <v>44521</v>
      </c>
      <c r="C313" s="1" t="n">
        <v>46137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48633-2022</t>
        </is>
      </c>
      <c r="B314" s="1" t="n">
        <v>44859.41239583334</v>
      </c>
      <c r="C314" s="1" t="n">
        <v>46137</v>
      </c>
      <c r="D314" t="inlineStr">
        <is>
          <t>VÄSTERNORRLANDS LÄN</t>
        </is>
      </c>
      <c r="E314" t="inlineStr">
        <is>
          <t>ÖRNSKÖLDSVIK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46137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16336-2022</t>
        </is>
      </c>
      <c r="B316" s="1" t="n">
        <v>44670</v>
      </c>
      <c r="C316" s="1" t="n">
        <v>46137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46137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46137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61355-2021</t>
        </is>
      </c>
      <c r="B319" s="1" t="n">
        <v>44498.91465277778</v>
      </c>
      <c r="C319" s="1" t="n">
        <v>46137</v>
      </c>
      <c r="D319" t="inlineStr">
        <is>
          <t>VÄSTERNORRLANDS LÄN</t>
        </is>
      </c>
      <c r="E319" t="inlineStr">
        <is>
          <t>ÖRNSKÖLDSVIK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30152-2021</t>
        </is>
      </c>
      <c r="B320" s="1" t="n">
        <v>44363</v>
      </c>
      <c r="C320" s="1" t="n">
        <v>46137</v>
      </c>
      <c r="D320" t="inlineStr">
        <is>
          <t>VÄSTERNORRLANDS LÄN</t>
        </is>
      </c>
      <c r="E320" t="inlineStr">
        <is>
          <t>ÖRNSKÖLDSVIK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46137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68829-2021</t>
        </is>
      </c>
      <c r="B322" s="1" t="n">
        <v>44529</v>
      </c>
      <c r="C322" s="1" t="n">
        <v>46137</v>
      </c>
      <c r="D322" t="inlineStr">
        <is>
          <t>VÄSTERNORRLANDS LÄN</t>
        </is>
      </c>
      <c r="E322" t="inlineStr">
        <is>
          <t>ÖRNSKÖLDSVIK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46137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60620-2021</t>
        </is>
      </c>
      <c r="B324" s="1" t="n">
        <v>44496</v>
      </c>
      <c r="C324" s="1" t="n">
        <v>46137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35151-2021</t>
        </is>
      </c>
      <c r="B325" s="1" t="n">
        <v>44384</v>
      </c>
      <c r="C325" s="1" t="n">
        <v>46137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46137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33722-2021</t>
        </is>
      </c>
      <c r="B327" s="1" t="n">
        <v>44378</v>
      </c>
      <c r="C327" s="1" t="n">
        <v>46137</v>
      </c>
      <c r="D327" t="inlineStr">
        <is>
          <t>VÄSTERNORRLANDS LÄN</t>
        </is>
      </c>
      <c r="E327" t="inlineStr">
        <is>
          <t>ÖRNSKÖLDSVIK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46137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699-2022</t>
        </is>
      </c>
      <c r="B329" s="1" t="n">
        <v>44568</v>
      </c>
      <c r="C329" s="1" t="n">
        <v>46137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33911-2022</t>
        </is>
      </c>
      <c r="B330" s="1" t="n">
        <v>44790.63175925926</v>
      </c>
      <c r="C330" s="1" t="n">
        <v>46137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33201-2022</t>
        </is>
      </c>
      <c r="B331" s="1" t="n">
        <v>44785</v>
      </c>
      <c r="C331" s="1" t="n">
        <v>46137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50411-2021</t>
        </is>
      </c>
      <c r="B332" s="1" t="n">
        <v>44459</v>
      </c>
      <c r="C332" s="1" t="n">
        <v>46137</v>
      </c>
      <c r="D332" t="inlineStr">
        <is>
          <t>VÄSTERNORRLANDS LÄN</t>
        </is>
      </c>
      <c r="E332" t="inlineStr">
        <is>
          <t>ÖRNSKÖLDSVIK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46137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35109-2022</t>
        </is>
      </c>
      <c r="B334" s="1" t="n">
        <v>44797.44364583334</v>
      </c>
      <c r="C334" s="1" t="n">
        <v>46137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832-2022</t>
        </is>
      </c>
      <c r="B335" s="1" t="n">
        <v>44568</v>
      </c>
      <c r="C335" s="1" t="n">
        <v>46137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46948-2021</t>
        </is>
      </c>
      <c r="B336" s="1" t="n">
        <v>44446</v>
      </c>
      <c r="C336" s="1" t="n">
        <v>46137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33121-2021</t>
        </is>
      </c>
      <c r="B337" s="1" t="n">
        <v>44376.64336805556</v>
      </c>
      <c r="C337" s="1" t="n">
        <v>46137</v>
      </c>
      <c r="D337" t="inlineStr">
        <is>
          <t>VÄSTERNORRLANDS LÄN</t>
        </is>
      </c>
      <c r="E337" t="inlineStr">
        <is>
          <t>ÖRNSKÖLDSVIK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683-2022</t>
        </is>
      </c>
      <c r="B338" s="1" t="n">
        <v>44566</v>
      </c>
      <c r="C338" s="1" t="n">
        <v>46137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21569-2022</t>
        </is>
      </c>
      <c r="B339" s="1" t="n">
        <v>44706.59162037037</v>
      </c>
      <c r="C339" s="1" t="n">
        <v>46137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37891-2022</t>
        </is>
      </c>
      <c r="B340" s="1" t="n">
        <v>44811</v>
      </c>
      <c r="C340" s="1" t="n">
        <v>46137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24277-2021</t>
        </is>
      </c>
      <c r="B341" s="1" t="n">
        <v>44336</v>
      </c>
      <c r="C341" s="1" t="n">
        <v>46137</v>
      </c>
      <c r="D341" t="inlineStr">
        <is>
          <t>VÄSTERNORRLANDS LÄN</t>
        </is>
      </c>
      <c r="E341" t="inlineStr">
        <is>
          <t>ÖRNSKÖLDSVIK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27634-2022</t>
        </is>
      </c>
      <c r="B342" s="1" t="n">
        <v>44742</v>
      </c>
      <c r="C342" s="1" t="n">
        <v>46137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46137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59227-2021</t>
        </is>
      </c>
      <c r="B344" s="1" t="n">
        <v>44490</v>
      </c>
      <c r="C344" s="1" t="n">
        <v>46137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28737-2021</t>
        </is>
      </c>
      <c r="B345" s="1" t="n">
        <v>44357</v>
      </c>
      <c r="C345" s="1" t="n">
        <v>46137</v>
      </c>
      <c r="D345" t="inlineStr">
        <is>
          <t>VÄSTERNORRLANDS LÄN</t>
        </is>
      </c>
      <c r="E345" t="inlineStr">
        <is>
          <t>ÖRNSKÖLDSVIK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21630-2021</t>
        </is>
      </c>
      <c r="B346" s="1" t="n">
        <v>44321</v>
      </c>
      <c r="C346" s="1" t="n">
        <v>46137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32713-2022</t>
        </is>
      </c>
      <c r="B347" s="1" t="n">
        <v>44783.64645833334</v>
      </c>
      <c r="C347" s="1" t="n">
        <v>46137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51506-2022</t>
        </is>
      </c>
      <c r="B348" s="1" t="n">
        <v>44869</v>
      </c>
      <c r="C348" s="1" t="n">
        <v>46137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46137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55283-2022</t>
        </is>
      </c>
      <c r="B350" s="1" t="n">
        <v>44882</v>
      </c>
      <c r="C350" s="1" t="n">
        <v>46137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30247-2022</t>
        </is>
      </c>
      <c r="B351" s="1" t="n">
        <v>44758</v>
      </c>
      <c r="C351" s="1" t="n">
        <v>46137</v>
      </c>
      <c r="D351" t="inlineStr">
        <is>
          <t>VÄSTERNORRLANDS LÄN</t>
        </is>
      </c>
      <c r="E351" t="inlineStr">
        <is>
          <t>ÖRNSKÖLDSVIK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46137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26023-2022</t>
        </is>
      </c>
      <c r="B353" s="1" t="n">
        <v>44734</v>
      </c>
      <c r="C353" s="1" t="n">
        <v>46137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46137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30408-2022</t>
        </is>
      </c>
      <c r="B355" s="1" t="n">
        <v>44761.37563657408</v>
      </c>
      <c r="C355" s="1" t="n">
        <v>46137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46137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36554-2022</t>
        </is>
      </c>
      <c r="B357" s="1" t="n">
        <v>44804</v>
      </c>
      <c r="C357" s="1" t="n">
        <v>46137</v>
      </c>
      <c r="D357" t="inlineStr">
        <is>
          <t>VÄSTERNORRLANDS LÄN</t>
        </is>
      </c>
      <c r="E357" t="inlineStr">
        <is>
          <t>ÖRNSKÖLDSVIK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44094-2022</t>
        </is>
      </c>
      <c r="B358" s="1" t="n">
        <v>44839</v>
      </c>
      <c r="C358" s="1" t="n">
        <v>46137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45829-2022</t>
        </is>
      </c>
      <c r="B359" s="1" t="n">
        <v>44846.48697916666</v>
      </c>
      <c r="C359" s="1" t="n">
        <v>46137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42320-2022</t>
        </is>
      </c>
      <c r="B360" s="1" t="n">
        <v>44831</v>
      </c>
      <c r="C360" s="1" t="n">
        <v>46137</v>
      </c>
      <c r="D360" t="inlineStr">
        <is>
          <t>VÄSTERNORRLANDS LÄN</t>
        </is>
      </c>
      <c r="E360" t="inlineStr">
        <is>
          <t>ÖRNSKÖLDSVIK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28848-2022</t>
        </is>
      </c>
      <c r="B361" s="1" t="n">
        <v>44749.47483796296</v>
      </c>
      <c r="C361" s="1" t="n">
        <v>46137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42319-2021</t>
        </is>
      </c>
      <c r="B362" s="1" t="n">
        <v>44427</v>
      </c>
      <c r="C362" s="1" t="n">
        <v>46137</v>
      </c>
      <c r="D362" t="inlineStr">
        <is>
          <t>VÄSTERNORRLANDS LÄN</t>
        </is>
      </c>
      <c r="E362" t="inlineStr">
        <is>
          <t>ÖRNSKÖLDSVIK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42339-2021</t>
        </is>
      </c>
      <c r="B363" s="1" t="n">
        <v>44427</v>
      </c>
      <c r="C363" s="1" t="n">
        <v>46137</v>
      </c>
      <c r="D363" t="inlineStr">
        <is>
          <t>VÄSTERNORRLANDS LÄN</t>
        </is>
      </c>
      <c r="E363" t="inlineStr">
        <is>
          <t>ÖRNSKÖLDSVIK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46137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8581-2022</t>
        </is>
      </c>
      <c r="B365" s="1" t="n">
        <v>44613</v>
      </c>
      <c r="C365" s="1" t="n">
        <v>46137</v>
      </c>
      <c r="D365" t="inlineStr">
        <is>
          <t>VÄSTERNORRLANDS LÄN</t>
        </is>
      </c>
      <c r="E365" t="inlineStr">
        <is>
          <t>ÖRNSKÖLDSVIK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46137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44843-2022</t>
        </is>
      </c>
      <c r="B367" s="1" t="n">
        <v>44839</v>
      </c>
      <c r="C367" s="1" t="n">
        <v>46137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46137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44446-2021</t>
        </is>
      </c>
      <c r="B369" s="1" t="n">
        <v>44435</v>
      </c>
      <c r="C369" s="1" t="n">
        <v>46137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50867-2022</t>
        </is>
      </c>
      <c r="B370" s="1" t="n">
        <v>44867</v>
      </c>
      <c r="C370" s="1" t="n">
        <v>46137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33030-2021</t>
        </is>
      </c>
      <c r="B371" s="1" t="n">
        <v>44376.49277777778</v>
      </c>
      <c r="C371" s="1" t="n">
        <v>46137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21595-2022</t>
        </is>
      </c>
      <c r="B372" s="1" t="n">
        <v>44706</v>
      </c>
      <c r="C372" s="1" t="n">
        <v>46137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32078-2022</t>
        </is>
      </c>
      <c r="B373" s="1" t="n">
        <v>44778</v>
      </c>
      <c r="C373" s="1" t="n">
        <v>46137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32079-2022</t>
        </is>
      </c>
      <c r="B374" s="1" t="n">
        <v>44778</v>
      </c>
      <c r="C374" s="1" t="n">
        <v>46137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52258-2021</t>
        </is>
      </c>
      <c r="B375" s="1" t="n">
        <v>44463</v>
      </c>
      <c r="C375" s="1" t="n">
        <v>46137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20532-2022</t>
        </is>
      </c>
      <c r="B376" s="1" t="n">
        <v>44699.94347222222</v>
      </c>
      <c r="C376" s="1" t="n">
        <v>46137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63230-2021</t>
        </is>
      </c>
      <c r="B377" s="1" t="n">
        <v>44505</v>
      </c>
      <c r="C377" s="1" t="n">
        <v>46137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27869-2022</t>
        </is>
      </c>
      <c r="B378" s="1" t="n">
        <v>44743</v>
      </c>
      <c r="C378" s="1" t="n">
        <v>46137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31008-2022</t>
        </is>
      </c>
      <c r="B379" s="1" t="n">
        <v>44768</v>
      </c>
      <c r="C379" s="1" t="n">
        <v>46137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32031-2022</t>
        </is>
      </c>
      <c r="B380" s="1" t="n">
        <v>44778.45743055556</v>
      </c>
      <c r="C380" s="1" t="n">
        <v>46137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46137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39931-2022</t>
        </is>
      </c>
      <c r="B382" s="1" t="n">
        <v>44819.94847222222</v>
      </c>
      <c r="C382" s="1" t="n">
        <v>46137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35408-2022</t>
        </is>
      </c>
      <c r="B383" s="1" t="n">
        <v>44798</v>
      </c>
      <c r="C383" s="1" t="n">
        <v>46137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35415-2022</t>
        </is>
      </c>
      <c r="B384" s="1" t="n">
        <v>44798</v>
      </c>
      <c r="C384" s="1" t="n">
        <v>46137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39873-2021</t>
        </is>
      </c>
      <c r="B385" s="1" t="n">
        <v>44417.67548611111</v>
      </c>
      <c r="C385" s="1" t="n">
        <v>46137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42368-2021</t>
        </is>
      </c>
      <c r="B386" s="1" t="n">
        <v>44427.46450231481</v>
      </c>
      <c r="C386" s="1" t="n">
        <v>46137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46137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46137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42632-2021</t>
        </is>
      </c>
      <c r="B389" s="1" t="n">
        <v>44428</v>
      </c>
      <c r="C389" s="1" t="n">
        <v>46137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42739-2021</t>
        </is>
      </c>
      <c r="B390" s="1" t="n">
        <v>44428</v>
      </c>
      <c r="C390" s="1" t="n">
        <v>46137</v>
      </c>
      <c r="D390" t="inlineStr">
        <is>
          <t>VÄSTERNORRLANDS LÄN</t>
        </is>
      </c>
      <c r="E390" t="inlineStr">
        <is>
          <t>ÖRNSKÖLDSVIK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72397-2021</t>
        </is>
      </c>
      <c r="B391" s="1" t="n">
        <v>44545</v>
      </c>
      <c r="C391" s="1" t="n">
        <v>46137</v>
      </c>
      <c r="D391" t="inlineStr">
        <is>
          <t>VÄSTERNORRLANDS LÄN</t>
        </is>
      </c>
      <c r="E391" t="inlineStr">
        <is>
          <t>ÖRNSKÖLDSVIK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46711-2022</t>
        </is>
      </c>
      <c r="B392" s="1" t="n">
        <v>44851.39113425926</v>
      </c>
      <c r="C392" s="1" t="n">
        <v>46137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11142-2022</t>
        </is>
      </c>
      <c r="B393" s="1" t="n">
        <v>44629.33833333333</v>
      </c>
      <c r="C393" s="1" t="n">
        <v>46137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46137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46137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46137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46137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46137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63449-2021</t>
        </is>
      </c>
      <c r="B399" s="1" t="n">
        <v>44508</v>
      </c>
      <c r="C399" s="1" t="n">
        <v>46137</v>
      </c>
      <c r="D399" t="inlineStr">
        <is>
          <t>VÄSTERNORRLANDS LÄN</t>
        </is>
      </c>
      <c r="E399" t="inlineStr">
        <is>
          <t>ÖRNSKÖLDSVIK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42351-2021</t>
        </is>
      </c>
      <c r="B400" s="1" t="n">
        <v>44427</v>
      </c>
      <c r="C400" s="1" t="n">
        <v>46137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69971-2021</t>
        </is>
      </c>
      <c r="B401" s="1" t="n">
        <v>44533</v>
      </c>
      <c r="C401" s="1" t="n">
        <v>46137</v>
      </c>
      <c r="D401" t="inlineStr">
        <is>
          <t>VÄSTERNORRLANDS LÄN</t>
        </is>
      </c>
      <c r="E401" t="inlineStr">
        <is>
          <t>ÖRNSKÖLDSVIK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48004-2022</t>
        </is>
      </c>
      <c r="B402" s="1" t="n">
        <v>44855</v>
      </c>
      <c r="C402" s="1" t="n">
        <v>46137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73637-2021</t>
        </is>
      </c>
      <c r="B403" s="1" t="n">
        <v>44552.4337962963</v>
      </c>
      <c r="C403" s="1" t="n">
        <v>46137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33684-2022</t>
        </is>
      </c>
      <c r="B404" s="1" t="n">
        <v>44789</v>
      </c>
      <c r="C404" s="1" t="n">
        <v>46137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18422-2022</t>
        </is>
      </c>
      <c r="B405" s="1" t="n">
        <v>44687</v>
      </c>
      <c r="C405" s="1" t="n">
        <v>46137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57438-2021</t>
        </is>
      </c>
      <c r="B406" s="1" t="n">
        <v>44483</v>
      </c>
      <c r="C406" s="1" t="n">
        <v>46137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46137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46137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46137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46137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46137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46137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46137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51832-2022</t>
        </is>
      </c>
      <c r="B414" s="1" t="n">
        <v>44872</v>
      </c>
      <c r="C414" s="1" t="n">
        <v>46137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20600-2022</t>
        </is>
      </c>
      <c r="B415" s="1" t="n">
        <v>44700</v>
      </c>
      <c r="C415" s="1" t="n">
        <v>46137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46137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30346-2023</t>
        </is>
      </c>
      <c r="B417" s="1" t="n">
        <v>45111.39366898148</v>
      </c>
      <c r="C417" s="1" t="n">
        <v>46137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43009-2024</t>
        </is>
      </c>
      <c r="B418" s="1" t="n">
        <v>45567</v>
      </c>
      <c r="C418" s="1" t="n">
        <v>46137</v>
      </c>
      <c r="D418" t="inlineStr">
        <is>
          <t>VÄSTERNORRLANDS LÄN</t>
        </is>
      </c>
      <c r="E418" t="inlineStr">
        <is>
          <t>ÖRNSKÖLDSVIK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58530-2023</t>
        </is>
      </c>
      <c r="B419" s="1" t="n">
        <v>45251.39074074074</v>
      </c>
      <c r="C419" s="1" t="n">
        <v>46137</v>
      </c>
      <c r="D419" t="inlineStr">
        <is>
          <t>VÄSTERNORRLANDS LÄN</t>
        </is>
      </c>
      <c r="E419" t="inlineStr">
        <is>
          <t>ÖRNSKÖLDSVIK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54339-2021</t>
        </is>
      </c>
      <c r="B420" s="1" t="n">
        <v>44473.03760416667</v>
      </c>
      <c r="C420" s="1" t="n">
        <v>46137</v>
      </c>
      <c r="D420" t="inlineStr">
        <is>
          <t>VÄSTERNORRLANDS LÄN</t>
        </is>
      </c>
      <c r="E420" t="inlineStr">
        <is>
          <t>ÖRNSKÖLDSVIK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56513-2021</t>
        </is>
      </c>
      <c r="B421" s="1" t="n">
        <v>44480.58693287037</v>
      </c>
      <c r="C421" s="1" t="n">
        <v>46137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13736-2025</t>
        </is>
      </c>
      <c r="B422" s="1" t="n">
        <v>45736</v>
      </c>
      <c r="C422" s="1" t="n">
        <v>46137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70581-2021</t>
        </is>
      </c>
      <c r="B423" s="1" t="n">
        <v>44537</v>
      </c>
      <c r="C423" s="1" t="n">
        <v>46137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60612-2021</t>
        </is>
      </c>
      <c r="B424" s="1" t="n">
        <v>44495</v>
      </c>
      <c r="C424" s="1" t="n">
        <v>46137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64018-2021</t>
        </is>
      </c>
      <c r="B425" s="1" t="n">
        <v>44510</v>
      </c>
      <c r="C425" s="1" t="n">
        <v>46137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20470-2022</t>
        </is>
      </c>
      <c r="B426" s="1" t="n">
        <v>44699</v>
      </c>
      <c r="C426" s="1" t="n">
        <v>46137</v>
      </c>
      <c r="D426" t="inlineStr">
        <is>
          <t>VÄSTERNORRLANDS LÄN</t>
        </is>
      </c>
      <c r="E426" t="inlineStr">
        <is>
          <t>ÖRNSKÖLDSVIK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31859-2024</t>
        </is>
      </c>
      <c r="B427" s="1" t="n">
        <v>45509.69664351852</v>
      </c>
      <c r="C427" s="1" t="n">
        <v>46137</v>
      </c>
      <c r="D427" t="inlineStr">
        <is>
          <t>VÄSTERNORRLANDS LÄN</t>
        </is>
      </c>
      <c r="E427" t="inlineStr">
        <is>
          <t>ÖRNSKÖLDSVIK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33992-2021</t>
        </is>
      </c>
      <c r="B428" s="1" t="n">
        <v>44378</v>
      </c>
      <c r="C428" s="1" t="n">
        <v>46137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32557-2024</t>
        </is>
      </c>
      <c r="B429" s="1" t="n">
        <v>45513</v>
      </c>
      <c r="C429" s="1" t="n">
        <v>46137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16477-2022</t>
        </is>
      </c>
      <c r="B430" s="1" t="n">
        <v>44671</v>
      </c>
      <c r="C430" s="1" t="n">
        <v>46137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14298-2025</t>
        </is>
      </c>
      <c r="B431" s="1" t="n">
        <v>45740.68361111111</v>
      </c>
      <c r="C431" s="1" t="n">
        <v>46137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19532-2025</t>
        </is>
      </c>
      <c r="B432" s="1" t="n">
        <v>45770.47039351852</v>
      </c>
      <c r="C432" s="1" t="n">
        <v>46137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46137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70885-2021</t>
        </is>
      </c>
      <c r="B434" s="1" t="n">
        <v>44537</v>
      </c>
      <c r="C434" s="1" t="n">
        <v>46137</v>
      </c>
      <c r="D434" t="inlineStr">
        <is>
          <t>VÄSTERNORRLANDS LÄN</t>
        </is>
      </c>
      <c r="E434" t="inlineStr">
        <is>
          <t>ÖRNSKÖLDSVIK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54714-2022</t>
        </is>
      </c>
      <c r="B435" s="1" t="n">
        <v>44881</v>
      </c>
      <c r="C435" s="1" t="n">
        <v>46137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4340-2024</t>
        </is>
      </c>
      <c r="B436" s="1" t="n">
        <v>45324.81793981481</v>
      </c>
      <c r="C436" s="1" t="n">
        <v>46137</v>
      </c>
      <c r="D436" t="inlineStr">
        <is>
          <t>VÄSTERNORRLANDS LÄN</t>
        </is>
      </c>
      <c r="E436" t="inlineStr">
        <is>
          <t>ÖRNSKÖLDSVIK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4341-2024</t>
        </is>
      </c>
      <c r="B437" s="1" t="n">
        <v>45324.82131944445</v>
      </c>
      <c r="C437" s="1" t="n">
        <v>46137</v>
      </c>
      <c r="D437" t="inlineStr">
        <is>
          <t>VÄSTERNORRLANDS LÄN</t>
        </is>
      </c>
      <c r="E437" t="inlineStr">
        <is>
          <t>ÖRNSKÖLDSVIK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7820-2025</t>
        </is>
      </c>
      <c r="B438" s="1" t="n">
        <v>45706</v>
      </c>
      <c r="C438" s="1" t="n">
        <v>46137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54341-2021</t>
        </is>
      </c>
      <c r="B439" s="1" t="n">
        <v>44473.0430324074</v>
      </c>
      <c r="C439" s="1" t="n">
        <v>46137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54391-2021</t>
        </is>
      </c>
      <c r="B440" s="1" t="n">
        <v>44473.38570601852</v>
      </c>
      <c r="C440" s="1" t="n">
        <v>46137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1795-2025</t>
        </is>
      </c>
      <c r="B441" s="1" t="n">
        <v>45670</v>
      </c>
      <c r="C441" s="1" t="n">
        <v>46137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27368-2022</t>
        </is>
      </c>
      <c r="B442" s="1" t="n">
        <v>44742.45391203704</v>
      </c>
      <c r="C442" s="1" t="n">
        <v>46137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24569-2022</t>
        </is>
      </c>
      <c r="B443" s="1" t="n">
        <v>44726</v>
      </c>
      <c r="C443" s="1" t="n">
        <v>46137</v>
      </c>
      <c r="D443" t="inlineStr">
        <is>
          <t>VÄSTERNORRLANDS LÄN</t>
        </is>
      </c>
      <c r="E443" t="inlineStr">
        <is>
          <t>ÖRNSKÖLDSVIK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53799-2021</t>
        </is>
      </c>
      <c r="B444" s="1" t="n">
        <v>44469.59017361111</v>
      </c>
      <c r="C444" s="1" t="n">
        <v>46137</v>
      </c>
      <c r="D444" t="inlineStr">
        <is>
          <t>VÄSTERNORRLANDS LÄN</t>
        </is>
      </c>
      <c r="E444" t="inlineStr">
        <is>
          <t>ÖRNSKÖLDSVIK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37954-2022</t>
        </is>
      </c>
      <c r="B445" s="1" t="n">
        <v>44811</v>
      </c>
      <c r="C445" s="1" t="n">
        <v>46137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50732-2022</t>
        </is>
      </c>
      <c r="B446" s="1" t="n">
        <v>44862</v>
      </c>
      <c r="C446" s="1" t="n">
        <v>46137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35472-2024</t>
        </is>
      </c>
      <c r="B447" s="1" t="n">
        <v>45531.46997685185</v>
      </c>
      <c r="C447" s="1" t="n">
        <v>46137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37924-2024</t>
        </is>
      </c>
      <c r="B448" s="1" t="n">
        <v>45544</v>
      </c>
      <c r="C448" s="1" t="n">
        <v>46137</v>
      </c>
      <c r="D448" t="inlineStr">
        <is>
          <t>VÄSTERNORRLANDS LÄN</t>
        </is>
      </c>
      <c r="E448" t="inlineStr">
        <is>
          <t>ÖRNSKÖLDSVIK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26481-2021</t>
        </is>
      </c>
      <c r="B449" s="1" t="n">
        <v>44347</v>
      </c>
      <c r="C449" s="1" t="n">
        <v>46137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38366-2022</t>
        </is>
      </c>
      <c r="B450" s="1" t="n">
        <v>44812.66975694444</v>
      </c>
      <c r="C450" s="1" t="n">
        <v>46137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24202-2022</t>
        </is>
      </c>
      <c r="B451" s="1" t="n">
        <v>44725.58482638889</v>
      </c>
      <c r="C451" s="1" t="n">
        <v>46137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48457-2022</t>
        </is>
      </c>
      <c r="B452" s="1" t="n">
        <v>44858.66527777778</v>
      </c>
      <c r="C452" s="1" t="n">
        <v>46137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2966-2023</t>
        </is>
      </c>
      <c r="B453" s="1" t="n">
        <v>44944</v>
      </c>
      <c r="C453" s="1" t="n">
        <v>46137</v>
      </c>
      <c r="D453" t="inlineStr">
        <is>
          <t>VÄSTERNORRLANDS LÄN</t>
        </is>
      </c>
      <c r="E453" t="inlineStr">
        <is>
          <t>ÖRNSKÖLDSVIK</t>
        </is>
      </c>
      <c r="G453" t="n">
        <v>21.3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33917-2024</t>
        </is>
      </c>
      <c r="B454" s="1" t="n">
        <v>45523</v>
      </c>
      <c r="C454" s="1" t="n">
        <v>46137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56566-2024</t>
        </is>
      </c>
      <c r="B455" s="1" t="n">
        <v>45625.5858912037</v>
      </c>
      <c r="C455" s="1" t="n">
        <v>46137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1471-2022</t>
        </is>
      </c>
      <c r="B456" s="1" t="n">
        <v>44573</v>
      </c>
      <c r="C456" s="1" t="n">
        <v>46137</v>
      </c>
      <c r="D456" t="inlineStr">
        <is>
          <t>VÄSTERNORRLANDS LÄN</t>
        </is>
      </c>
      <c r="E456" t="inlineStr">
        <is>
          <t>ÖRNSKÖLDSVIK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72521-2021</t>
        </is>
      </c>
      <c r="B457" s="1" t="n">
        <v>44546.34429398148</v>
      </c>
      <c r="C457" s="1" t="n">
        <v>46137</v>
      </c>
      <c r="D457" t="inlineStr">
        <is>
          <t>VÄSTERNORRLANDS LÄN</t>
        </is>
      </c>
      <c r="E457" t="inlineStr">
        <is>
          <t>ÖRNSKÖLDSVIK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44258-2023</t>
        </is>
      </c>
      <c r="B458" s="1" t="n">
        <v>45188.59456018519</v>
      </c>
      <c r="C458" s="1" t="n">
        <v>46137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35085-2022</t>
        </is>
      </c>
      <c r="B459" s="1" t="n">
        <v>44797</v>
      </c>
      <c r="C459" s="1" t="n">
        <v>46137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44431-2022</t>
        </is>
      </c>
      <c r="B460" s="1" t="n">
        <v>44839</v>
      </c>
      <c r="C460" s="1" t="n">
        <v>46137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37871-2024</t>
        </is>
      </c>
      <c r="B461" s="1" t="n">
        <v>45544</v>
      </c>
      <c r="C461" s="1" t="n">
        <v>46137</v>
      </c>
      <c r="D461" t="inlineStr">
        <is>
          <t>VÄSTERNORRLANDS LÄN</t>
        </is>
      </c>
      <c r="E461" t="inlineStr">
        <is>
          <t>ÖRNSKÖLDSVIK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44865-2024</t>
        </is>
      </c>
      <c r="B462" s="1" t="n">
        <v>45575.32356481482</v>
      </c>
      <c r="C462" s="1" t="n">
        <v>46137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13161-2025</t>
        </is>
      </c>
      <c r="B463" s="1" t="n">
        <v>45734</v>
      </c>
      <c r="C463" s="1" t="n">
        <v>46137</v>
      </c>
      <c r="D463" t="inlineStr">
        <is>
          <t>VÄSTERNORRLANDS LÄN</t>
        </is>
      </c>
      <c r="E463" t="inlineStr">
        <is>
          <t>ÖRNSKÖLDSVIK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17356-2023</t>
        </is>
      </c>
      <c r="B464" s="1" t="n">
        <v>45033</v>
      </c>
      <c r="C464" s="1" t="n">
        <v>46137</v>
      </c>
      <c r="D464" t="inlineStr">
        <is>
          <t>VÄSTERNORRLANDS LÄN</t>
        </is>
      </c>
      <c r="E464" t="inlineStr">
        <is>
          <t>ÖRNSKÖLDSVIK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62285-2023</t>
        </is>
      </c>
      <c r="B465" s="1" t="n">
        <v>45267.65267361111</v>
      </c>
      <c r="C465" s="1" t="n">
        <v>46137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59218-2024</t>
        </is>
      </c>
      <c r="B466" s="1" t="n">
        <v>45637.57275462963</v>
      </c>
      <c r="C466" s="1" t="n">
        <v>46137</v>
      </c>
      <c r="D466" t="inlineStr">
        <is>
          <t>VÄSTERNORRLANDS LÄN</t>
        </is>
      </c>
      <c r="E466" t="inlineStr">
        <is>
          <t>ÖRNSKÖLDSVIK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49598-2022</t>
        </is>
      </c>
      <c r="B467" s="1" t="n">
        <v>44862</v>
      </c>
      <c r="C467" s="1" t="n">
        <v>46137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13816-2024</t>
        </is>
      </c>
      <c r="B468" s="1" t="n">
        <v>45390</v>
      </c>
      <c r="C468" s="1" t="n">
        <v>46137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62013-2021</t>
        </is>
      </c>
      <c r="B469" s="1" t="n">
        <v>44502.50188657407</v>
      </c>
      <c r="C469" s="1" t="n">
        <v>46137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5102-2022</t>
        </is>
      </c>
      <c r="B470" s="1" t="n">
        <v>44593.88219907408</v>
      </c>
      <c r="C470" s="1" t="n">
        <v>46137</v>
      </c>
      <c r="D470" t="inlineStr">
        <is>
          <t>VÄSTERNORRLANDS LÄN</t>
        </is>
      </c>
      <c r="E470" t="inlineStr">
        <is>
          <t>ÖRNSKÖLDSVIK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46137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32831-2021</t>
        </is>
      </c>
      <c r="B472" s="1" t="n">
        <v>44375</v>
      </c>
      <c r="C472" s="1" t="n">
        <v>46137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58461-2021</t>
        </is>
      </c>
      <c r="B473" s="1" t="n">
        <v>44488</v>
      </c>
      <c r="C473" s="1" t="n">
        <v>46137</v>
      </c>
      <c r="D473" t="inlineStr">
        <is>
          <t>VÄSTERNORRLANDS LÄN</t>
        </is>
      </c>
      <c r="E473" t="inlineStr">
        <is>
          <t>ÖRNSKÖLDSVIK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58475-2021</t>
        </is>
      </c>
      <c r="B474" s="1" t="n">
        <v>44488</v>
      </c>
      <c r="C474" s="1" t="n">
        <v>46137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34123-2023</t>
        </is>
      </c>
      <c r="B475" s="1" t="n">
        <v>45135</v>
      </c>
      <c r="C475" s="1" t="n">
        <v>46137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38661-2024</t>
        </is>
      </c>
      <c r="B476" s="1" t="n">
        <v>45547.25223379629</v>
      </c>
      <c r="C476" s="1" t="n">
        <v>46137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55774-2023</t>
        </is>
      </c>
      <c r="B477" s="1" t="n">
        <v>45239</v>
      </c>
      <c r="C477" s="1" t="n">
        <v>46137</v>
      </c>
      <c r="D477" t="inlineStr">
        <is>
          <t>VÄSTERNORRLANDS LÄN</t>
        </is>
      </c>
      <c r="E477" t="inlineStr">
        <is>
          <t>ÖRNSKÖLDSVIK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22749-2022</t>
        </is>
      </c>
      <c r="B478" s="1" t="n">
        <v>44714</v>
      </c>
      <c r="C478" s="1" t="n">
        <v>46137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4360-2023</t>
        </is>
      </c>
      <c r="B479" s="1" t="n">
        <v>44954.72591435185</v>
      </c>
      <c r="C479" s="1" t="n">
        <v>46137</v>
      </c>
      <c r="D479" t="inlineStr">
        <is>
          <t>VÄSTERNORRLANDS LÄN</t>
        </is>
      </c>
      <c r="E479" t="inlineStr">
        <is>
          <t>ÖRNSKÖLDSVIK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51035-2024</t>
        </is>
      </c>
      <c r="B480" s="1" t="n">
        <v>45603.42741898148</v>
      </c>
      <c r="C480" s="1" t="n">
        <v>46137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68084-2021</t>
        </is>
      </c>
      <c r="B481" s="1" t="n">
        <v>44526.33138888889</v>
      </c>
      <c r="C481" s="1" t="n">
        <v>46137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46137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33244-2023</t>
        </is>
      </c>
      <c r="B483" s="1" t="n">
        <v>45114</v>
      </c>
      <c r="C483" s="1" t="n">
        <v>46137</v>
      </c>
      <c r="D483" t="inlineStr">
        <is>
          <t>VÄSTERNORRLANDS LÄN</t>
        </is>
      </c>
      <c r="E483" t="inlineStr">
        <is>
          <t>ÖRNSKÖLDSVIK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54340-2021</t>
        </is>
      </c>
      <c r="B484" s="1" t="n">
        <v>44473.04076388889</v>
      </c>
      <c r="C484" s="1" t="n">
        <v>46137</v>
      </c>
      <c r="D484" t="inlineStr">
        <is>
          <t>VÄSTERNORRLANDS LÄN</t>
        </is>
      </c>
      <c r="E484" t="inlineStr">
        <is>
          <t>ÖRNSKÖLDSVIK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6594-2022</t>
        </is>
      </c>
      <c r="B485" s="1" t="n">
        <v>44601</v>
      </c>
      <c r="C485" s="1" t="n">
        <v>46137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28336-2024</t>
        </is>
      </c>
      <c r="B486" s="1" t="n">
        <v>45477.54378472222</v>
      </c>
      <c r="C486" s="1" t="n">
        <v>46137</v>
      </c>
      <c r="D486" t="inlineStr">
        <is>
          <t>VÄSTERNORRLANDS LÄN</t>
        </is>
      </c>
      <c r="E486" t="inlineStr">
        <is>
          <t>ÖRNSKÖLDSVIK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20474-2022</t>
        </is>
      </c>
      <c r="B487" s="1" t="n">
        <v>44699</v>
      </c>
      <c r="C487" s="1" t="n">
        <v>46137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50727-2021</t>
        </is>
      </c>
      <c r="B488" s="1" t="n">
        <v>44459</v>
      </c>
      <c r="C488" s="1" t="n">
        <v>46137</v>
      </c>
      <c r="D488" t="inlineStr">
        <is>
          <t>VÄSTERNORRLANDS LÄN</t>
        </is>
      </c>
      <c r="E488" t="inlineStr">
        <is>
          <t>ÖRNSKÖLDSVIK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18074-2022</t>
        </is>
      </c>
      <c r="B489" s="1" t="n">
        <v>44684</v>
      </c>
      <c r="C489" s="1" t="n">
        <v>46137</v>
      </c>
      <c r="D489" t="inlineStr">
        <is>
          <t>VÄSTERNORRLANDS LÄN</t>
        </is>
      </c>
      <c r="E489" t="inlineStr">
        <is>
          <t>ÖRNSKÖLDSVIK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36796-2022</t>
        </is>
      </c>
      <c r="B490" s="1" t="n">
        <v>44805</v>
      </c>
      <c r="C490" s="1" t="n">
        <v>46137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20096-2022</t>
        </is>
      </c>
      <c r="B491" s="1" t="n">
        <v>44698</v>
      </c>
      <c r="C491" s="1" t="n">
        <v>46137</v>
      </c>
      <c r="D491" t="inlineStr">
        <is>
          <t>VÄSTERNORRLANDS LÄN</t>
        </is>
      </c>
      <c r="E491" t="inlineStr">
        <is>
          <t>ÖRNSKÖLDSVIK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10523-2025</t>
        </is>
      </c>
      <c r="B492" s="1" t="n">
        <v>45721.43300925926</v>
      </c>
      <c r="C492" s="1" t="n">
        <v>46137</v>
      </c>
      <c r="D492" t="inlineStr">
        <is>
          <t>VÄSTERNORRLANDS LÄN</t>
        </is>
      </c>
      <c r="E492" t="inlineStr">
        <is>
          <t>ÖRNSKÖLDSVIK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36151-2022</t>
        </is>
      </c>
      <c r="B493" s="1" t="n">
        <v>44803.37024305556</v>
      </c>
      <c r="C493" s="1" t="n">
        <v>46137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57994-2023</t>
        </is>
      </c>
      <c r="B494" s="1" t="n">
        <v>45247.6033912037</v>
      </c>
      <c r="C494" s="1" t="n">
        <v>46137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34760-2024</t>
        </is>
      </c>
      <c r="B495" s="1" t="n">
        <v>45526</v>
      </c>
      <c r="C495" s="1" t="n">
        <v>46137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46137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22077-2022</t>
        </is>
      </c>
      <c r="B497" s="1" t="n">
        <v>44711.92616898148</v>
      </c>
      <c r="C497" s="1" t="n">
        <v>46137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55417-2024</t>
        </is>
      </c>
      <c r="B498" s="1" t="n">
        <v>45622.37831018519</v>
      </c>
      <c r="C498" s="1" t="n">
        <v>46137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46047-2021</t>
        </is>
      </c>
      <c r="B499" s="1" t="n">
        <v>44441.9424537037</v>
      </c>
      <c r="C499" s="1" t="n">
        <v>46137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42522-2023</t>
        </is>
      </c>
      <c r="B500" s="1" t="n">
        <v>45181</v>
      </c>
      <c r="C500" s="1" t="n">
        <v>46137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26849-2021</t>
        </is>
      </c>
      <c r="B501" s="1" t="n">
        <v>44349</v>
      </c>
      <c r="C501" s="1" t="n">
        <v>46137</v>
      </c>
      <c r="D501" t="inlineStr">
        <is>
          <t>VÄSTERNORRLANDS LÄN</t>
        </is>
      </c>
      <c r="E501" t="inlineStr">
        <is>
          <t>ÖRNSKÖLDSVIK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63673-2023</t>
        </is>
      </c>
      <c r="B502" s="1" t="n">
        <v>45275</v>
      </c>
      <c r="C502" s="1" t="n">
        <v>46137</v>
      </c>
      <c r="D502" t="inlineStr">
        <is>
          <t>VÄSTERNORRLANDS LÄN</t>
        </is>
      </c>
      <c r="E502" t="inlineStr">
        <is>
          <t>ÖRNSKÖLDSVIK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48554-2021</t>
        </is>
      </c>
      <c r="B503" s="1" t="n">
        <v>44452</v>
      </c>
      <c r="C503" s="1" t="n">
        <v>46137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24996-2024</t>
        </is>
      </c>
      <c r="B504" s="1" t="n">
        <v>45461.7502662037</v>
      </c>
      <c r="C504" s="1" t="n">
        <v>46137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62082-2023</t>
        </is>
      </c>
      <c r="B505" s="1" t="n">
        <v>45266</v>
      </c>
      <c r="C505" s="1" t="n">
        <v>46137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48541-2021</t>
        </is>
      </c>
      <c r="B506" s="1" t="n">
        <v>44452</v>
      </c>
      <c r="C506" s="1" t="n">
        <v>46137</v>
      </c>
      <c r="D506" t="inlineStr">
        <is>
          <t>VÄSTERNORRLANDS LÄN</t>
        </is>
      </c>
      <c r="E506" t="inlineStr">
        <is>
          <t>ÖRNSKÖLDSVIK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52290-2021</t>
        </is>
      </c>
      <c r="B507" s="1" t="n">
        <v>44463.66857638889</v>
      </c>
      <c r="C507" s="1" t="n">
        <v>46137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67834-2021</t>
        </is>
      </c>
      <c r="B508" s="1" t="n">
        <v>44525.45952546296</v>
      </c>
      <c r="C508" s="1" t="n">
        <v>46137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52062-2021</t>
        </is>
      </c>
      <c r="B509" s="1" t="n">
        <v>44463.38034722222</v>
      </c>
      <c r="C509" s="1" t="n">
        <v>46137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30118-2021</t>
        </is>
      </c>
      <c r="B510" s="1" t="n">
        <v>44363</v>
      </c>
      <c r="C510" s="1" t="n">
        <v>46137</v>
      </c>
      <c r="D510" t="inlineStr">
        <is>
          <t>VÄSTERNORRLANDS LÄN</t>
        </is>
      </c>
      <c r="E510" t="inlineStr">
        <is>
          <t>ÖRNSKÖLDSVIK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4345-2024</t>
        </is>
      </c>
      <c r="B511" s="1" t="n">
        <v>45324.88559027778</v>
      </c>
      <c r="C511" s="1" t="n">
        <v>46137</v>
      </c>
      <c r="D511" t="inlineStr">
        <is>
          <t>VÄSTERNORRLANDS LÄN</t>
        </is>
      </c>
      <c r="E511" t="inlineStr">
        <is>
          <t>ÖRNSKÖLDSVIK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32208-2024</t>
        </is>
      </c>
      <c r="B512" s="1" t="n">
        <v>45511.67479166666</v>
      </c>
      <c r="C512" s="1" t="n">
        <v>46137</v>
      </c>
      <c r="D512" t="inlineStr">
        <is>
          <t>VÄSTERNORRLANDS LÄN</t>
        </is>
      </c>
      <c r="E512" t="inlineStr">
        <is>
          <t>ÖRNSKÖLDSVIK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33771-2024</t>
        </is>
      </c>
      <c r="B513" s="1" t="n">
        <v>45520.57565972222</v>
      </c>
      <c r="C513" s="1" t="n">
        <v>46137</v>
      </c>
      <c r="D513" t="inlineStr">
        <is>
          <t>VÄSTERNORRLANDS LÄN</t>
        </is>
      </c>
      <c r="E513" t="inlineStr">
        <is>
          <t>ÖRNSKÖLDSVIK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48979-2023</t>
        </is>
      </c>
      <c r="B514" s="1" t="n">
        <v>45209.63055555556</v>
      </c>
      <c r="C514" s="1" t="n">
        <v>46137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59660-2021</t>
        </is>
      </c>
      <c r="B515" s="1" t="n">
        <v>44494</v>
      </c>
      <c r="C515" s="1" t="n">
        <v>46137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48886-2024</t>
        </is>
      </c>
      <c r="B516" s="1" t="n">
        <v>45594</v>
      </c>
      <c r="C516" s="1" t="n">
        <v>46137</v>
      </c>
      <c r="D516" t="inlineStr">
        <is>
          <t>VÄSTERNORRLANDS LÄN</t>
        </is>
      </c>
      <c r="E516" t="inlineStr">
        <is>
          <t>ÖRNSKÖLDSVIK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65317-2021</t>
        </is>
      </c>
      <c r="B517" s="1" t="n">
        <v>44515.62831018519</v>
      </c>
      <c r="C517" s="1" t="n">
        <v>46137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33698-2021</t>
        </is>
      </c>
      <c r="B518" s="1" t="n">
        <v>44378</v>
      </c>
      <c r="C518" s="1" t="n">
        <v>46137</v>
      </c>
      <c r="D518" t="inlineStr">
        <is>
          <t>VÄSTERNORRLANDS LÄN</t>
        </is>
      </c>
      <c r="E518" t="inlineStr">
        <is>
          <t>ÖRNSKÖLDSVIK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55638-2021</t>
        </is>
      </c>
      <c r="B519" s="1" t="n">
        <v>44476.34944444444</v>
      </c>
      <c r="C519" s="1" t="n">
        <v>46137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30598-2021</t>
        </is>
      </c>
      <c r="B520" s="1" t="n">
        <v>44364</v>
      </c>
      <c r="C520" s="1" t="n">
        <v>46137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57310-2021</t>
        </is>
      </c>
      <c r="B521" s="1" t="n">
        <v>44483.43247685185</v>
      </c>
      <c r="C521" s="1" t="n">
        <v>46137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944-2022</t>
        </is>
      </c>
      <c r="B522" s="1" t="n">
        <v>44568</v>
      </c>
      <c r="C522" s="1" t="n">
        <v>46137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72876-2021</t>
        </is>
      </c>
      <c r="B523" s="1" t="n">
        <v>44547.55855324074</v>
      </c>
      <c r="C523" s="1" t="n">
        <v>46137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56389-2024</t>
        </is>
      </c>
      <c r="B524" s="1" t="n">
        <v>45625.34460648148</v>
      </c>
      <c r="C524" s="1" t="n">
        <v>46137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55455-2021</t>
        </is>
      </c>
      <c r="B525" s="1" t="n">
        <v>44475.57884259259</v>
      </c>
      <c r="C525" s="1" t="n">
        <v>46137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21890-2023</t>
        </is>
      </c>
      <c r="B526" s="1" t="n">
        <v>45068</v>
      </c>
      <c r="C526" s="1" t="n">
        <v>46137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14645-2025</t>
        </is>
      </c>
      <c r="B527" s="1" t="n">
        <v>45742</v>
      </c>
      <c r="C527" s="1" t="n">
        <v>46137</v>
      </c>
      <c r="D527" t="inlineStr">
        <is>
          <t>VÄSTERNORRLANDS LÄN</t>
        </is>
      </c>
      <c r="E527" t="inlineStr">
        <is>
          <t>ÖRNSKÖLDSVIK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25672-2021</t>
        </is>
      </c>
      <c r="B528" s="1" t="n">
        <v>44343</v>
      </c>
      <c r="C528" s="1" t="n">
        <v>46137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24175-2023</t>
        </is>
      </c>
      <c r="B529" s="1" t="n">
        <v>45079</v>
      </c>
      <c r="C529" s="1" t="n">
        <v>46137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64707-2021</t>
        </is>
      </c>
      <c r="B530" s="1" t="n">
        <v>44512.35954861111</v>
      </c>
      <c r="C530" s="1" t="n">
        <v>46137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42275-2021</t>
        </is>
      </c>
      <c r="B531" s="1" t="n">
        <v>44426</v>
      </c>
      <c r="C531" s="1" t="n">
        <v>46137</v>
      </c>
      <c r="D531" t="inlineStr">
        <is>
          <t>VÄSTERNORRLANDS LÄN</t>
        </is>
      </c>
      <c r="E531" t="inlineStr">
        <is>
          <t>ÖRNSKÖLDSVIK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67865-2021</t>
        </is>
      </c>
      <c r="B532" s="1" t="n">
        <v>44525</v>
      </c>
      <c r="C532" s="1" t="n">
        <v>46137</v>
      </c>
      <c r="D532" t="inlineStr">
        <is>
          <t>VÄSTERNORRLANDS LÄN</t>
        </is>
      </c>
      <c r="E532" t="inlineStr">
        <is>
          <t>ÖRNSKÖLDSVIK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25178-2021</t>
        </is>
      </c>
      <c r="B533" s="1" t="n">
        <v>44342</v>
      </c>
      <c r="C533" s="1" t="n">
        <v>46137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45126-2021</t>
        </is>
      </c>
      <c r="B534" s="1" t="n">
        <v>44439</v>
      </c>
      <c r="C534" s="1" t="n">
        <v>46137</v>
      </c>
      <c r="D534" t="inlineStr">
        <is>
          <t>VÄSTERNORRLANDS LÄN</t>
        </is>
      </c>
      <c r="E534" t="inlineStr">
        <is>
          <t>ÖRNSKÖLDSVIK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22962-2024</t>
        </is>
      </c>
      <c r="B535" s="1" t="n">
        <v>45449.51231481481</v>
      </c>
      <c r="C535" s="1" t="n">
        <v>46137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62560-2023</t>
        </is>
      </c>
      <c r="B536" s="1" t="n">
        <v>45268.94784722223</v>
      </c>
      <c r="C536" s="1" t="n">
        <v>46137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18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23000-2021</t>
        </is>
      </c>
      <c r="B537" s="1" t="n">
        <v>44328</v>
      </c>
      <c r="C537" s="1" t="n">
        <v>46137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23002-2021</t>
        </is>
      </c>
      <c r="B538" s="1" t="n">
        <v>44328</v>
      </c>
      <c r="C538" s="1" t="n">
        <v>46137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42094-2021</t>
        </is>
      </c>
      <c r="B539" s="1" t="n">
        <v>44426</v>
      </c>
      <c r="C539" s="1" t="n">
        <v>46137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64116-2021</t>
        </is>
      </c>
      <c r="B540" s="1" t="n">
        <v>44509</v>
      </c>
      <c r="C540" s="1" t="n">
        <v>46137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60227-2021</t>
        </is>
      </c>
      <c r="B541" s="1" t="n">
        <v>44495</v>
      </c>
      <c r="C541" s="1" t="n">
        <v>46137</v>
      </c>
      <c r="D541" t="inlineStr">
        <is>
          <t>VÄSTERNORRLANDS LÄN</t>
        </is>
      </c>
      <c r="E541" t="inlineStr">
        <is>
          <t>ÖRNSKÖLDSVIK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68152-2021</t>
        </is>
      </c>
      <c r="B542" s="1" t="n">
        <v>44526.43829861111</v>
      </c>
      <c r="C542" s="1" t="n">
        <v>46137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47922-2022</t>
        </is>
      </c>
      <c r="B543" s="1" t="n">
        <v>44855.50136574074</v>
      </c>
      <c r="C543" s="1" t="n">
        <v>46137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58526-2024</t>
        </is>
      </c>
      <c r="B544" s="1" t="n">
        <v>45635.44359953704</v>
      </c>
      <c r="C544" s="1" t="n">
        <v>46137</v>
      </c>
      <c r="D544" t="inlineStr">
        <is>
          <t>VÄSTERNORRLANDS LÄN</t>
        </is>
      </c>
      <c r="E544" t="inlineStr">
        <is>
          <t>ÖRNSKÖLDSVIK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43104-2021</t>
        </is>
      </c>
      <c r="B545" s="1" t="n">
        <v>44431.60885416667</v>
      </c>
      <c r="C545" s="1" t="n">
        <v>46137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26457-2023</t>
        </is>
      </c>
      <c r="B546" s="1" t="n">
        <v>45089</v>
      </c>
      <c r="C546" s="1" t="n">
        <v>46137</v>
      </c>
      <c r="D546" t="inlineStr">
        <is>
          <t>VÄSTERNORRLANDS LÄN</t>
        </is>
      </c>
      <c r="E546" t="inlineStr">
        <is>
          <t>ÖRNSKÖLDSVIK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42139-2024</t>
        </is>
      </c>
      <c r="B547" s="1" t="n">
        <v>45562.42746527777</v>
      </c>
      <c r="C547" s="1" t="n">
        <v>46137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23840-2023</t>
        </is>
      </c>
      <c r="B548" s="1" t="n">
        <v>45078</v>
      </c>
      <c r="C548" s="1" t="n">
        <v>46137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60450-2021</t>
        </is>
      </c>
      <c r="B549" s="1" t="n">
        <v>44496.44508101852</v>
      </c>
      <c r="C549" s="1" t="n">
        <v>46137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41942-2023</t>
        </is>
      </c>
      <c r="B550" s="1" t="n">
        <v>45177</v>
      </c>
      <c r="C550" s="1" t="n">
        <v>46137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44330-2022</t>
        </is>
      </c>
      <c r="B551" s="1" t="n">
        <v>44839.65895833333</v>
      </c>
      <c r="C551" s="1" t="n">
        <v>46137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41157-2021</t>
        </is>
      </c>
      <c r="B552" s="1" t="n">
        <v>44424.29855324074</v>
      </c>
      <c r="C552" s="1" t="n">
        <v>46137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50223-2024</t>
        </is>
      </c>
      <c r="B553" s="1" t="n">
        <v>45600.53878472222</v>
      </c>
      <c r="C553" s="1" t="n">
        <v>46137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68934-2021</t>
        </is>
      </c>
      <c r="B554" s="1" t="n">
        <v>44529</v>
      </c>
      <c r="C554" s="1" t="n">
        <v>46137</v>
      </c>
      <c r="D554" t="inlineStr">
        <is>
          <t>VÄSTERNORRLANDS LÄN</t>
        </is>
      </c>
      <c r="E554" t="inlineStr">
        <is>
          <t>ÖRNSKÖLDSVIK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13424-2025</t>
        </is>
      </c>
      <c r="B555" s="1" t="n">
        <v>45736.32135416667</v>
      </c>
      <c r="C555" s="1" t="n">
        <v>46137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9254-2023</t>
        </is>
      </c>
      <c r="B556" s="1" t="n">
        <v>44980</v>
      </c>
      <c r="C556" s="1" t="n">
        <v>46137</v>
      </c>
      <c r="D556" t="inlineStr">
        <is>
          <t>VÄSTERNORRLANDS LÄN</t>
        </is>
      </c>
      <c r="E556" t="inlineStr">
        <is>
          <t>ÖRNSKÖLDSVIK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29810-2024</t>
        </is>
      </c>
      <c r="B557" s="1" t="n">
        <v>45485.53798611111</v>
      </c>
      <c r="C557" s="1" t="n">
        <v>46137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17768-2025</t>
        </is>
      </c>
      <c r="B558" s="1" t="n">
        <v>45758.50564814815</v>
      </c>
      <c r="C558" s="1" t="n">
        <v>46137</v>
      </c>
      <c r="D558" t="inlineStr">
        <is>
          <t>VÄSTERNORRLANDS LÄN</t>
        </is>
      </c>
      <c r="E558" t="inlineStr">
        <is>
          <t>ÖRNSKÖLDSVIK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27829-2022</t>
        </is>
      </c>
      <c r="B559" s="1" t="n">
        <v>44743</v>
      </c>
      <c r="C559" s="1" t="n">
        <v>46137</v>
      </c>
      <c r="D559" t="inlineStr">
        <is>
          <t>VÄSTERNORRLANDS LÄN</t>
        </is>
      </c>
      <c r="E559" t="inlineStr">
        <is>
          <t>ÖRNSKÖLDSVIK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47830-2022</t>
        </is>
      </c>
      <c r="B560" s="1" t="n">
        <v>44855</v>
      </c>
      <c r="C560" s="1" t="n">
        <v>46137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38750-2024</t>
        </is>
      </c>
      <c r="B561" s="1" t="n">
        <v>45547</v>
      </c>
      <c r="C561" s="1" t="n">
        <v>46137</v>
      </c>
      <c r="D561" t="inlineStr">
        <is>
          <t>VÄSTERNORRLANDS LÄN</t>
        </is>
      </c>
      <c r="E561" t="inlineStr">
        <is>
          <t>ÖRNSKÖLDSVIK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38753-2024</t>
        </is>
      </c>
      <c r="B562" s="1" t="n">
        <v>45547.43258101852</v>
      </c>
      <c r="C562" s="1" t="n">
        <v>46137</v>
      </c>
      <c r="D562" t="inlineStr">
        <is>
          <t>VÄSTERNORRLANDS LÄN</t>
        </is>
      </c>
      <c r="E562" t="inlineStr">
        <is>
          <t>ÖRNSKÖLDSVIK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5193-2025</t>
        </is>
      </c>
      <c r="B563" s="1" t="n">
        <v>45691</v>
      </c>
      <c r="C563" s="1" t="n">
        <v>46137</v>
      </c>
      <c r="D563" t="inlineStr">
        <is>
          <t>VÄSTERNORRLANDS LÄN</t>
        </is>
      </c>
      <c r="E563" t="inlineStr">
        <is>
          <t>ÖRNSKÖLDSVIK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34309-2022</t>
        </is>
      </c>
      <c r="B564" s="1" t="n">
        <v>44792</v>
      </c>
      <c r="C564" s="1" t="n">
        <v>46137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73763-2021</t>
        </is>
      </c>
      <c r="B565" s="1" t="n">
        <v>44552</v>
      </c>
      <c r="C565" s="1" t="n">
        <v>46137</v>
      </c>
      <c r="D565" t="inlineStr">
        <is>
          <t>VÄSTERNORRLANDS LÄN</t>
        </is>
      </c>
      <c r="E565" t="inlineStr">
        <is>
          <t>ÖRNSKÖLDSVIK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54841-2024</t>
        </is>
      </c>
      <c r="B566" s="1" t="n">
        <v>45618</v>
      </c>
      <c r="C566" s="1" t="n">
        <v>46137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28618-2024</t>
        </is>
      </c>
      <c r="B567" s="1" t="n">
        <v>45478.43987268519</v>
      </c>
      <c r="C567" s="1" t="n">
        <v>46137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21122-2024</t>
        </is>
      </c>
      <c r="B568" s="1" t="n">
        <v>45440</v>
      </c>
      <c r="C568" s="1" t="n">
        <v>46137</v>
      </c>
      <c r="D568" t="inlineStr">
        <is>
          <t>VÄSTERNORRLANDS LÄN</t>
        </is>
      </c>
      <c r="E568" t="inlineStr">
        <is>
          <t>ÖRNSKÖLDSVIK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21125-2024</t>
        </is>
      </c>
      <c r="B569" s="1" t="n">
        <v>45440.34047453704</v>
      </c>
      <c r="C569" s="1" t="n">
        <v>46137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61234-2024</t>
        </is>
      </c>
      <c r="B570" s="1" t="n">
        <v>45644</v>
      </c>
      <c r="C570" s="1" t="n">
        <v>46137</v>
      </c>
      <c r="D570" t="inlineStr">
        <is>
          <t>VÄSTERNORRLANDS LÄN</t>
        </is>
      </c>
      <c r="E570" t="inlineStr">
        <is>
          <t>ÖRNSKÖLDSVIK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33367-2021</t>
        </is>
      </c>
      <c r="B571" s="1" t="n">
        <v>44377</v>
      </c>
      <c r="C571" s="1" t="n">
        <v>46137</v>
      </c>
      <c r="D571" t="inlineStr">
        <is>
          <t>VÄSTERNORRLANDS LÄN</t>
        </is>
      </c>
      <c r="E571" t="inlineStr">
        <is>
          <t>ÖRNSKÖLDSVIK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49002-2021</t>
        </is>
      </c>
      <c r="B572" s="1" t="n">
        <v>44453</v>
      </c>
      <c r="C572" s="1" t="n">
        <v>46137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43986-2023</t>
        </is>
      </c>
      <c r="B573" s="1" t="n">
        <v>45187</v>
      </c>
      <c r="C573" s="1" t="n">
        <v>46137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34847-2023</t>
        </is>
      </c>
      <c r="B574" s="1" t="n">
        <v>45141.95984953704</v>
      </c>
      <c r="C574" s="1" t="n">
        <v>46137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61144-2023</t>
        </is>
      </c>
      <c r="B575" s="1" t="n">
        <v>45261.96729166667</v>
      </c>
      <c r="C575" s="1" t="n">
        <v>46137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21970-2024</t>
        </is>
      </c>
      <c r="B576" s="1" t="n">
        <v>45443.51434027778</v>
      </c>
      <c r="C576" s="1" t="n">
        <v>46137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23944-2023</t>
        </is>
      </c>
      <c r="B577" s="1" t="n">
        <v>45078</v>
      </c>
      <c r="C577" s="1" t="n">
        <v>46137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38891-2025</t>
        </is>
      </c>
      <c r="B578" s="1" t="n">
        <v>45884</v>
      </c>
      <c r="C578" s="1" t="n">
        <v>46137</v>
      </c>
      <c r="D578" t="inlineStr">
        <is>
          <t>VÄSTERNORRLANDS LÄN</t>
        </is>
      </c>
      <c r="E578" t="inlineStr">
        <is>
          <t>ÖRNSKÖLDSVIK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38892-2025</t>
        </is>
      </c>
      <c r="B579" s="1" t="n">
        <v>45884</v>
      </c>
      <c r="C579" s="1" t="n">
        <v>46137</v>
      </c>
      <c r="D579" t="inlineStr">
        <is>
          <t>VÄSTERNORRLANDS LÄN</t>
        </is>
      </c>
      <c r="E579" t="inlineStr">
        <is>
          <t>ÖRNSKÖLDSVIK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34546-2022</t>
        </is>
      </c>
      <c r="B580" s="1" t="n">
        <v>44793.93449074074</v>
      </c>
      <c r="C580" s="1" t="n">
        <v>46137</v>
      </c>
      <c r="D580" t="inlineStr">
        <is>
          <t>VÄSTERNORRLANDS LÄN</t>
        </is>
      </c>
      <c r="E580" t="inlineStr">
        <is>
          <t>ÖRNSKÖLDSVIK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27703-2024</t>
        </is>
      </c>
      <c r="B581" s="1" t="n">
        <v>45475</v>
      </c>
      <c r="C581" s="1" t="n">
        <v>46137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35578-2023</t>
        </is>
      </c>
      <c r="B582" s="1" t="n">
        <v>45147.47305555556</v>
      </c>
      <c r="C582" s="1" t="n">
        <v>46137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62743-2021</t>
        </is>
      </c>
      <c r="B583" s="1" t="n">
        <v>44504.3884375</v>
      </c>
      <c r="C583" s="1" t="n">
        <v>46137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14155-2025</t>
        </is>
      </c>
      <c r="B584" s="1" t="n">
        <v>45740</v>
      </c>
      <c r="C584" s="1" t="n">
        <v>46137</v>
      </c>
      <c r="D584" t="inlineStr">
        <is>
          <t>VÄSTERNORRLANDS LÄN</t>
        </is>
      </c>
      <c r="E584" t="inlineStr">
        <is>
          <t>ÖRNSKÖLDSVIK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28699-2024</t>
        </is>
      </c>
      <c r="B585" s="1" t="n">
        <v>45478.50231481482</v>
      </c>
      <c r="C585" s="1" t="n">
        <v>46137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24277-2024</t>
        </is>
      </c>
      <c r="B586" s="1" t="n">
        <v>45457.43934027778</v>
      </c>
      <c r="C586" s="1" t="n">
        <v>46137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19829-2024</t>
        </is>
      </c>
      <c r="B587" s="1" t="n">
        <v>45433.36116898148</v>
      </c>
      <c r="C587" s="1" t="n">
        <v>46137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9529-2024</t>
        </is>
      </c>
      <c r="B588" s="1" t="n">
        <v>45359</v>
      </c>
      <c r="C588" s="1" t="n">
        <v>46137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63091-2023</t>
        </is>
      </c>
      <c r="B589" s="1" t="n">
        <v>45273</v>
      </c>
      <c r="C589" s="1" t="n">
        <v>46137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16271-2024</t>
        </is>
      </c>
      <c r="B590" s="1" t="n">
        <v>45407</v>
      </c>
      <c r="C590" s="1" t="n">
        <v>46137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38933-2025</t>
        </is>
      </c>
      <c r="B591" s="1" t="n">
        <v>45887.64141203704</v>
      </c>
      <c r="C591" s="1" t="n">
        <v>46137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42357-2024</t>
        </is>
      </c>
      <c r="B592" s="1" t="n">
        <v>45562.75054398148</v>
      </c>
      <c r="C592" s="1" t="n">
        <v>46137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54773-2024</t>
        </is>
      </c>
      <c r="B593" s="1" t="n">
        <v>45618.47875</v>
      </c>
      <c r="C593" s="1" t="n">
        <v>46137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44357-2022</t>
        </is>
      </c>
      <c r="B594" s="1" t="n">
        <v>44839</v>
      </c>
      <c r="C594" s="1" t="n">
        <v>46137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44380-2024</t>
        </is>
      </c>
      <c r="B595" s="1" t="n">
        <v>45573.66344907408</v>
      </c>
      <c r="C595" s="1" t="n">
        <v>46137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48703-2023</t>
        </is>
      </c>
      <c r="B596" s="1" t="n">
        <v>45208</v>
      </c>
      <c r="C596" s="1" t="n">
        <v>46137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18147-2023</t>
        </is>
      </c>
      <c r="B597" s="1" t="n">
        <v>45040.94042824074</v>
      </c>
      <c r="C597" s="1" t="n">
        <v>46137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40764-2024</t>
        </is>
      </c>
      <c r="B598" s="1" t="n">
        <v>45558.469375</v>
      </c>
      <c r="C598" s="1" t="n">
        <v>46137</v>
      </c>
      <c r="D598" t="inlineStr">
        <is>
          <t>VÄSTERNORRLANDS LÄN</t>
        </is>
      </c>
      <c r="E598" t="inlineStr">
        <is>
          <t>ÖRNSKÖLDSVIK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44613-2021</t>
        </is>
      </c>
      <c r="B599" s="1" t="n">
        <v>44435</v>
      </c>
      <c r="C599" s="1" t="n">
        <v>46137</v>
      </c>
      <c r="D599" t="inlineStr">
        <is>
          <t>VÄSTERNORRLANDS LÄN</t>
        </is>
      </c>
      <c r="E599" t="inlineStr">
        <is>
          <t>ÖRNSKÖLDSVIK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8674-2025</t>
        </is>
      </c>
      <c r="B600" s="1" t="n">
        <v>45712.42736111111</v>
      </c>
      <c r="C600" s="1" t="n">
        <v>46137</v>
      </c>
      <c r="D600" t="inlineStr">
        <is>
          <t>VÄSTERNORRLANDS LÄN</t>
        </is>
      </c>
      <c r="E600" t="inlineStr">
        <is>
          <t>ÖRNSKÖLDSVIK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42578-2024</t>
        </is>
      </c>
      <c r="B601" s="1" t="n">
        <v>45565.65378472222</v>
      </c>
      <c r="C601" s="1" t="n">
        <v>46137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14027-2025</t>
        </is>
      </c>
      <c r="B602" s="1" t="n">
        <v>45740.35100694445</v>
      </c>
      <c r="C602" s="1" t="n">
        <v>46137</v>
      </c>
      <c r="D602" t="inlineStr">
        <is>
          <t>VÄSTERNORRLANDS LÄN</t>
        </is>
      </c>
      <c r="E602" t="inlineStr">
        <is>
          <t>ÖRNSKÖLDSVIK</t>
        </is>
      </c>
      <c r="G602" t="n">
        <v>27.3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36678-2024</t>
        </is>
      </c>
      <c r="B603" s="1" t="n">
        <v>45537.6525</v>
      </c>
      <c r="C603" s="1" t="n">
        <v>46137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38884-2025</t>
        </is>
      </c>
      <c r="B604" s="1" t="n">
        <v>45887.58331018518</v>
      </c>
      <c r="C604" s="1" t="n">
        <v>46137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38890-2025</t>
        </is>
      </c>
      <c r="B605" s="1" t="n">
        <v>45884</v>
      </c>
      <c r="C605" s="1" t="n">
        <v>46137</v>
      </c>
      <c r="D605" t="inlineStr">
        <is>
          <t>VÄSTERNORRLANDS LÄN</t>
        </is>
      </c>
      <c r="E605" t="inlineStr">
        <is>
          <t>ÖRNSKÖLDSVIK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17493-2024</t>
        </is>
      </c>
      <c r="B606" s="1" t="n">
        <v>45415.51228009259</v>
      </c>
      <c r="C606" s="1" t="n">
        <v>46137</v>
      </c>
      <c r="D606" t="inlineStr">
        <is>
          <t>VÄSTERNORRLANDS LÄN</t>
        </is>
      </c>
      <c r="E606" t="inlineStr">
        <is>
          <t>ÖRNSKÖLDSVIK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1485-2024</t>
        </is>
      </c>
      <c r="B607" s="1" t="n">
        <v>45305</v>
      </c>
      <c r="C607" s="1" t="n">
        <v>46137</v>
      </c>
      <c r="D607" t="inlineStr">
        <is>
          <t>VÄSTERNORRLANDS LÄN</t>
        </is>
      </c>
      <c r="E607" t="inlineStr">
        <is>
          <t>ÖRNSKÖLDSVIK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49027-2024</t>
        </is>
      </c>
      <c r="B608" s="1" t="n">
        <v>45594.51758101852</v>
      </c>
      <c r="C608" s="1" t="n">
        <v>46137</v>
      </c>
      <c r="D608" t="inlineStr">
        <is>
          <t>VÄSTERNORRLANDS LÄN</t>
        </is>
      </c>
      <c r="E608" t="inlineStr">
        <is>
          <t>ÖRNSKÖLDSVIK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25128-2024</t>
        </is>
      </c>
      <c r="B609" s="1" t="n">
        <v>45462.4621875</v>
      </c>
      <c r="C609" s="1" t="n">
        <v>46137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48134-2023</t>
        </is>
      </c>
      <c r="B610" s="1" t="n">
        <v>45205</v>
      </c>
      <c r="C610" s="1" t="n">
        <v>46137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49222-2024</t>
        </is>
      </c>
      <c r="B611" s="1" t="n">
        <v>45595</v>
      </c>
      <c r="C611" s="1" t="n">
        <v>46137</v>
      </c>
      <c r="D611" t="inlineStr">
        <is>
          <t>VÄSTERNORRLANDS LÄN</t>
        </is>
      </c>
      <c r="E611" t="inlineStr">
        <is>
          <t>ÖRNSKÖLDSVIK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7582-2025</t>
        </is>
      </c>
      <c r="B612" s="1" t="n">
        <v>45705</v>
      </c>
      <c r="C612" s="1" t="n">
        <v>46137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60712-2024</t>
        </is>
      </c>
      <c r="B613" s="1" t="n">
        <v>45644.50653935185</v>
      </c>
      <c r="C613" s="1" t="n">
        <v>46137</v>
      </c>
      <c r="D613" t="inlineStr">
        <is>
          <t>VÄSTERNORRLANDS LÄN</t>
        </is>
      </c>
      <c r="E613" t="inlineStr">
        <is>
          <t>ÖRNSKÖLDSVIK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61344-2024</t>
        </is>
      </c>
      <c r="B614" s="1" t="n">
        <v>45646.37256944444</v>
      </c>
      <c r="C614" s="1" t="n">
        <v>46137</v>
      </c>
      <c r="D614" t="inlineStr">
        <is>
          <t>VÄSTERNORRLANDS LÄN</t>
        </is>
      </c>
      <c r="E614" t="inlineStr">
        <is>
          <t>ÖRNSKÖLDSVIK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1703-2024</t>
        </is>
      </c>
      <c r="B615" s="1" t="n">
        <v>45307</v>
      </c>
      <c r="C615" s="1" t="n">
        <v>46137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49843-2024</t>
        </is>
      </c>
      <c r="B616" s="1" t="n">
        <v>45597</v>
      </c>
      <c r="C616" s="1" t="n">
        <v>46137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49868-2024</t>
        </is>
      </c>
      <c r="B617" s="1" t="n">
        <v>45597.48740740741</v>
      </c>
      <c r="C617" s="1" t="n">
        <v>46137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49887-2024</t>
        </is>
      </c>
      <c r="B618" s="1" t="n">
        <v>45597</v>
      </c>
      <c r="C618" s="1" t="n">
        <v>46137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43576-2022</t>
        </is>
      </c>
      <c r="B619" s="1" t="n">
        <v>44834</v>
      </c>
      <c r="C619" s="1" t="n">
        <v>46137</v>
      </c>
      <c r="D619" t="inlineStr">
        <is>
          <t>VÄSTERNORRLANDS LÄN</t>
        </is>
      </c>
      <c r="E619" t="inlineStr">
        <is>
          <t>ÖRNSKÖLDSVIK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3909-2025</t>
        </is>
      </c>
      <c r="B620" s="1" t="n">
        <v>45684.41552083333</v>
      </c>
      <c r="C620" s="1" t="n">
        <v>46137</v>
      </c>
      <c r="D620" t="inlineStr">
        <is>
          <t>VÄSTERNORRLANDS LÄN</t>
        </is>
      </c>
      <c r="E620" t="inlineStr">
        <is>
          <t>ÖRNSKÖLDSVIK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60786-2021</t>
        </is>
      </c>
      <c r="B621" s="1" t="n">
        <v>44496</v>
      </c>
      <c r="C621" s="1" t="n">
        <v>46137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4576-2024</t>
        </is>
      </c>
      <c r="B622" s="1" t="n">
        <v>45327</v>
      </c>
      <c r="C622" s="1" t="n">
        <v>46137</v>
      </c>
      <c r="D622" t="inlineStr">
        <is>
          <t>VÄSTERNORRLANDS LÄN</t>
        </is>
      </c>
      <c r="E622" t="inlineStr">
        <is>
          <t>ÖRNSKÖLDSVIK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48001-2023</t>
        </is>
      </c>
      <c r="B623" s="1" t="n">
        <v>45204</v>
      </c>
      <c r="C623" s="1" t="n">
        <v>46137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40207-2024</t>
        </is>
      </c>
      <c r="B624" s="1" t="n">
        <v>45554.5925462963</v>
      </c>
      <c r="C624" s="1" t="n">
        <v>46137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8115-2024</t>
        </is>
      </c>
      <c r="B625" s="1" t="n">
        <v>45351</v>
      </c>
      <c r="C625" s="1" t="n">
        <v>46137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6528-2024</t>
        </is>
      </c>
      <c r="B626" s="1" t="n">
        <v>45341.35649305556</v>
      </c>
      <c r="C626" s="1" t="n">
        <v>46137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21043-2024</t>
        </is>
      </c>
      <c r="B627" s="1" t="n">
        <v>45439.6675925926</v>
      </c>
      <c r="C627" s="1" t="n">
        <v>46137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45966-2023</t>
        </is>
      </c>
      <c r="B628" s="1" t="n">
        <v>45195</v>
      </c>
      <c r="C628" s="1" t="n">
        <v>46137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4428-2023</t>
        </is>
      </c>
      <c r="B629" s="1" t="n">
        <v>44956</v>
      </c>
      <c r="C629" s="1" t="n">
        <v>46137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60344-2022</t>
        </is>
      </c>
      <c r="B630" s="1" t="n">
        <v>44910</v>
      </c>
      <c r="C630" s="1" t="n">
        <v>46137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45426-2021</t>
        </is>
      </c>
      <c r="B631" s="1" t="n">
        <v>44440</v>
      </c>
      <c r="C631" s="1" t="n">
        <v>46137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43985-2023</t>
        </is>
      </c>
      <c r="B632" s="1" t="n">
        <v>45187</v>
      </c>
      <c r="C632" s="1" t="n">
        <v>46137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15.7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31345-2024</t>
        </is>
      </c>
      <c r="B633" s="1" t="n">
        <v>45504.92040509259</v>
      </c>
      <c r="C633" s="1" t="n">
        <v>46137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13226-2023</t>
        </is>
      </c>
      <c r="B634" s="1" t="n">
        <v>45002</v>
      </c>
      <c r="C634" s="1" t="n">
        <v>46137</v>
      </c>
      <c r="D634" t="inlineStr">
        <is>
          <t>VÄSTERNORRLANDS LÄN</t>
        </is>
      </c>
      <c r="E634" t="inlineStr">
        <is>
          <t>ÖRNSKÖLDSVIK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13279-2023</t>
        </is>
      </c>
      <c r="B635" s="1" t="n">
        <v>45004</v>
      </c>
      <c r="C635" s="1" t="n">
        <v>46137</v>
      </c>
      <c r="D635" t="inlineStr">
        <is>
          <t>VÄSTERNORRLANDS LÄN</t>
        </is>
      </c>
      <c r="E635" t="inlineStr">
        <is>
          <t>ÖRNSKÖLDSVIK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2257-2025</t>
        </is>
      </c>
      <c r="B636" s="1" t="n">
        <v>45673.51421296296</v>
      </c>
      <c r="C636" s="1" t="n">
        <v>46137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26521-2022</t>
        </is>
      </c>
      <c r="B637" s="1" t="n">
        <v>44739</v>
      </c>
      <c r="C637" s="1" t="n">
        <v>46137</v>
      </c>
      <c r="D637" t="inlineStr">
        <is>
          <t>VÄSTERNORRLANDS LÄN</t>
        </is>
      </c>
      <c r="E637" t="inlineStr">
        <is>
          <t>ÖRNSKÖLDSVIK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47836-2022</t>
        </is>
      </c>
      <c r="B638" s="1" t="n">
        <v>44855</v>
      </c>
      <c r="C638" s="1" t="n">
        <v>46137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61232-2022</t>
        </is>
      </c>
      <c r="B639" s="1" t="n">
        <v>44909</v>
      </c>
      <c r="C639" s="1" t="n">
        <v>46137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38726-2025</t>
        </is>
      </c>
      <c r="B640" s="1" t="n">
        <v>45887.31909722222</v>
      </c>
      <c r="C640" s="1" t="n">
        <v>46137</v>
      </c>
      <c r="D640" t="inlineStr">
        <is>
          <t>VÄSTERNORRLANDS LÄN</t>
        </is>
      </c>
      <c r="E640" t="inlineStr">
        <is>
          <t>ÖRNSKÖLDSVIK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195-2025</t>
        </is>
      </c>
      <c r="B641" s="1" t="n">
        <v>45659.79195601852</v>
      </c>
      <c r="C641" s="1" t="n">
        <v>46137</v>
      </c>
      <c r="D641" t="inlineStr">
        <is>
          <t>VÄSTERNORRLANDS LÄN</t>
        </is>
      </c>
      <c r="E641" t="inlineStr">
        <is>
          <t>ÖRNSKÖLDSVIK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48007-2023</t>
        </is>
      </c>
      <c r="B642" s="1" t="n">
        <v>45204</v>
      </c>
      <c r="C642" s="1" t="n">
        <v>46137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29163-2024</t>
        </is>
      </c>
      <c r="B643" s="1" t="n">
        <v>45482</v>
      </c>
      <c r="C643" s="1" t="n">
        <v>46137</v>
      </c>
      <c r="D643" t="inlineStr">
        <is>
          <t>VÄSTERNORRLANDS LÄN</t>
        </is>
      </c>
      <c r="E643" t="inlineStr">
        <is>
          <t>ÖRNSKÖLDSVIK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50888-2023</t>
        </is>
      </c>
      <c r="B644" s="1" t="n">
        <v>45218.39269675926</v>
      </c>
      <c r="C644" s="1" t="n">
        <v>46137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35248-2022</t>
        </is>
      </c>
      <c r="B645" s="1" t="n">
        <v>44798.33049768519</v>
      </c>
      <c r="C645" s="1" t="n">
        <v>46137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342-2024</t>
        </is>
      </c>
      <c r="B646" s="1" t="n">
        <v>45295</v>
      </c>
      <c r="C646" s="1" t="n">
        <v>46137</v>
      </c>
      <c r="D646" t="inlineStr">
        <is>
          <t>VÄSTERNORRLANDS LÄN</t>
        </is>
      </c>
      <c r="E646" t="inlineStr">
        <is>
          <t>ÖRNSKÖLDSVIK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52396-2024</t>
        </is>
      </c>
      <c r="B647" s="1" t="n">
        <v>45609.4396875</v>
      </c>
      <c r="C647" s="1" t="n">
        <v>46137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62484-2023</t>
        </is>
      </c>
      <c r="B648" s="1" t="n">
        <v>45268.57909722222</v>
      </c>
      <c r="C648" s="1" t="n">
        <v>46137</v>
      </c>
      <c r="D648" t="inlineStr">
        <is>
          <t>VÄSTERNORRLANDS LÄN</t>
        </is>
      </c>
      <c r="E648" t="inlineStr">
        <is>
          <t>ÖRNSKÖLDSVIK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37873-2024</t>
        </is>
      </c>
      <c r="B649" s="1" t="n">
        <v>45544</v>
      </c>
      <c r="C649" s="1" t="n">
        <v>46137</v>
      </c>
      <c r="D649" t="inlineStr">
        <is>
          <t>VÄSTERNORRLANDS LÄN</t>
        </is>
      </c>
      <c r="E649" t="inlineStr">
        <is>
          <t>ÖRNSKÖLDSVIK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1002-2024</t>
        </is>
      </c>
      <c r="B650" s="1" t="n">
        <v>45301</v>
      </c>
      <c r="C650" s="1" t="n">
        <v>46137</v>
      </c>
      <c r="D650" t="inlineStr">
        <is>
          <t>VÄSTERNORRLANDS LÄN</t>
        </is>
      </c>
      <c r="E650" t="inlineStr">
        <is>
          <t>ÖRNSKÖLDSVIK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34846-2023</t>
        </is>
      </c>
      <c r="B651" s="1" t="n">
        <v>45141.9597337963</v>
      </c>
      <c r="C651" s="1" t="n">
        <v>46137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53112-2024</t>
        </is>
      </c>
      <c r="B652" s="1" t="n">
        <v>45611.5637037037</v>
      </c>
      <c r="C652" s="1" t="n">
        <v>46137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58775-2022</t>
        </is>
      </c>
      <c r="B653" s="1" t="n">
        <v>44903.38847222222</v>
      </c>
      <c r="C653" s="1" t="n">
        <v>46137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24850-2021</t>
        </is>
      </c>
      <c r="B654" s="1" t="n">
        <v>44340.86310185185</v>
      </c>
      <c r="C654" s="1" t="n">
        <v>46137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10776-2024</t>
        </is>
      </c>
      <c r="B655" s="1" t="n">
        <v>45369</v>
      </c>
      <c r="C655" s="1" t="n">
        <v>46137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18866-2024</t>
        </is>
      </c>
      <c r="B656" s="1" t="n">
        <v>45426.92612268519</v>
      </c>
      <c r="C656" s="1" t="n">
        <v>46137</v>
      </c>
      <c r="D656" t="inlineStr">
        <is>
          <t>VÄSTERNORRLANDS LÄN</t>
        </is>
      </c>
      <c r="E656" t="inlineStr">
        <is>
          <t>ÖRNSKÖLDSVIK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12736-2025</t>
        </is>
      </c>
      <c r="B657" s="1" t="n">
        <v>45733.52583333333</v>
      </c>
      <c r="C657" s="1" t="n">
        <v>46137</v>
      </c>
      <c r="D657" t="inlineStr">
        <is>
          <t>VÄSTERNORRLANDS LÄN</t>
        </is>
      </c>
      <c r="E657" t="inlineStr">
        <is>
          <t>ÖRNSKÖLDSVIK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12750-2025</t>
        </is>
      </c>
      <c r="B658" s="1" t="n">
        <v>45733.55538194445</v>
      </c>
      <c r="C658" s="1" t="n">
        <v>46137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34850-2024</t>
        </is>
      </c>
      <c r="B659" s="1" t="n">
        <v>45527</v>
      </c>
      <c r="C659" s="1" t="n">
        <v>46137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37001-2024</t>
        </is>
      </c>
      <c r="B660" s="1" t="n">
        <v>45539.34476851852</v>
      </c>
      <c r="C660" s="1" t="n">
        <v>46137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51668-2024</t>
        </is>
      </c>
      <c r="B661" s="1" t="n">
        <v>45606.84892361111</v>
      </c>
      <c r="C661" s="1" t="n">
        <v>46137</v>
      </c>
      <c r="D661" t="inlineStr">
        <is>
          <t>VÄSTERNORRLANDS LÄN</t>
        </is>
      </c>
      <c r="E661" t="inlineStr">
        <is>
          <t>ÖRNSKÖLDSVIK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8012-2025</t>
        </is>
      </c>
      <c r="B662" s="1" t="n">
        <v>45707.55304398148</v>
      </c>
      <c r="C662" s="1" t="n">
        <v>46137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47704-2024</t>
        </is>
      </c>
      <c r="B663" s="1" t="n">
        <v>45588.46719907408</v>
      </c>
      <c r="C663" s="1" t="n">
        <v>46137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61400-2024</t>
        </is>
      </c>
      <c r="B664" s="1" t="n">
        <v>45646.42946759259</v>
      </c>
      <c r="C664" s="1" t="n">
        <v>46137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56801-2024</t>
        </is>
      </c>
      <c r="B665" s="1" t="n">
        <v>45628</v>
      </c>
      <c r="C665" s="1" t="n">
        <v>46137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53147-2023</t>
        </is>
      </c>
      <c r="B666" s="1" t="n">
        <v>45229</v>
      </c>
      <c r="C666" s="1" t="n">
        <v>46137</v>
      </c>
      <c r="D666" t="inlineStr">
        <is>
          <t>VÄSTERNORRLANDS LÄN</t>
        </is>
      </c>
      <c r="E666" t="inlineStr">
        <is>
          <t>ÖRNSKÖLDSVIK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10970-2023</t>
        </is>
      </c>
      <c r="B667" s="1" t="n">
        <v>44985</v>
      </c>
      <c r="C667" s="1" t="n">
        <v>46137</v>
      </c>
      <c r="D667" t="inlineStr">
        <is>
          <t>VÄSTERNORRLANDS LÄN</t>
        </is>
      </c>
      <c r="E667" t="inlineStr">
        <is>
          <t>ÖRNSKÖLDSVIK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4802-2025</t>
        </is>
      </c>
      <c r="B668" s="1" t="n">
        <v>45688.59328703704</v>
      </c>
      <c r="C668" s="1" t="n">
        <v>46137</v>
      </c>
      <c r="D668" t="inlineStr">
        <is>
          <t>VÄSTERNORRLANDS LÄN</t>
        </is>
      </c>
      <c r="E668" t="inlineStr">
        <is>
          <t>ÖRNSKÖLDSVIK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37947-2023</t>
        </is>
      </c>
      <c r="B669" s="1" t="n">
        <v>45160.55457175926</v>
      </c>
      <c r="C669" s="1" t="n">
        <v>46137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60905-2023</t>
        </is>
      </c>
      <c r="B670" s="1" t="n">
        <v>45261</v>
      </c>
      <c r="C670" s="1" t="n">
        <v>46137</v>
      </c>
      <c r="D670" t="inlineStr">
        <is>
          <t>VÄSTERNORRLANDS LÄN</t>
        </is>
      </c>
      <c r="E670" t="inlineStr">
        <is>
          <t>ÖRNSKÖLDSVIK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56584-2023</t>
        </is>
      </c>
      <c r="B671" s="1" t="n">
        <v>45238</v>
      </c>
      <c r="C671" s="1" t="n">
        <v>46137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35030-2023</t>
        </is>
      </c>
      <c r="B672" s="1" t="n">
        <v>45145.33144675926</v>
      </c>
      <c r="C672" s="1" t="n">
        <v>46137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7903-2025</t>
        </is>
      </c>
      <c r="B673" s="1" t="n">
        <v>45707.32737268518</v>
      </c>
      <c r="C673" s="1" t="n">
        <v>46137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23137-2024</t>
        </is>
      </c>
      <c r="B674" s="1" t="n">
        <v>45450.62260416667</v>
      </c>
      <c r="C674" s="1" t="n">
        <v>46137</v>
      </c>
      <c r="D674" t="inlineStr">
        <is>
          <t>VÄSTERNORRLANDS LÄN</t>
        </is>
      </c>
      <c r="E674" t="inlineStr">
        <is>
          <t>ÖRNSKÖLDSVIK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54688-2024</t>
        </is>
      </c>
      <c r="B675" s="1" t="n">
        <v>45618</v>
      </c>
      <c r="C675" s="1" t="n">
        <v>46137</v>
      </c>
      <c r="D675" t="inlineStr">
        <is>
          <t>VÄSTERNORRLANDS LÄN</t>
        </is>
      </c>
      <c r="E675" t="inlineStr">
        <is>
          <t>ÖRNSKÖLDSVIK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40690-2024</t>
        </is>
      </c>
      <c r="B676" s="1" t="n">
        <v>45558.39309027778</v>
      </c>
      <c r="C676" s="1" t="n">
        <v>46137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8217-2023</t>
        </is>
      </c>
      <c r="B677" s="1" t="n">
        <v>44971</v>
      </c>
      <c r="C677" s="1" t="n">
        <v>46137</v>
      </c>
      <c r="D677" t="inlineStr">
        <is>
          <t>VÄSTERNORRLANDS LÄN</t>
        </is>
      </c>
      <c r="E677" t="inlineStr">
        <is>
          <t>ÖRNSKÖLDSVIK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8227-2023</t>
        </is>
      </c>
      <c r="B678" s="1" t="n">
        <v>44971</v>
      </c>
      <c r="C678" s="1" t="n">
        <v>46137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46519-2023</t>
        </is>
      </c>
      <c r="B679" s="1" t="n">
        <v>45197</v>
      </c>
      <c r="C679" s="1" t="n">
        <v>46137</v>
      </c>
      <c r="D679" t="inlineStr">
        <is>
          <t>VÄSTERNORRLANDS LÄN</t>
        </is>
      </c>
      <c r="E679" t="inlineStr">
        <is>
          <t>ÖRNSKÖLDSVIK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59898-2023</t>
        </is>
      </c>
      <c r="B680" s="1" t="n">
        <v>45257</v>
      </c>
      <c r="C680" s="1" t="n">
        <v>46137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9772-2024</t>
        </is>
      </c>
      <c r="B681" s="1" t="n">
        <v>45362.64107638889</v>
      </c>
      <c r="C681" s="1" t="n">
        <v>46137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48199-2023</t>
        </is>
      </c>
      <c r="B682" s="1" t="n">
        <v>45205.46829861111</v>
      </c>
      <c r="C682" s="1" t="n">
        <v>46137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38634-2025</t>
        </is>
      </c>
      <c r="B683" s="1" t="n">
        <v>45884.56539351852</v>
      </c>
      <c r="C683" s="1" t="n">
        <v>46137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38733-2025</t>
        </is>
      </c>
      <c r="B684" s="1" t="n">
        <v>45887.36501157407</v>
      </c>
      <c r="C684" s="1" t="n">
        <v>46137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20483-2023</t>
        </is>
      </c>
      <c r="B685" s="1" t="n">
        <v>45057</v>
      </c>
      <c r="C685" s="1" t="n">
        <v>46137</v>
      </c>
      <c r="D685" t="inlineStr">
        <is>
          <t>VÄSTERNORRLANDS LÄN</t>
        </is>
      </c>
      <c r="E685" t="inlineStr">
        <is>
          <t>ÖRNSKÖLDSVIK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38552-2025</t>
        </is>
      </c>
      <c r="B686" s="1" t="n">
        <v>45884.43950231482</v>
      </c>
      <c r="C686" s="1" t="n">
        <v>46137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55639-2023</t>
        </is>
      </c>
      <c r="B687" s="1" t="n">
        <v>45238.92765046296</v>
      </c>
      <c r="C687" s="1" t="n">
        <v>46137</v>
      </c>
      <c r="D687" t="inlineStr">
        <is>
          <t>VÄSTERNORRLANDS LÄN</t>
        </is>
      </c>
      <c r="E687" t="inlineStr">
        <is>
          <t>ÖRNSKÖLDSVIK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58170-2021</t>
        </is>
      </c>
      <c r="B688" s="1" t="n">
        <v>44487</v>
      </c>
      <c r="C688" s="1" t="n">
        <v>46137</v>
      </c>
      <c r="D688" t="inlineStr">
        <is>
          <t>VÄSTERNORRLANDS LÄN</t>
        </is>
      </c>
      <c r="E688" t="inlineStr">
        <is>
          <t>ÖRNSKÖLDSVIK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52376-2024</t>
        </is>
      </c>
      <c r="B689" s="1" t="n">
        <v>45609.40081018519</v>
      </c>
      <c r="C689" s="1" t="n">
        <v>46137</v>
      </c>
      <c r="D689" t="inlineStr">
        <is>
          <t>VÄSTERNORRLANDS LÄN</t>
        </is>
      </c>
      <c r="E689" t="inlineStr">
        <is>
          <t>ÖRNSKÖLDSVIK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63689-2023</t>
        </is>
      </c>
      <c r="B690" s="1" t="n">
        <v>45275</v>
      </c>
      <c r="C690" s="1" t="n">
        <v>46137</v>
      </c>
      <c r="D690" t="inlineStr">
        <is>
          <t>VÄSTERNORRLANDS LÄN</t>
        </is>
      </c>
      <c r="E690" t="inlineStr">
        <is>
          <t>ÖRNSKÖLDSVIK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31930-2023</t>
        </is>
      </c>
      <c r="B691" s="1" t="n">
        <v>45118</v>
      </c>
      <c r="C691" s="1" t="n">
        <v>46137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52658-2024</t>
        </is>
      </c>
      <c r="B692" s="1" t="n">
        <v>45610.35798611111</v>
      </c>
      <c r="C692" s="1" t="n">
        <v>46137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34751-2024</t>
        </is>
      </c>
      <c r="B693" s="1" t="n">
        <v>45526</v>
      </c>
      <c r="C693" s="1" t="n">
        <v>46137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56256-2024</t>
        </is>
      </c>
      <c r="B694" s="1" t="n">
        <v>45624.64398148148</v>
      </c>
      <c r="C694" s="1" t="n">
        <v>46137</v>
      </c>
      <c r="D694" t="inlineStr">
        <is>
          <t>VÄSTERNORRLANDS LÄN</t>
        </is>
      </c>
      <c r="E694" t="inlineStr">
        <is>
          <t>ÖRNSKÖLDSVIK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10814-2025</t>
        </is>
      </c>
      <c r="B695" s="1" t="n">
        <v>45722.54180555556</v>
      </c>
      <c r="C695" s="1" t="n">
        <v>46137</v>
      </c>
      <c r="D695" t="inlineStr">
        <is>
          <t>VÄSTERNORRLANDS LÄN</t>
        </is>
      </c>
      <c r="E695" t="inlineStr">
        <is>
          <t>ÖRNSKÖLDSVIK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27047-2025</t>
        </is>
      </c>
      <c r="B696" s="1" t="n">
        <v>45811.61589120371</v>
      </c>
      <c r="C696" s="1" t="n">
        <v>46137</v>
      </c>
      <c r="D696" t="inlineStr">
        <is>
          <t>VÄSTERNORRLANDS LÄN</t>
        </is>
      </c>
      <c r="E696" t="inlineStr">
        <is>
          <t>ÖRNSKÖLDSVIK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7909-2025</t>
        </is>
      </c>
      <c r="B697" s="1" t="n">
        <v>45707</v>
      </c>
      <c r="C697" s="1" t="n">
        <v>46137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26987-2024</t>
        </is>
      </c>
      <c r="B698" s="1" t="n">
        <v>45471</v>
      </c>
      <c r="C698" s="1" t="n">
        <v>46137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7109-2025</t>
        </is>
      </c>
      <c r="B699" s="1" t="n">
        <v>45701</v>
      </c>
      <c r="C699" s="1" t="n">
        <v>46137</v>
      </c>
      <c r="D699" t="inlineStr">
        <is>
          <t>VÄSTERNORRLANDS LÄN</t>
        </is>
      </c>
      <c r="E699" t="inlineStr">
        <is>
          <t>ÖRNSKÖLDSVIK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17639-2025</t>
        </is>
      </c>
      <c r="B700" s="1" t="n">
        <v>45758.3203587963</v>
      </c>
      <c r="C700" s="1" t="n">
        <v>46137</v>
      </c>
      <c r="D700" t="inlineStr">
        <is>
          <t>VÄSTERNORRLANDS LÄN</t>
        </is>
      </c>
      <c r="E700" t="inlineStr">
        <is>
          <t>ÖRNSKÖLDSVIK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10574-2022</t>
        </is>
      </c>
      <c r="B701" s="1" t="n">
        <v>44623</v>
      </c>
      <c r="C701" s="1" t="n">
        <v>46137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26846-2024</t>
        </is>
      </c>
      <c r="B702" s="1" t="n">
        <v>45470.58299768518</v>
      </c>
      <c r="C702" s="1" t="n">
        <v>46137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55640-2023</t>
        </is>
      </c>
      <c r="B703" s="1" t="n">
        <v>45238</v>
      </c>
      <c r="C703" s="1" t="n">
        <v>46137</v>
      </c>
      <c r="D703" t="inlineStr">
        <is>
          <t>VÄSTERNORRLANDS LÄN</t>
        </is>
      </c>
      <c r="E703" t="inlineStr">
        <is>
          <t>ÖRNSKÖLDSVIK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34625-2024</t>
        </is>
      </c>
      <c r="B704" s="1" t="n">
        <v>45526</v>
      </c>
      <c r="C704" s="1" t="n">
        <v>46137</v>
      </c>
      <c r="D704" t="inlineStr">
        <is>
          <t>VÄSTERNORRLANDS LÄN</t>
        </is>
      </c>
      <c r="E704" t="inlineStr">
        <is>
          <t>ÖRNSKÖLDSVIK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55641-2023</t>
        </is>
      </c>
      <c r="B705" s="1" t="n">
        <v>45238.92776620371</v>
      </c>
      <c r="C705" s="1" t="n">
        <v>46137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24144-2024</t>
        </is>
      </c>
      <c r="B706" s="1" t="n">
        <v>45456.64755787037</v>
      </c>
      <c r="C706" s="1" t="n">
        <v>46137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10385-2023</t>
        </is>
      </c>
      <c r="B707" s="1" t="n">
        <v>44987</v>
      </c>
      <c r="C707" s="1" t="n">
        <v>46137</v>
      </c>
      <c r="D707" t="inlineStr">
        <is>
          <t>VÄSTERNORRLANDS LÄN</t>
        </is>
      </c>
      <c r="E707" t="inlineStr">
        <is>
          <t>ÖRNSKÖLDSVIK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10387-2023</t>
        </is>
      </c>
      <c r="B708" s="1" t="n">
        <v>44987</v>
      </c>
      <c r="C708" s="1" t="n">
        <v>46137</v>
      </c>
      <c r="D708" t="inlineStr">
        <is>
          <t>VÄSTERNORRLANDS LÄN</t>
        </is>
      </c>
      <c r="E708" t="inlineStr">
        <is>
          <t>ÖRNSKÖLDSVIK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34648-2024</t>
        </is>
      </c>
      <c r="B709" s="1" t="n">
        <v>45526</v>
      </c>
      <c r="C709" s="1" t="n">
        <v>46137</v>
      </c>
      <c r="D709" t="inlineStr">
        <is>
          <t>VÄSTERNORRLANDS LÄN</t>
        </is>
      </c>
      <c r="E709" t="inlineStr">
        <is>
          <t>ÖRNSKÖLDSVIK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45217-2024</t>
        </is>
      </c>
      <c r="B710" s="1" t="n">
        <v>45575</v>
      </c>
      <c r="C710" s="1" t="n">
        <v>46137</v>
      </c>
      <c r="D710" t="inlineStr">
        <is>
          <t>VÄSTERNORRLANDS LÄN</t>
        </is>
      </c>
      <c r="E710" t="inlineStr">
        <is>
          <t>ÖRNSKÖLDSVIK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932-2025</t>
        </is>
      </c>
      <c r="B711" s="1" t="n">
        <v>45666.04009259259</v>
      </c>
      <c r="C711" s="1" t="n">
        <v>46137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22574-2024</t>
        </is>
      </c>
      <c r="B712" s="1" t="n">
        <v>45447</v>
      </c>
      <c r="C712" s="1" t="n">
        <v>46137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48529-2023</t>
        </is>
      </c>
      <c r="B713" s="1" t="n">
        <v>45208.37266203704</v>
      </c>
      <c r="C713" s="1" t="n">
        <v>46137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19845-2024</t>
        </is>
      </c>
      <c r="B714" s="1" t="n">
        <v>45433.39101851852</v>
      </c>
      <c r="C714" s="1" t="n">
        <v>46137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21124-2024</t>
        </is>
      </c>
      <c r="B715" s="1" t="n">
        <v>45440.33819444444</v>
      </c>
      <c r="C715" s="1" t="n">
        <v>46137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36282-2023</t>
        </is>
      </c>
      <c r="B716" s="1" t="n">
        <v>45149</v>
      </c>
      <c r="C716" s="1" t="n">
        <v>46137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52065-2022</t>
        </is>
      </c>
      <c r="B717" s="1" t="n">
        <v>44873.34980324074</v>
      </c>
      <c r="C717" s="1" t="n">
        <v>46137</v>
      </c>
      <c r="D717" t="inlineStr">
        <is>
          <t>VÄSTERNORRLANDS LÄN</t>
        </is>
      </c>
      <c r="E717" t="inlineStr">
        <is>
          <t>ÖRNSKÖLDSVIK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55655-2024</t>
        </is>
      </c>
      <c r="B718" s="1" t="n">
        <v>45622.63578703703</v>
      </c>
      <c r="C718" s="1" t="n">
        <v>46137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53003-2021</t>
        </is>
      </c>
      <c r="B719" s="1" t="n">
        <v>44467.64587962963</v>
      </c>
      <c r="C719" s="1" t="n">
        <v>46137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38932-2025</t>
        </is>
      </c>
      <c r="B720" s="1" t="n">
        <v>45887.64050925926</v>
      </c>
      <c r="C720" s="1" t="n">
        <v>46137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38934-2025</t>
        </is>
      </c>
      <c r="B721" s="1" t="n">
        <v>45887.64388888889</v>
      </c>
      <c r="C721" s="1" t="n">
        <v>46137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38821-2025</t>
        </is>
      </c>
      <c r="B722" s="1" t="n">
        <v>45887.50471064815</v>
      </c>
      <c r="C722" s="1" t="n">
        <v>46137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38798-2025</t>
        </is>
      </c>
      <c r="B723" s="1" t="n">
        <v>45887.45840277777</v>
      </c>
      <c r="C723" s="1" t="n">
        <v>46137</v>
      </c>
      <c r="D723" t="inlineStr">
        <is>
          <t>VÄSTERNORRLANDS LÄN</t>
        </is>
      </c>
      <c r="E723" t="inlineStr">
        <is>
          <t>ÖRNSKÖLDSVIK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60494-2024</t>
        </is>
      </c>
      <c r="B724" s="1" t="n">
        <v>45643.656875</v>
      </c>
      <c r="C724" s="1" t="n">
        <v>46137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50542-2024</t>
        </is>
      </c>
      <c r="B725" s="1" t="n">
        <v>45601.58065972223</v>
      </c>
      <c r="C725" s="1" t="n">
        <v>46137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45174-2024</t>
        </is>
      </c>
      <c r="B726" s="1" t="n">
        <v>45575</v>
      </c>
      <c r="C726" s="1" t="n">
        <v>46137</v>
      </c>
      <c r="D726" t="inlineStr">
        <is>
          <t>VÄSTERNORRLANDS LÄN</t>
        </is>
      </c>
      <c r="E726" t="inlineStr">
        <is>
          <t>ÖRNSKÖLDSVIK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61343-2024</t>
        </is>
      </c>
      <c r="B727" s="1" t="n">
        <v>45646.37037037037</v>
      </c>
      <c r="C727" s="1" t="n">
        <v>46137</v>
      </c>
      <c r="D727" t="inlineStr">
        <is>
          <t>VÄSTERNORRLANDS LÄN</t>
        </is>
      </c>
      <c r="E727" t="inlineStr">
        <is>
          <t>ÖRNSKÖLDSVIK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18239-2024</t>
        </is>
      </c>
      <c r="B728" s="1" t="n">
        <v>45420.96635416667</v>
      </c>
      <c r="C728" s="1" t="n">
        <v>46137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43127-2024</t>
        </is>
      </c>
      <c r="B729" s="1" t="n">
        <v>45567</v>
      </c>
      <c r="C729" s="1" t="n">
        <v>46137</v>
      </c>
      <c r="D729" t="inlineStr">
        <is>
          <t>VÄSTERNORRLANDS LÄN</t>
        </is>
      </c>
      <c r="E729" t="inlineStr">
        <is>
          <t>ÖRNSKÖLDSVIK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33676-2024</t>
        </is>
      </c>
      <c r="B730" s="1" t="n">
        <v>45520</v>
      </c>
      <c r="C730" s="1" t="n">
        <v>46137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44202-2023</t>
        </is>
      </c>
      <c r="B731" s="1" t="n">
        <v>45188.54469907407</v>
      </c>
      <c r="C731" s="1" t="n">
        <v>46137</v>
      </c>
      <c r="D731" t="inlineStr">
        <is>
          <t>VÄSTERNORRLANDS LÄN</t>
        </is>
      </c>
      <c r="E731" t="inlineStr">
        <is>
          <t>ÖRNSKÖLDSVIK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38681-2025</t>
        </is>
      </c>
      <c r="B732" s="1" t="n">
        <v>45884.64847222222</v>
      </c>
      <c r="C732" s="1" t="n">
        <v>46137</v>
      </c>
      <c r="D732" t="inlineStr">
        <is>
          <t>VÄSTERNORRLANDS LÄN</t>
        </is>
      </c>
      <c r="E732" t="inlineStr">
        <is>
          <t>ÖRNSKÖLDSVIK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37851-2024</t>
        </is>
      </c>
      <c r="B733" s="1" t="n">
        <v>45544.37743055556</v>
      </c>
      <c r="C733" s="1" t="n">
        <v>46137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55251-2024</t>
        </is>
      </c>
      <c r="B734" s="1" t="n">
        <v>45621.59560185186</v>
      </c>
      <c r="C734" s="1" t="n">
        <v>46137</v>
      </c>
      <c r="D734" t="inlineStr">
        <is>
          <t>VÄSTERNORRLANDS LÄN</t>
        </is>
      </c>
      <c r="E734" t="inlineStr">
        <is>
          <t>ÖRNSKÖLDSVIK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426-2024</t>
        </is>
      </c>
      <c r="B735" s="1" t="n">
        <v>45296.53644675926</v>
      </c>
      <c r="C735" s="1" t="n">
        <v>46137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58441-2024</t>
        </is>
      </c>
      <c r="B736" s="1" t="n">
        <v>45635.31184027778</v>
      </c>
      <c r="C736" s="1" t="n">
        <v>46137</v>
      </c>
      <c r="D736" t="inlineStr">
        <is>
          <t>VÄSTERNORRLANDS LÄN</t>
        </is>
      </c>
      <c r="E736" t="inlineStr">
        <is>
          <t>ÖRNSKÖLDSVIK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41187-2023</t>
        </is>
      </c>
      <c r="B737" s="1" t="n">
        <v>45174</v>
      </c>
      <c r="C737" s="1" t="n">
        <v>46137</v>
      </c>
      <c r="D737" t="inlineStr">
        <is>
          <t>VÄSTERNORRLANDS LÄN</t>
        </is>
      </c>
      <c r="E737" t="inlineStr">
        <is>
          <t>ÖRNSKÖLDSVIK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352-2025</t>
        </is>
      </c>
      <c r="B738" s="1" t="n">
        <v>45659</v>
      </c>
      <c r="C738" s="1" t="n">
        <v>46137</v>
      </c>
      <c r="D738" t="inlineStr">
        <is>
          <t>VÄSTERNORRLANDS LÄN</t>
        </is>
      </c>
      <c r="E738" t="inlineStr">
        <is>
          <t>ÖRNSKÖLDSVIK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60600-2024</t>
        </is>
      </c>
      <c r="B739" s="1" t="n">
        <v>45644.37100694444</v>
      </c>
      <c r="C739" s="1" t="n">
        <v>46137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51854-2024</t>
        </is>
      </c>
      <c r="B740" s="1" t="n">
        <v>45607.54087962963</v>
      </c>
      <c r="C740" s="1" t="n">
        <v>46137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55670-2024</t>
        </is>
      </c>
      <c r="B741" s="1" t="n">
        <v>45622.64991898148</v>
      </c>
      <c r="C741" s="1" t="n">
        <v>46137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47477-2024</t>
        </is>
      </c>
      <c r="B742" s="1" t="n">
        <v>45587.57752314815</v>
      </c>
      <c r="C742" s="1" t="n">
        <v>46137</v>
      </c>
      <c r="D742" t="inlineStr">
        <is>
          <t>VÄSTERNORRLANDS LÄN</t>
        </is>
      </c>
      <c r="E742" t="inlineStr">
        <is>
          <t>ÖRNSKÖLDSVIK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11486-2025</t>
        </is>
      </c>
      <c r="B743" s="1" t="n">
        <v>45726.6990162037</v>
      </c>
      <c r="C743" s="1" t="n">
        <v>46137</v>
      </c>
      <c r="D743" t="inlineStr">
        <is>
          <t>VÄSTERNORRLANDS LÄN</t>
        </is>
      </c>
      <c r="E743" t="inlineStr">
        <is>
          <t>ÖRNSKÖLDSVIK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62257-2022</t>
        </is>
      </c>
      <c r="B744" s="1" t="n">
        <v>44922.94297453704</v>
      </c>
      <c r="C744" s="1" t="n">
        <v>46137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19991-2024</t>
        </is>
      </c>
      <c r="B745" s="1" t="n">
        <v>45433</v>
      </c>
      <c r="C745" s="1" t="n">
        <v>46137</v>
      </c>
      <c r="D745" t="inlineStr">
        <is>
          <t>VÄSTERNORRLANDS LÄN</t>
        </is>
      </c>
      <c r="E745" t="inlineStr">
        <is>
          <t>ÖRNSKÖLDSVIK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45362-2023</t>
        </is>
      </c>
      <c r="B746" s="1" t="n">
        <v>45192</v>
      </c>
      <c r="C746" s="1" t="n">
        <v>46137</v>
      </c>
      <c r="D746" t="inlineStr">
        <is>
          <t>VÄSTERNORRLANDS LÄN</t>
        </is>
      </c>
      <c r="E746" t="inlineStr">
        <is>
          <t>ÖRNSKÖLDSVIK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46971-2024</t>
        </is>
      </c>
      <c r="B747" s="1" t="n">
        <v>45586.3387037037</v>
      </c>
      <c r="C747" s="1" t="n">
        <v>46137</v>
      </c>
      <c r="D747" t="inlineStr">
        <is>
          <t>VÄSTERNORRLANDS LÄN</t>
        </is>
      </c>
      <c r="E747" t="inlineStr">
        <is>
          <t>ÖRNSKÖLDSVIK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47523-2023</t>
        </is>
      </c>
      <c r="B748" s="1" t="n">
        <v>45197</v>
      </c>
      <c r="C748" s="1" t="n">
        <v>46137</v>
      </c>
      <c r="D748" t="inlineStr">
        <is>
          <t>VÄSTERNORRLANDS LÄN</t>
        </is>
      </c>
      <c r="E748" t="inlineStr">
        <is>
          <t>ÖRNSKÖLDSVIK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53687-2024</t>
        </is>
      </c>
      <c r="B749" s="1" t="n">
        <v>45615.36915509259</v>
      </c>
      <c r="C749" s="1" t="n">
        <v>46137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34365-2024</t>
        </is>
      </c>
      <c r="B750" s="1" t="n">
        <v>45525</v>
      </c>
      <c r="C750" s="1" t="n">
        <v>46137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30492-2023</t>
        </is>
      </c>
      <c r="B751" s="1" t="n">
        <v>45111</v>
      </c>
      <c r="C751" s="1" t="n">
        <v>46137</v>
      </c>
      <c r="D751" t="inlineStr">
        <is>
          <t>VÄSTERNORRLANDS LÄN</t>
        </is>
      </c>
      <c r="E751" t="inlineStr">
        <is>
          <t>ÖRNSKÖLDSVIK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54791-2024</t>
        </is>
      </c>
      <c r="B752" s="1" t="n">
        <v>45618.49863425926</v>
      </c>
      <c r="C752" s="1" t="n">
        <v>46137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14589-2025</t>
        </is>
      </c>
      <c r="B753" s="1" t="n">
        <v>45741</v>
      </c>
      <c r="C753" s="1" t="n">
        <v>46137</v>
      </c>
      <c r="D753" t="inlineStr">
        <is>
          <t>VÄSTERNORRLANDS LÄN</t>
        </is>
      </c>
      <c r="E753" t="inlineStr">
        <is>
          <t>ÖRNSKÖLDSVIK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15268-2025</t>
        </is>
      </c>
      <c r="B754" s="1" t="n">
        <v>45744.66462962963</v>
      </c>
      <c r="C754" s="1" t="n">
        <v>46137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264-2025</t>
        </is>
      </c>
      <c r="B755" s="1" t="n">
        <v>45660.4575</v>
      </c>
      <c r="C755" s="1" t="n">
        <v>46137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38501-2025</t>
        </is>
      </c>
      <c r="B756" s="1" t="n">
        <v>45884.3789699074</v>
      </c>
      <c r="C756" s="1" t="n">
        <v>46137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60115-2024</t>
        </is>
      </c>
      <c r="B757" s="1" t="n">
        <v>45642.57917824074</v>
      </c>
      <c r="C757" s="1" t="n">
        <v>46137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46992-2024</t>
        </is>
      </c>
      <c r="B758" s="1" t="n">
        <v>45586.36938657407</v>
      </c>
      <c r="C758" s="1" t="n">
        <v>46137</v>
      </c>
      <c r="D758" t="inlineStr">
        <is>
          <t>VÄSTERNORRLANDS LÄN</t>
        </is>
      </c>
      <c r="E758" t="inlineStr">
        <is>
          <t>ÖRNSKÖLDSVIK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50796-2024</t>
        </is>
      </c>
      <c r="B759" s="1" t="n">
        <v>45602.48866898148</v>
      </c>
      <c r="C759" s="1" t="n">
        <v>46137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15692-2022</t>
        </is>
      </c>
      <c r="B760" s="1" t="n">
        <v>44663</v>
      </c>
      <c r="C760" s="1" t="n">
        <v>46137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38900-2025</t>
        </is>
      </c>
      <c r="B761" s="1" t="n">
        <v>45884</v>
      </c>
      <c r="C761" s="1" t="n">
        <v>46137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55937-2022</t>
        </is>
      </c>
      <c r="B762" s="1" t="n">
        <v>44889.37806712963</v>
      </c>
      <c r="C762" s="1" t="n">
        <v>46137</v>
      </c>
      <c r="D762" t="inlineStr">
        <is>
          <t>VÄSTERNORRLANDS LÄN</t>
        </is>
      </c>
      <c r="E762" t="inlineStr">
        <is>
          <t>ÖRNSKÖLDSVIK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49379-2023</t>
        </is>
      </c>
      <c r="B763" s="1" t="n">
        <v>45211.37773148148</v>
      </c>
      <c r="C763" s="1" t="n">
        <v>46137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39423-2025</t>
        </is>
      </c>
      <c r="B764" s="1" t="n">
        <v>45889.67226851852</v>
      </c>
      <c r="C764" s="1" t="n">
        <v>46137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57320-2022</t>
        </is>
      </c>
      <c r="B765" s="1" t="n">
        <v>44896.32923611111</v>
      </c>
      <c r="C765" s="1" t="n">
        <v>46137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10809-2025</t>
        </is>
      </c>
      <c r="B766" s="1" t="n">
        <v>45722</v>
      </c>
      <c r="C766" s="1" t="n">
        <v>46137</v>
      </c>
      <c r="D766" t="inlineStr">
        <is>
          <t>VÄSTERNORRLANDS LÄN</t>
        </is>
      </c>
      <c r="E766" t="inlineStr">
        <is>
          <t>ÖRNSKÖLDSVIK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32107-2025</t>
        </is>
      </c>
      <c r="B767" s="1" t="n">
        <v>45835.47376157407</v>
      </c>
      <c r="C767" s="1" t="n">
        <v>46137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39200-2025</t>
        </is>
      </c>
      <c r="B768" s="1" t="n">
        <v>45888.70689814815</v>
      </c>
      <c r="C768" s="1" t="n">
        <v>46137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3173-2024</t>
        </is>
      </c>
      <c r="B769" s="1" t="n">
        <v>45316</v>
      </c>
      <c r="C769" s="1" t="n">
        <v>46137</v>
      </c>
      <c r="D769" t="inlineStr">
        <is>
          <t>VÄSTERNORRLANDS LÄN</t>
        </is>
      </c>
      <c r="E769" t="inlineStr">
        <is>
          <t>ÖRNSKÖLDSVIK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1268-2025</t>
        </is>
      </c>
      <c r="B770" s="1" t="n">
        <v>45667</v>
      </c>
      <c r="C770" s="1" t="n">
        <v>46137</v>
      </c>
      <c r="D770" t="inlineStr">
        <is>
          <t>VÄSTERNORRLANDS LÄN</t>
        </is>
      </c>
      <c r="E770" t="inlineStr">
        <is>
          <t>ÖRNSKÖLDSVIK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52626-2024</t>
        </is>
      </c>
      <c r="B771" s="1" t="n">
        <v>45609.90972222222</v>
      </c>
      <c r="C771" s="1" t="n">
        <v>46137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49374-2023</t>
        </is>
      </c>
      <c r="B772" s="1" t="n">
        <v>45211.36520833334</v>
      </c>
      <c r="C772" s="1" t="n">
        <v>46137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58060-2022</t>
        </is>
      </c>
      <c r="B773" s="1" t="n">
        <v>44893</v>
      </c>
      <c r="C773" s="1" t="n">
        <v>46137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35000-2025</t>
        </is>
      </c>
      <c r="B774" s="1" t="n">
        <v>45850.41473379629</v>
      </c>
      <c r="C774" s="1" t="n">
        <v>46137</v>
      </c>
      <c r="D774" t="inlineStr">
        <is>
          <t>VÄSTERNORRLANDS LÄN</t>
        </is>
      </c>
      <c r="E774" t="inlineStr">
        <is>
          <t>ÖRNSKÖLDSVIK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35001-2025</t>
        </is>
      </c>
      <c r="B775" s="1" t="n">
        <v>45850.43112268519</v>
      </c>
      <c r="C775" s="1" t="n">
        <v>46137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39214-2025</t>
        </is>
      </c>
      <c r="B776" s="1" t="n">
        <v>45888.79541666667</v>
      </c>
      <c r="C776" s="1" t="n">
        <v>46137</v>
      </c>
      <c r="D776" t="inlineStr">
        <is>
          <t>VÄSTERNORRLANDS LÄN</t>
        </is>
      </c>
      <c r="E776" t="inlineStr">
        <is>
          <t>ÖRNSKÖLDSVIK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1148-2024</t>
        </is>
      </c>
      <c r="B777" s="1" t="n">
        <v>45302</v>
      </c>
      <c r="C777" s="1" t="n">
        <v>46137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54174-2021</t>
        </is>
      </c>
      <c r="B778" s="1" t="n">
        <v>44470.5666087963</v>
      </c>
      <c r="C778" s="1" t="n">
        <v>46137</v>
      </c>
      <c r="D778" t="inlineStr">
        <is>
          <t>VÄSTERNORRLANDS LÄN</t>
        </is>
      </c>
      <c r="E778" t="inlineStr">
        <is>
          <t>ÖRNSKÖLDSVIK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69820-2021</t>
        </is>
      </c>
      <c r="B779" s="1" t="n">
        <v>44532</v>
      </c>
      <c r="C779" s="1" t="n">
        <v>46137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22532-2023</t>
        </is>
      </c>
      <c r="B780" s="1" t="n">
        <v>45069</v>
      </c>
      <c r="C780" s="1" t="n">
        <v>46137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9896-2024</t>
        </is>
      </c>
      <c r="B781" s="1" t="n">
        <v>45363.51038194444</v>
      </c>
      <c r="C781" s="1" t="n">
        <v>46137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10482-2025</t>
        </is>
      </c>
      <c r="B782" s="1" t="n">
        <v>45721.33079861111</v>
      </c>
      <c r="C782" s="1" t="n">
        <v>46137</v>
      </c>
      <c r="D782" t="inlineStr">
        <is>
          <t>VÄSTERNORRLANDS LÄN</t>
        </is>
      </c>
      <c r="E782" t="inlineStr">
        <is>
          <t>ÖRNSKÖLDSVIK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39296-2025</t>
        </is>
      </c>
      <c r="B783" s="1" t="n">
        <v>45888</v>
      </c>
      <c r="C783" s="1" t="n">
        <v>46137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12693-2025</t>
        </is>
      </c>
      <c r="B784" s="1" t="n">
        <v>45733.45829861111</v>
      </c>
      <c r="C784" s="1" t="n">
        <v>46137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20540-2022</t>
        </is>
      </c>
      <c r="B785" s="1" t="n">
        <v>44700</v>
      </c>
      <c r="C785" s="1" t="n">
        <v>46137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39199-2025</t>
        </is>
      </c>
      <c r="B786" s="1" t="n">
        <v>45888</v>
      </c>
      <c r="C786" s="1" t="n">
        <v>46137</v>
      </c>
      <c r="D786" t="inlineStr">
        <is>
          <t>VÄSTERNORRLANDS LÄN</t>
        </is>
      </c>
      <c r="E786" t="inlineStr">
        <is>
          <t>ÖRNSKÖLDSVIK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56128-2023</t>
        </is>
      </c>
      <c r="B787" s="1" t="n">
        <v>45240</v>
      </c>
      <c r="C787" s="1" t="n">
        <v>46137</v>
      </c>
      <c r="D787" t="inlineStr">
        <is>
          <t>VÄSTERNORRLANDS LÄN</t>
        </is>
      </c>
      <c r="E787" t="inlineStr">
        <is>
          <t>ÖRNSKÖLDSVIK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39236-2025</t>
        </is>
      </c>
      <c r="B788" s="1" t="n">
        <v>45888</v>
      </c>
      <c r="C788" s="1" t="n">
        <v>46137</v>
      </c>
      <c r="D788" t="inlineStr">
        <is>
          <t>VÄSTERNORRLANDS LÄN</t>
        </is>
      </c>
      <c r="E788" t="inlineStr">
        <is>
          <t>ÖRNSKÖLDSVIK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34746-2024</t>
        </is>
      </c>
      <c r="B789" s="1" t="n">
        <v>45526</v>
      </c>
      <c r="C789" s="1" t="n">
        <v>46137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59287-2024</t>
        </is>
      </c>
      <c r="B790" s="1" t="n">
        <v>45637</v>
      </c>
      <c r="C790" s="1" t="n">
        <v>46137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11984-2022</t>
        </is>
      </c>
      <c r="B791" s="1" t="n">
        <v>44635.68171296296</v>
      </c>
      <c r="C791" s="1" t="n">
        <v>46137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26268-2024</t>
        </is>
      </c>
      <c r="B792" s="1" t="n">
        <v>45468</v>
      </c>
      <c r="C792" s="1" t="n">
        <v>46137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50367-2023</t>
        </is>
      </c>
      <c r="B793" s="1" t="n">
        <v>45216.60682870371</v>
      </c>
      <c r="C793" s="1" t="n">
        <v>46137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2234-2025</t>
        </is>
      </c>
      <c r="B794" s="1" t="n">
        <v>45673.47938657407</v>
      </c>
      <c r="C794" s="1" t="n">
        <v>46137</v>
      </c>
      <c r="D794" t="inlineStr">
        <is>
          <t>VÄSTERNORRLANDS LÄN</t>
        </is>
      </c>
      <c r="E794" t="inlineStr">
        <is>
          <t>ÖRNSKÖLDSVIK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10499-2024</t>
        </is>
      </c>
      <c r="B795" s="1" t="n">
        <v>45366</v>
      </c>
      <c r="C795" s="1" t="n">
        <v>46137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21445-2025</t>
        </is>
      </c>
      <c r="B796" s="1" t="n">
        <v>45782.54559027778</v>
      </c>
      <c r="C796" s="1" t="n">
        <v>46137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43242-2023</t>
        </is>
      </c>
      <c r="B797" s="1" t="n">
        <v>45183</v>
      </c>
      <c r="C797" s="1" t="n">
        <v>46137</v>
      </c>
      <c r="D797" t="inlineStr">
        <is>
          <t>VÄSTERNORRLANDS LÄN</t>
        </is>
      </c>
      <c r="E797" t="inlineStr">
        <is>
          <t>ÖRNSKÖLDSVIK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39203-2025</t>
        </is>
      </c>
      <c r="B798" s="1" t="n">
        <v>45888</v>
      </c>
      <c r="C798" s="1" t="n">
        <v>46137</v>
      </c>
      <c r="D798" t="inlineStr">
        <is>
          <t>VÄSTERNORRLANDS LÄN</t>
        </is>
      </c>
      <c r="E798" t="inlineStr">
        <is>
          <t>ÖRNSKÖLDSVIK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53705-2024</t>
        </is>
      </c>
      <c r="B799" s="1" t="n">
        <v>45615.40802083333</v>
      </c>
      <c r="C799" s="1" t="n">
        <v>46137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51760-2024</t>
        </is>
      </c>
      <c r="B800" s="1" t="n">
        <v>45607.43979166666</v>
      </c>
      <c r="C800" s="1" t="n">
        <v>46137</v>
      </c>
      <c r="D800" t="inlineStr">
        <is>
          <t>VÄSTERNORRLANDS LÄN</t>
        </is>
      </c>
      <c r="E800" t="inlineStr">
        <is>
          <t>ÖRNSKÖLDSVIK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5439-2025</t>
        </is>
      </c>
      <c r="B801" s="1" t="n">
        <v>45692</v>
      </c>
      <c r="C801" s="1" t="n">
        <v>46137</v>
      </c>
      <c r="D801" t="inlineStr">
        <is>
          <t>VÄSTERNORRLANDS LÄN</t>
        </is>
      </c>
      <c r="E801" t="inlineStr">
        <is>
          <t>ÖRNSKÖLDSVIK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39078-2025</t>
        </is>
      </c>
      <c r="B802" s="1" t="n">
        <v>45888.47908564815</v>
      </c>
      <c r="C802" s="1" t="n">
        <v>46137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11051-2023</t>
        </is>
      </c>
      <c r="B803" s="1" t="n">
        <v>44991</v>
      </c>
      <c r="C803" s="1" t="n">
        <v>46137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33242-2023</t>
        </is>
      </c>
      <c r="B804" s="1" t="n">
        <v>45114</v>
      </c>
      <c r="C804" s="1" t="n">
        <v>46137</v>
      </c>
      <c r="D804" t="inlineStr">
        <is>
          <t>VÄSTERNORRLANDS LÄN</t>
        </is>
      </c>
      <c r="E804" t="inlineStr">
        <is>
          <t>ÖRNSKÖLDSVIK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44165-2023</t>
        </is>
      </c>
      <c r="B805" s="1" t="n">
        <v>45188</v>
      </c>
      <c r="C805" s="1" t="n">
        <v>46137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39354-2025</t>
        </is>
      </c>
      <c r="B806" s="1" t="n">
        <v>45889.55075231481</v>
      </c>
      <c r="C806" s="1" t="n">
        <v>46137</v>
      </c>
      <c r="D806" t="inlineStr">
        <is>
          <t>VÄSTERNORRLANDS LÄN</t>
        </is>
      </c>
      <c r="E806" t="inlineStr">
        <is>
          <t>ÖRNSKÖLDSVIK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57120-2024</t>
        </is>
      </c>
      <c r="B807" s="1" t="n">
        <v>45629.3662962963</v>
      </c>
      <c r="C807" s="1" t="n">
        <v>46137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38981-2025</t>
        </is>
      </c>
      <c r="B808" s="1" t="n">
        <v>45888.279375</v>
      </c>
      <c r="C808" s="1" t="n">
        <v>46137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38985-2025</t>
        </is>
      </c>
      <c r="B809" s="1" t="n">
        <v>45888.30136574074</v>
      </c>
      <c r="C809" s="1" t="n">
        <v>46137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38995-2025</t>
        </is>
      </c>
      <c r="B810" s="1" t="n">
        <v>45888.33302083334</v>
      </c>
      <c r="C810" s="1" t="n">
        <v>46137</v>
      </c>
      <c r="D810" t="inlineStr">
        <is>
          <t>VÄSTERNORRLANDS LÄN</t>
        </is>
      </c>
      <c r="E810" t="inlineStr">
        <is>
          <t>ÖRNSKÖLDSVIK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38982-2025</t>
        </is>
      </c>
      <c r="B811" s="1" t="n">
        <v>45888.29449074074</v>
      </c>
      <c r="C811" s="1" t="n">
        <v>46137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38983-2025</t>
        </is>
      </c>
      <c r="B812" s="1" t="n">
        <v>45888.29809027778</v>
      </c>
      <c r="C812" s="1" t="n">
        <v>46137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39050-2025</t>
        </is>
      </c>
      <c r="B813" s="1" t="n">
        <v>45888.44716435186</v>
      </c>
      <c r="C813" s="1" t="n">
        <v>46137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37720-2024</t>
        </is>
      </c>
      <c r="B814" s="1" t="n">
        <v>45541.645</v>
      </c>
      <c r="C814" s="1" t="n">
        <v>46137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35451-2022</t>
        </is>
      </c>
      <c r="B815" s="1" t="n">
        <v>44798</v>
      </c>
      <c r="C815" s="1" t="n">
        <v>46137</v>
      </c>
      <c r="D815" t="inlineStr">
        <is>
          <t>VÄSTERNORRLANDS LÄN</t>
        </is>
      </c>
      <c r="E815" t="inlineStr">
        <is>
          <t>ÖRNSKÖLDSVIK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11156-2025</t>
        </is>
      </c>
      <c r="B816" s="1" t="n">
        <v>45723.72005787037</v>
      </c>
      <c r="C816" s="1" t="n">
        <v>46137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37579-2023</t>
        </is>
      </c>
      <c r="B817" s="1" t="n">
        <v>45159.38819444444</v>
      </c>
      <c r="C817" s="1" t="n">
        <v>46137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37636-2023</t>
        </is>
      </c>
      <c r="B818" s="1" t="n">
        <v>45159.4687037037</v>
      </c>
      <c r="C818" s="1" t="n">
        <v>46137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18203-2023</t>
        </is>
      </c>
      <c r="B819" s="1" t="n">
        <v>45041.37564814815</v>
      </c>
      <c r="C819" s="1" t="n">
        <v>46137</v>
      </c>
      <c r="D819" t="inlineStr">
        <is>
          <t>VÄSTERNORRLANDS LÄN</t>
        </is>
      </c>
      <c r="E819" t="inlineStr">
        <is>
          <t>ÖRNSKÖLDSVIK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59531-2023</t>
        </is>
      </c>
      <c r="B820" s="1" t="n">
        <v>45253</v>
      </c>
      <c r="C820" s="1" t="n">
        <v>46137</v>
      </c>
      <c r="D820" t="inlineStr">
        <is>
          <t>VÄSTERNORRLANDS LÄN</t>
        </is>
      </c>
      <c r="E820" t="inlineStr">
        <is>
          <t>ÖRNSKÖLDSVIK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13733-2023</t>
        </is>
      </c>
      <c r="B821" s="1" t="n">
        <v>45006</v>
      </c>
      <c r="C821" s="1" t="n">
        <v>46137</v>
      </c>
      <c r="D821" t="inlineStr">
        <is>
          <t>VÄSTERNORRLANDS LÄN</t>
        </is>
      </c>
      <c r="E821" t="inlineStr">
        <is>
          <t>ÖRNSKÖLDSVIK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43628-2024</t>
        </is>
      </c>
      <c r="B822" s="1" t="n">
        <v>45569.49033564814</v>
      </c>
      <c r="C822" s="1" t="n">
        <v>46137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19336-2025</t>
        </is>
      </c>
      <c r="B823" s="1" t="n">
        <v>45769.58902777778</v>
      </c>
      <c r="C823" s="1" t="n">
        <v>46137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39608-2025</t>
        </is>
      </c>
      <c r="B824" s="1" t="n">
        <v>45890</v>
      </c>
      <c r="C824" s="1" t="n">
        <v>46137</v>
      </c>
      <c r="D824" t="inlineStr">
        <is>
          <t>VÄSTERNORRLANDS LÄN</t>
        </is>
      </c>
      <c r="E824" t="inlineStr">
        <is>
          <t>ÖRNSKÖLDSVIK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39922-2025</t>
        </is>
      </c>
      <c r="B825" s="1" t="n">
        <v>45891.66886574074</v>
      </c>
      <c r="C825" s="1" t="n">
        <v>46137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37930-2024</t>
        </is>
      </c>
      <c r="B826" s="1" t="n">
        <v>45544</v>
      </c>
      <c r="C826" s="1" t="n">
        <v>46137</v>
      </c>
      <c r="D826" t="inlineStr">
        <is>
          <t>VÄSTERNORRLANDS LÄN</t>
        </is>
      </c>
      <c r="E826" t="inlineStr">
        <is>
          <t>ÖRNSKÖLDSVIK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59041-2024</t>
        </is>
      </c>
      <c r="B827" s="1" t="n">
        <v>45636.71923611111</v>
      </c>
      <c r="C827" s="1" t="n">
        <v>46137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46137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46114-2024</t>
        </is>
      </c>
      <c r="B829" s="1" t="n">
        <v>45581</v>
      </c>
      <c r="C829" s="1" t="n">
        <v>46137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16558-2022</t>
        </is>
      </c>
      <c r="B830" s="1" t="n">
        <v>44672</v>
      </c>
      <c r="C830" s="1" t="n">
        <v>46137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6383-2024</t>
        </is>
      </c>
      <c r="B831" s="1" t="n">
        <v>45338</v>
      </c>
      <c r="C831" s="1" t="n">
        <v>46137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60628-2021</t>
        </is>
      </c>
      <c r="B832" s="1" t="n">
        <v>44495</v>
      </c>
      <c r="C832" s="1" t="n">
        <v>46137</v>
      </c>
      <c r="D832" t="inlineStr">
        <is>
          <t>VÄSTERNORRLANDS LÄN</t>
        </is>
      </c>
      <c r="E832" t="inlineStr">
        <is>
          <t>ÖRNSKÖLDSVIK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49076-2023</t>
        </is>
      </c>
      <c r="B833" s="1" t="n">
        <v>45210</v>
      </c>
      <c r="C833" s="1" t="n">
        <v>46137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59495-2023</t>
        </is>
      </c>
      <c r="B834" s="1" t="n">
        <v>45253</v>
      </c>
      <c r="C834" s="1" t="n">
        <v>46137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59581-2023</t>
        </is>
      </c>
      <c r="B835" s="1" t="n">
        <v>45254.60465277778</v>
      </c>
      <c r="C835" s="1" t="n">
        <v>46137</v>
      </c>
      <c r="D835" t="inlineStr">
        <is>
          <t>VÄSTERNORRLANDS LÄN</t>
        </is>
      </c>
      <c r="E835" t="inlineStr">
        <is>
          <t>ÖRNSKÖLDSVIK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4050-2022</t>
        </is>
      </c>
      <c r="B836" s="1" t="n">
        <v>44588</v>
      </c>
      <c r="C836" s="1" t="n">
        <v>46137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41619-2024</t>
        </is>
      </c>
      <c r="B837" s="1" t="n">
        <v>45560.59983796296</v>
      </c>
      <c r="C837" s="1" t="n">
        <v>46137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39633-2025</t>
        </is>
      </c>
      <c r="B838" s="1" t="n">
        <v>45890.59037037037</v>
      </c>
      <c r="C838" s="1" t="n">
        <v>46137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39525-2025</t>
        </is>
      </c>
      <c r="B839" s="1" t="n">
        <v>45890.44021990741</v>
      </c>
      <c r="C839" s="1" t="n">
        <v>46137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30100-2025</t>
        </is>
      </c>
      <c r="B840" s="1" t="n">
        <v>45826.67935185185</v>
      </c>
      <c r="C840" s="1" t="n">
        <v>46137</v>
      </c>
      <c r="D840" t="inlineStr">
        <is>
          <t>VÄSTERNORRLANDS LÄN</t>
        </is>
      </c>
      <c r="E840" t="inlineStr">
        <is>
          <t>ÖRNSKÖLDSVIK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39918-2025</t>
        </is>
      </c>
      <c r="B841" s="1" t="n">
        <v>45891.66212962963</v>
      </c>
      <c r="C841" s="1" t="n">
        <v>46137</v>
      </c>
      <c r="D841" t="inlineStr">
        <is>
          <t>VÄSTERNORRLANDS LÄN</t>
        </is>
      </c>
      <c r="E841" t="inlineStr">
        <is>
          <t>ÖRNSKÖLDSVIK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39470-2025</t>
        </is>
      </c>
      <c r="B842" s="1" t="n">
        <v>45890.33575231482</v>
      </c>
      <c r="C842" s="1" t="n">
        <v>46137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51972-2023</t>
        </is>
      </c>
      <c r="B843" s="1" t="n">
        <v>45216</v>
      </c>
      <c r="C843" s="1" t="n">
        <v>46137</v>
      </c>
      <c r="D843" t="inlineStr">
        <is>
          <t>VÄSTERNORRLANDS LÄN</t>
        </is>
      </c>
      <c r="E843" t="inlineStr">
        <is>
          <t>ÖRNSKÖLDSVIK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48439-2023</t>
        </is>
      </c>
      <c r="B844" s="1" t="n">
        <v>45205</v>
      </c>
      <c r="C844" s="1" t="n">
        <v>46137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14318-2023</t>
        </is>
      </c>
      <c r="B845" s="1" t="n">
        <v>45011.94162037037</v>
      </c>
      <c r="C845" s="1" t="n">
        <v>46137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40424-2025</t>
        </is>
      </c>
      <c r="B846" s="1" t="n">
        <v>45895.58743055556</v>
      </c>
      <c r="C846" s="1" t="n">
        <v>46137</v>
      </c>
      <c r="D846" t="inlineStr">
        <is>
          <t>VÄSTERNORRLANDS LÄN</t>
        </is>
      </c>
      <c r="E846" t="inlineStr">
        <is>
          <t>ÖRNSKÖLDSVIK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40446-2025</t>
        </is>
      </c>
      <c r="B847" s="1" t="n">
        <v>45895.63388888889</v>
      </c>
      <c r="C847" s="1" t="n">
        <v>46137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38037-2024</t>
        </is>
      </c>
      <c r="B848" s="1" t="n">
        <v>45544</v>
      </c>
      <c r="C848" s="1" t="n">
        <v>46137</v>
      </c>
      <c r="D848" t="inlineStr">
        <is>
          <t>VÄSTERNORRLANDS LÄN</t>
        </is>
      </c>
      <c r="E848" t="inlineStr">
        <is>
          <t>ÖRNSKÖLDSVIK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43664-2023</t>
        </is>
      </c>
      <c r="B849" s="1" t="n">
        <v>45187.36067129629</v>
      </c>
      <c r="C849" s="1" t="n">
        <v>46137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28730-2023</t>
        </is>
      </c>
      <c r="B850" s="1" t="n">
        <v>45103</v>
      </c>
      <c r="C850" s="1" t="n">
        <v>46137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25189-2024</t>
        </is>
      </c>
      <c r="B851" s="1" t="n">
        <v>45462.56429398148</v>
      </c>
      <c r="C851" s="1" t="n">
        <v>46137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54798-2024</t>
        </is>
      </c>
      <c r="B852" s="1" t="n">
        <v>45618.50070601852</v>
      </c>
      <c r="C852" s="1" t="n">
        <v>46137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36487-2024</t>
        </is>
      </c>
      <c r="B853" s="1" t="n">
        <v>45537.3865625</v>
      </c>
      <c r="C853" s="1" t="n">
        <v>46137</v>
      </c>
      <c r="D853" t="inlineStr">
        <is>
          <t>VÄSTERNORRLANDS LÄN</t>
        </is>
      </c>
      <c r="E853" t="inlineStr">
        <is>
          <t>ÖRNSKÖLDSVIK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44727-2023</t>
        </is>
      </c>
      <c r="B854" s="1" t="n">
        <v>45190</v>
      </c>
      <c r="C854" s="1" t="n">
        <v>46137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40037-2025</t>
        </is>
      </c>
      <c r="B855" s="1" t="n">
        <v>45894.39153935185</v>
      </c>
      <c r="C855" s="1" t="n">
        <v>46137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46481-2023</t>
        </is>
      </c>
      <c r="B856" s="1" t="n">
        <v>45194</v>
      </c>
      <c r="C856" s="1" t="n">
        <v>46137</v>
      </c>
      <c r="D856" t="inlineStr">
        <is>
          <t>VÄSTERNORRLANDS LÄN</t>
        </is>
      </c>
      <c r="E856" t="inlineStr">
        <is>
          <t>ÖRNSKÖLDSVIK</t>
        </is>
      </c>
      <c r="G856" t="n">
        <v>18.8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20530-2025</t>
        </is>
      </c>
      <c r="B857" s="1" t="n">
        <v>45775.61104166666</v>
      </c>
      <c r="C857" s="1" t="n">
        <v>46137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40478-2025</t>
        </is>
      </c>
      <c r="B858" s="1" t="n">
        <v>45895.71155092592</v>
      </c>
      <c r="C858" s="1" t="n">
        <v>46137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40259-2025</t>
        </is>
      </c>
      <c r="B859" s="1" t="n">
        <v>45895.33097222223</v>
      </c>
      <c r="C859" s="1" t="n">
        <v>46137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40867-2023</t>
        </is>
      </c>
      <c r="B860" s="1" t="n">
        <v>45173.35430555556</v>
      </c>
      <c r="C860" s="1" t="n">
        <v>46137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47871-2024</t>
        </is>
      </c>
      <c r="B861" s="1" t="n">
        <v>45588</v>
      </c>
      <c r="C861" s="1" t="n">
        <v>46137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4794-2024</t>
        </is>
      </c>
      <c r="B862" s="1" t="n">
        <v>45328.82377314815</v>
      </c>
      <c r="C862" s="1" t="n">
        <v>46137</v>
      </c>
      <c r="D862" t="inlineStr">
        <is>
          <t>VÄSTERNORRLANDS LÄN</t>
        </is>
      </c>
      <c r="E862" t="inlineStr">
        <is>
          <t>ÖRNSKÖLDSVIK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40205-2025</t>
        </is>
      </c>
      <c r="B863" s="1" t="n">
        <v>45894.67706018518</v>
      </c>
      <c r="C863" s="1" t="n">
        <v>46137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40270-2025</t>
        </is>
      </c>
      <c r="B864" s="1" t="n">
        <v>45895.34553240741</v>
      </c>
      <c r="C864" s="1" t="n">
        <v>46137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20333-2025</t>
        </is>
      </c>
      <c r="B865" s="1" t="n">
        <v>45775.3646875</v>
      </c>
      <c r="C865" s="1" t="n">
        <v>46137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20326-2025</t>
        </is>
      </c>
      <c r="B866" s="1" t="n">
        <v>45775.35231481482</v>
      </c>
      <c r="C866" s="1" t="n">
        <v>46137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39566-2024</t>
        </is>
      </c>
      <c r="B867" s="1" t="n">
        <v>45552.3540625</v>
      </c>
      <c r="C867" s="1" t="n">
        <v>46137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40447-2025</t>
        </is>
      </c>
      <c r="B868" s="1" t="n">
        <v>45895.63408564815</v>
      </c>
      <c r="C868" s="1" t="n">
        <v>46137</v>
      </c>
      <c r="D868" t="inlineStr">
        <is>
          <t>VÄSTERNORRLANDS LÄN</t>
        </is>
      </c>
      <c r="E868" t="inlineStr">
        <is>
          <t>ÖRNSKÖLDSVIK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40121-2025</t>
        </is>
      </c>
      <c r="B869" s="1" t="n">
        <v>45894.52737268519</v>
      </c>
      <c r="C869" s="1" t="n">
        <v>46137</v>
      </c>
      <c r="D869" t="inlineStr">
        <is>
          <t>VÄSTERNORRLANDS LÄN</t>
        </is>
      </c>
      <c r="E869" t="inlineStr">
        <is>
          <t>ÖRNSKÖLDSVIK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40252-2025</t>
        </is>
      </c>
      <c r="B870" s="1" t="n">
        <v>45895.32119212963</v>
      </c>
      <c r="C870" s="1" t="n">
        <v>46137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51303-2024</t>
        </is>
      </c>
      <c r="B871" s="1" t="n">
        <v>45604.30552083333</v>
      </c>
      <c r="C871" s="1" t="n">
        <v>46137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4540-2025</t>
        </is>
      </c>
      <c r="B872" s="1" t="n">
        <v>45687.39223379629</v>
      </c>
      <c r="C872" s="1" t="n">
        <v>46137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54982-2022</t>
        </is>
      </c>
      <c r="B873" s="1" t="n">
        <v>44886</v>
      </c>
      <c r="C873" s="1" t="n">
        <v>46137</v>
      </c>
      <c r="D873" t="inlineStr">
        <is>
          <t>VÄSTERNORRLANDS LÄN</t>
        </is>
      </c>
      <c r="E873" t="inlineStr">
        <is>
          <t>ÖRNSKÖLDSVIK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12823-2023</t>
        </is>
      </c>
      <c r="B874" s="1" t="n">
        <v>45000</v>
      </c>
      <c r="C874" s="1" t="n">
        <v>46137</v>
      </c>
      <c r="D874" t="inlineStr">
        <is>
          <t>VÄSTERNORRLANDS LÄN</t>
        </is>
      </c>
      <c r="E874" t="inlineStr">
        <is>
          <t>ÖRNSKÖLDSVIK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40825-2025</t>
        </is>
      </c>
      <c r="B875" s="1" t="n">
        <v>45897.49809027778</v>
      </c>
      <c r="C875" s="1" t="n">
        <v>46137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19876-2025</t>
        </is>
      </c>
      <c r="B876" s="1" t="n">
        <v>45771.55269675926</v>
      </c>
      <c r="C876" s="1" t="n">
        <v>46137</v>
      </c>
      <c r="D876" t="inlineStr">
        <is>
          <t>VÄSTERNORRLANDS LÄN</t>
        </is>
      </c>
      <c r="E876" t="inlineStr">
        <is>
          <t>ÖRNSKÖLDSVIK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22075-2024</t>
        </is>
      </c>
      <c r="B877" s="1" t="n">
        <v>45443.63814814815</v>
      </c>
      <c r="C877" s="1" t="n">
        <v>46137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3382-2025</t>
        </is>
      </c>
      <c r="B878" s="1" t="n">
        <v>45680.34305555555</v>
      </c>
      <c r="C878" s="1" t="n">
        <v>46137</v>
      </c>
      <c r="D878" t="inlineStr">
        <is>
          <t>VÄSTERNORRLANDS LÄN</t>
        </is>
      </c>
      <c r="E878" t="inlineStr">
        <is>
          <t>ÖRNSKÖLDSVIK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40945-2025</t>
        </is>
      </c>
      <c r="B879" s="1" t="n">
        <v>45897.65819444445</v>
      </c>
      <c r="C879" s="1" t="n">
        <v>46137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23100-2023</t>
        </is>
      </c>
      <c r="B880" s="1" t="n">
        <v>45075</v>
      </c>
      <c r="C880" s="1" t="n">
        <v>46137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40697-2025</t>
        </is>
      </c>
      <c r="B881" s="1" t="n">
        <v>45897.30769675926</v>
      </c>
      <c r="C881" s="1" t="n">
        <v>46137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9853-2025</t>
        </is>
      </c>
      <c r="B882" s="1" t="n">
        <v>45716</v>
      </c>
      <c r="C882" s="1" t="n">
        <v>46137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55868-2024</t>
        </is>
      </c>
      <c r="B883" s="1" t="n">
        <v>45623.55108796297</v>
      </c>
      <c r="C883" s="1" t="n">
        <v>46137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4563-2025</t>
        </is>
      </c>
      <c r="B884" s="1" t="n">
        <v>45687.46021990741</v>
      </c>
      <c r="C884" s="1" t="n">
        <v>46137</v>
      </c>
      <c r="D884" t="inlineStr">
        <is>
          <t>VÄSTERNORRLANDS LÄN</t>
        </is>
      </c>
      <c r="E884" t="inlineStr">
        <is>
          <t>ÖRNSKÖLDSVIK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51754-2021</t>
        </is>
      </c>
      <c r="B885" s="1" t="n">
        <v>44462</v>
      </c>
      <c r="C885" s="1" t="n">
        <v>46137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44316-2024</t>
        </is>
      </c>
      <c r="B886" s="1" t="n">
        <v>45573.58326388889</v>
      </c>
      <c r="C886" s="1" t="n">
        <v>46137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63069-2023</t>
        </is>
      </c>
      <c r="B887" s="1" t="n">
        <v>45272.97162037037</v>
      </c>
      <c r="C887" s="1" t="n">
        <v>46137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Övriga Aktiebolag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56775-2024</t>
        </is>
      </c>
      <c r="B888" s="1" t="n">
        <v>45628.43646990741</v>
      </c>
      <c r="C888" s="1" t="n">
        <v>46137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14300-2025</t>
        </is>
      </c>
      <c r="B889" s="1" t="n">
        <v>45740.68648148148</v>
      </c>
      <c r="C889" s="1" t="n">
        <v>46137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1559-2024</t>
        </is>
      </c>
      <c r="B890" s="1" t="n">
        <v>45306</v>
      </c>
      <c r="C890" s="1" t="n">
        <v>46137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40896-2025</t>
        </is>
      </c>
      <c r="B891" s="1" t="n">
        <v>45897.61412037037</v>
      </c>
      <c r="C891" s="1" t="n">
        <v>46137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17739-2022</t>
        </is>
      </c>
      <c r="B892" s="1" t="n">
        <v>44680</v>
      </c>
      <c r="C892" s="1" t="n">
        <v>46137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40516-2025</t>
        </is>
      </c>
      <c r="B893" s="1" t="n">
        <v>45896.36337962963</v>
      </c>
      <c r="C893" s="1" t="n">
        <v>46137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56787-2024</t>
        </is>
      </c>
      <c r="B894" s="1" t="n">
        <v>45628.45431712963</v>
      </c>
      <c r="C894" s="1" t="n">
        <v>46137</v>
      </c>
      <c r="D894" t="inlineStr">
        <is>
          <t>VÄSTERNORRLANDS LÄN</t>
        </is>
      </c>
      <c r="E894" t="inlineStr">
        <is>
          <t>ÖRNSKÖLDSVIK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47449-2022</t>
        </is>
      </c>
      <c r="B895" s="1" t="n">
        <v>44852</v>
      </c>
      <c r="C895" s="1" t="n">
        <v>46137</v>
      </c>
      <c r="D895" t="inlineStr">
        <is>
          <t>VÄSTERNORRLANDS LÄN</t>
        </is>
      </c>
      <c r="E895" t="inlineStr">
        <is>
          <t>ÖRNSKÖLDSVIK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40652-2025</t>
        </is>
      </c>
      <c r="B896" s="1" t="n">
        <v>45896.6360300926</v>
      </c>
      <c r="C896" s="1" t="n">
        <v>46137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38566-2023</t>
        </is>
      </c>
      <c r="B897" s="1" t="n">
        <v>45162.61341435185</v>
      </c>
      <c r="C897" s="1" t="n">
        <v>46137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40819-2025</t>
        </is>
      </c>
      <c r="B898" s="1" t="n">
        <v>45897.48915509259</v>
      </c>
      <c r="C898" s="1" t="n">
        <v>46137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41489-2025</t>
        </is>
      </c>
      <c r="B899" s="1" t="n">
        <v>45901.48653935185</v>
      </c>
      <c r="C899" s="1" t="n">
        <v>46137</v>
      </c>
      <c r="D899" t="inlineStr">
        <is>
          <t>VÄSTERNORRLANDS LÄN</t>
        </is>
      </c>
      <c r="E899" t="inlineStr">
        <is>
          <t>ÖRNSKÖLDSVIK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48239-2023</t>
        </is>
      </c>
      <c r="B900" s="1" t="n">
        <v>45205.50068287037</v>
      </c>
      <c r="C900" s="1" t="n">
        <v>46137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21418-2025</t>
        </is>
      </c>
      <c r="B901" s="1" t="n">
        <v>45692</v>
      </c>
      <c r="C901" s="1" t="n">
        <v>46137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5103-2024</t>
        </is>
      </c>
      <c r="B902" s="1" t="n">
        <v>45330</v>
      </c>
      <c r="C902" s="1" t="n">
        <v>46137</v>
      </c>
      <c r="D902" t="inlineStr">
        <is>
          <t>VÄSTERNORRLANDS LÄN</t>
        </is>
      </c>
      <c r="E902" t="inlineStr">
        <is>
          <t>ÖRNSKÖLDSVIK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57309-2023</t>
        </is>
      </c>
      <c r="B903" s="1" t="n">
        <v>45240</v>
      </c>
      <c r="C903" s="1" t="n">
        <v>46137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15646-2025</t>
        </is>
      </c>
      <c r="B904" s="1" t="n">
        <v>45748</v>
      </c>
      <c r="C904" s="1" t="n">
        <v>46137</v>
      </c>
      <c r="D904" t="inlineStr">
        <is>
          <t>VÄSTERNORRLANDS LÄN</t>
        </is>
      </c>
      <c r="E904" t="inlineStr">
        <is>
          <t>ÖRNSKÖLDSVIK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26429-2023</t>
        </is>
      </c>
      <c r="B905" s="1" t="n">
        <v>45089</v>
      </c>
      <c r="C905" s="1" t="n">
        <v>46137</v>
      </c>
      <c r="D905" t="inlineStr">
        <is>
          <t>VÄSTERNORRLANDS LÄN</t>
        </is>
      </c>
      <c r="E905" t="inlineStr">
        <is>
          <t>ÖRNSKÖLDSVIK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31188-2023</t>
        </is>
      </c>
      <c r="B906" s="1" t="n">
        <v>45113.94945601852</v>
      </c>
      <c r="C906" s="1" t="n">
        <v>46137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32549-2023</t>
        </is>
      </c>
      <c r="B907" s="1" t="n">
        <v>45111</v>
      </c>
      <c r="C907" s="1" t="n">
        <v>46137</v>
      </c>
      <c r="D907" t="inlineStr">
        <is>
          <t>VÄSTERNORRLANDS LÄN</t>
        </is>
      </c>
      <c r="E907" t="inlineStr">
        <is>
          <t>ÖRNSKÖLDSVIK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3942-2022</t>
        </is>
      </c>
      <c r="B908" s="1" t="n">
        <v>44587</v>
      </c>
      <c r="C908" s="1" t="n">
        <v>46137</v>
      </c>
      <c r="D908" t="inlineStr">
        <is>
          <t>VÄSTERNORRLANDS LÄN</t>
        </is>
      </c>
      <c r="E908" t="inlineStr">
        <is>
          <t>ÖRNSKÖLDSVIK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3329-2022</t>
        </is>
      </c>
      <c r="B909" s="1" t="n">
        <v>44585</v>
      </c>
      <c r="C909" s="1" t="n">
        <v>46137</v>
      </c>
      <c r="D909" t="inlineStr">
        <is>
          <t>VÄSTERNORRLANDS LÄN</t>
        </is>
      </c>
      <c r="E909" t="inlineStr">
        <is>
          <t>ÖRNSKÖLDSVIK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9379-2025</t>
        </is>
      </c>
      <c r="B910" s="1" t="n">
        <v>45715.34306712963</v>
      </c>
      <c r="C910" s="1" t="n">
        <v>46137</v>
      </c>
      <c r="D910" t="inlineStr">
        <is>
          <t>VÄSTERNORRLANDS LÄN</t>
        </is>
      </c>
      <c r="E910" t="inlineStr">
        <is>
          <t>ÖRNSKÖLDSVIK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33901-2023</t>
        </is>
      </c>
      <c r="B911" s="1" t="n">
        <v>45122</v>
      </c>
      <c r="C911" s="1" t="n">
        <v>46137</v>
      </c>
      <c r="D911" t="inlineStr">
        <is>
          <t>VÄSTERNORRLANDS LÄN</t>
        </is>
      </c>
      <c r="E911" t="inlineStr">
        <is>
          <t>ÖRNSKÖLDSVIK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48218-2023</t>
        </is>
      </c>
      <c r="B912" s="1" t="n">
        <v>45205.48504629629</v>
      </c>
      <c r="C912" s="1" t="n">
        <v>46137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21265-2024</t>
        </is>
      </c>
      <c r="B913" s="1" t="n">
        <v>45440.63270833333</v>
      </c>
      <c r="C913" s="1" t="n">
        <v>46137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22493-2024</t>
        </is>
      </c>
      <c r="B914" s="1" t="n">
        <v>45447.33980324074</v>
      </c>
      <c r="C914" s="1" t="n">
        <v>46137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41128-2025</t>
        </is>
      </c>
      <c r="B915" s="1" t="n">
        <v>45898.47915509259</v>
      </c>
      <c r="C915" s="1" t="n">
        <v>46137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5595-2023</t>
        </is>
      </c>
      <c r="B916" s="1" t="n">
        <v>44960</v>
      </c>
      <c r="C916" s="1" t="n">
        <v>46137</v>
      </c>
      <c r="D916" t="inlineStr">
        <is>
          <t>VÄSTERNORRLANDS LÄN</t>
        </is>
      </c>
      <c r="E916" t="inlineStr">
        <is>
          <t>ÖRNSKÖLDSVIK</t>
        </is>
      </c>
      <c r="G916" t="n">
        <v>22.8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23551-2024</t>
        </is>
      </c>
      <c r="B917" s="1" t="n">
        <v>45453.95381944445</v>
      </c>
      <c r="C917" s="1" t="n">
        <v>46137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15339-2025</t>
        </is>
      </c>
      <c r="B918" s="1" t="n">
        <v>45747.36695601852</v>
      </c>
      <c r="C918" s="1" t="n">
        <v>46137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41564-2025</t>
        </is>
      </c>
      <c r="B919" s="1" t="n">
        <v>45901.60050925926</v>
      </c>
      <c r="C919" s="1" t="n">
        <v>46137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25543-2024</t>
        </is>
      </c>
      <c r="B920" s="1" t="n">
        <v>45463.56653935185</v>
      </c>
      <c r="C920" s="1" t="n">
        <v>46137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41522-2025</t>
        </is>
      </c>
      <c r="B921" s="1" t="n">
        <v>45901.55219907407</v>
      </c>
      <c r="C921" s="1" t="n">
        <v>46137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20475-2022</t>
        </is>
      </c>
      <c r="B922" s="1" t="n">
        <v>44699</v>
      </c>
      <c r="C922" s="1" t="n">
        <v>46137</v>
      </c>
      <c r="D922" t="inlineStr">
        <is>
          <t>VÄSTERNORRLANDS LÄN</t>
        </is>
      </c>
      <c r="E922" t="inlineStr">
        <is>
          <t>ÖRNSKÖLDSVIK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61098-2024</t>
        </is>
      </c>
      <c r="B923" s="1" t="n">
        <v>45645.54953703703</v>
      </c>
      <c r="C923" s="1" t="n">
        <v>46137</v>
      </c>
      <c r="D923" t="inlineStr">
        <is>
          <t>VÄSTERNORRLANDS LÄN</t>
        </is>
      </c>
      <c r="E923" t="inlineStr">
        <is>
          <t>ÖRNSKÖLDSVIK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61122-2024</t>
        </is>
      </c>
      <c r="B924" s="1" t="n">
        <v>45645.57083333333</v>
      </c>
      <c r="C924" s="1" t="n">
        <v>46137</v>
      </c>
      <c r="D924" t="inlineStr">
        <is>
          <t>VÄSTERNORRLANDS LÄN</t>
        </is>
      </c>
      <c r="E924" t="inlineStr">
        <is>
          <t>ÖRNSKÖLDSVIK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57498-2022</t>
        </is>
      </c>
      <c r="B925" s="1" t="n">
        <v>44896.6365162037</v>
      </c>
      <c r="C925" s="1" t="n">
        <v>46137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41067-2025</t>
        </is>
      </c>
      <c r="B926" s="1" t="n">
        <v>45898.41422453704</v>
      </c>
      <c r="C926" s="1" t="n">
        <v>46137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13785-2025</t>
        </is>
      </c>
      <c r="B927" s="1" t="n">
        <v>45737.45123842593</v>
      </c>
      <c r="C927" s="1" t="n">
        <v>46137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59706-2024</t>
        </is>
      </c>
      <c r="B928" s="1" t="n">
        <v>45639.44376157408</v>
      </c>
      <c r="C928" s="1" t="n">
        <v>46137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3515-2025</t>
        </is>
      </c>
      <c r="B929" s="1" t="n">
        <v>45680</v>
      </c>
      <c r="C929" s="1" t="n">
        <v>46137</v>
      </c>
      <c r="D929" t="inlineStr">
        <is>
          <t>VÄSTERNORRLANDS LÄN</t>
        </is>
      </c>
      <c r="E929" t="inlineStr">
        <is>
          <t>ÖRNSKÖLDSVIK</t>
        </is>
      </c>
      <c r="G929" t="n">
        <v>14.1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34020-2023</t>
        </is>
      </c>
      <c r="B930" s="1" t="n">
        <v>45135.35714120371</v>
      </c>
      <c r="C930" s="1" t="n">
        <v>46137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27801-2022</t>
        </is>
      </c>
      <c r="B931" s="1" t="n">
        <v>44743.57354166666</v>
      </c>
      <c r="C931" s="1" t="n">
        <v>46137</v>
      </c>
      <c r="D931" t="inlineStr">
        <is>
          <t>VÄSTERNORRLANDS LÄN</t>
        </is>
      </c>
      <c r="E931" t="inlineStr">
        <is>
          <t>ÖRNSKÖLDSVIK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61228-2022</t>
        </is>
      </c>
      <c r="B932" s="1" t="n">
        <v>44909</v>
      </c>
      <c r="C932" s="1" t="n">
        <v>46137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40990-2025</t>
        </is>
      </c>
      <c r="B933" s="1" t="n">
        <v>45898.32158564815</v>
      </c>
      <c r="C933" s="1" t="n">
        <v>46137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41005-2025</t>
        </is>
      </c>
      <c r="B934" s="1" t="n">
        <v>45898.34857638889</v>
      </c>
      <c r="C934" s="1" t="n">
        <v>46137</v>
      </c>
      <c r="D934" t="inlineStr">
        <is>
          <t>VÄSTERNORRLANDS LÄN</t>
        </is>
      </c>
      <c r="E934" t="inlineStr">
        <is>
          <t>ÖRNSKÖLDSVIK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41453-2025</t>
        </is>
      </c>
      <c r="B935" s="1" t="n">
        <v>45901.43798611111</v>
      </c>
      <c r="C935" s="1" t="n">
        <v>46137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28226-2025</t>
        </is>
      </c>
      <c r="B936" s="1" t="n">
        <v>45818</v>
      </c>
      <c r="C936" s="1" t="n">
        <v>46137</v>
      </c>
      <c r="D936" t="inlineStr">
        <is>
          <t>VÄSTERNORRLANDS LÄN</t>
        </is>
      </c>
      <c r="E936" t="inlineStr">
        <is>
          <t>ÖRNSKÖLDSVIK</t>
        </is>
      </c>
      <c r="G936" t="n">
        <v>30.6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1790-2025</t>
        </is>
      </c>
      <c r="B937" s="1" t="n">
        <v>45670</v>
      </c>
      <c r="C937" s="1" t="n">
        <v>46137</v>
      </c>
      <c r="D937" t="inlineStr">
        <is>
          <t>VÄSTERNORRLANDS LÄN</t>
        </is>
      </c>
      <c r="E937" t="inlineStr">
        <is>
          <t>ÖRNSKÖLDSVIK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62472-2021</t>
        </is>
      </c>
      <c r="B938" s="1" t="n">
        <v>44503.5502662037</v>
      </c>
      <c r="C938" s="1" t="n">
        <v>46137</v>
      </c>
      <c r="D938" t="inlineStr">
        <is>
          <t>VÄSTERNORRLANDS LÄN</t>
        </is>
      </c>
      <c r="E938" t="inlineStr">
        <is>
          <t>ÖRNSKÖLDSVIK</t>
        </is>
      </c>
      <c r="G938" t="n">
        <v>13.6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17357-2022</t>
        </is>
      </c>
      <c r="B939" s="1" t="n">
        <v>44678</v>
      </c>
      <c r="C939" s="1" t="n">
        <v>46137</v>
      </c>
      <c r="D939" t="inlineStr">
        <is>
          <t>VÄSTERNORRLANDS LÄN</t>
        </is>
      </c>
      <c r="E939" t="inlineStr">
        <is>
          <t>ÖRNSKÖLDSVIK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831-2024</t>
        </is>
      </c>
      <c r="B940" s="1" t="n">
        <v>45301</v>
      </c>
      <c r="C940" s="1" t="n">
        <v>46137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34947-2025</t>
        </is>
      </c>
      <c r="B941" s="1" t="n">
        <v>45849.59126157407</v>
      </c>
      <c r="C941" s="1" t="n">
        <v>46137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41433-2025</t>
        </is>
      </c>
      <c r="B942" s="1" t="n">
        <v>45901.39608796296</v>
      </c>
      <c r="C942" s="1" t="n">
        <v>46137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41437-2025</t>
        </is>
      </c>
      <c r="B943" s="1" t="n">
        <v>45901.40284722222</v>
      </c>
      <c r="C943" s="1" t="n">
        <v>46137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59594-2024</t>
        </is>
      </c>
      <c r="B944" s="1" t="n">
        <v>45638.69611111111</v>
      </c>
      <c r="C944" s="1" t="n">
        <v>46137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45773-2024</t>
        </is>
      </c>
      <c r="B945" s="1" t="n">
        <v>45579.65280092593</v>
      </c>
      <c r="C945" s="1" t="n">
        <v>46137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42764-2023</t>
        </is>
      </c>
      <c r="B946" s="1" t="n">
        <v>45181.71112268518</v>
      </c>
      <c r="C946" s="1" t="n">
        <v>46137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2111-2025</t>
        </is>
      </c>
      <c r="B947" s="1" t="n">
        <v>45672</v>
      </c>
      <c r="C947" s="1" t="n">
        <v>46137</v>
      </c>
      <c r="D947" t="inlineStr">
        <is>
          <t>VÄSTERNORRLANDS LÄN</t>
        </is>
      </c>
      <c r="E947" t="inlineStr">
        <is>
          <t>ÖRNSKÖLDSVIK</t>
        </is>
      </c>
      <c r="G947" t="n">
        <v>13.7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38291-2024</t>
        </is>
      </c>
      <c r="B948" s="1" t="n">
        <v>45545.61715277778</v>
      </c>
      <c r="C948" s="1" t="n">
        <v>46137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38329-2024</t>
        </is>
      </c>
      <c r="B949" s="1" t="n">
        <v>45545.68050925926</v>
      </c>
      <c r="C949" s="1" t="n">
        <v>46137</v>
      </c>
      <c r="D949" t="inlineStr">
        <is>
          <t>VÄSTERNORRLANDS LÄN</t>
        </is>
      </c>
      <c r="E949" t="inlineStr">
        <is>
          <t>ÖRNSKÖLDSVIK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34577-2024</t>
        </is>
      </c>
      <c r="B950" s="1" t="n">
        <v>45526.36336805556</v>
      </c>
      <c r="C950" s="1" t="n">
        <v>46137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34603-2024</t>
        </is>
      </c>
      <c r="B951" s="1" t="n">
        <v>45526.40513888889</v>
      </c>
      <c r="C951" s="1" t="n">
        <v>46137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16300-2025</t>
        </is>
      </c>
      <c r="B952" s="1" t="n">
        <v>45751.34586805556</v>
      </c>
      <c r="C952" s="1" t="n">
        <v>46137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41545-2025</t>
        </is>
      </c>
      <c r="B953" s="1" t="n">
        <v>45901.57559027777</v>
      </c>
      <c r="C953" s="1" t="n">
        <v>46137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12682-2024</t>
        </is>
      </c>
      <c r="B954" s="1" t="n">
        <v>45384</v>
      </c>
      <c r="C954" s="1" t="n">
        <v>46137</v>
      </c>
      <c r="D954" t="inlineStr">
        <is>
          <t>VÄSTERNORRLANDS LÄN</t>
        </is>
      </c>
      <c r="E954" t="inlineStr">
        <is>
          <t>ÖRNSKÖLDSVIK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29092-2024</t>
        </is>
      </c>
      <c r="B955" s="1" t="n">
        <v>45481.93005787037</v>
      </c>
      <c r="C955" s="1" t="n">
        <v>46137</v>
      </c>
      <c r="D955" t="inlineStr">
        <is>
          <t>VÄSTERNORRLANDS LÄN</t>
        </is>
      </c>
      <c r="E955" t="inlineStr">
        <is>
          <t>ÖRNSKÖLDSVIK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41103-2025</t>
        </is>
      </c>
      <c r="B956" s="1" t="n">
        <v>45898.45410879629</v>
      </c>
      <c r="C956" s="1" t="n">
        <v>46137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29055-2025</t>
        </is>
      </c>
      <c r="B957" s="1" t="n">
        <v>45821.47163194444</v>
      </c>
      <c r="C957" s="1" t="n">
        <v>46137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41095-2025</t>
        </is>
      </c>
      <c r="B958" s="1" t="n">
        <v>45898.44342592593</v>
      </c>
      <c r="C958" s="1" t="n">
        <v>46137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41455-2025</t>
        </is>
      </c>
      <c r="B959" s="1" t="n">
        <v>45901.44116898148</v>
      </c>
      <c r="C959" s="1" t="n">
        <v>46137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36044-2024</t>
        </is>
      </c>
      <c r="B960" s="1" t="n">
        <v>45533.60923611111</v>
      </c>
      <c r="C960" s="1" t="n">
        <v>46137</v>
      </c>
      <c r="D960" t="inlineStr">
        <is>
          <t>VÄSTERNORRLANDS LÄN</t>
        </is>
      </c>
      <c r="E960" t="inlineStr">
        <is>
          <t>ÖRNSKÖLDSVIK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47598-2023</t>
        </is>
      </c>
      <c r="B961" s="1" t="n">
        <v>45197</v>
      </c>
      <c r="C961" s="1" t="n">
        <v>46137</v>
      </c>
      <c r="D961" t="inlineStr">
        <is>
          <t>VÄSTERNORRLANDS LÄN</t>
        </is>
      </c>
      <c r="E961" t="inlineStr">
        <is>
          <t>ÖRNSKÖLDSVIK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41586-2025</t>
        </is>
      </c>
      <c r="B962" s="1" t="n">
        <v>45901</v>
      </c>
      <c r="C962" s="1" t="n">
        <v>46137</v>
      </c>
      <c r="D962" t="inlineStr">
        <is>
          <t>VÄSTERNORRLANDS LÄN</t>
        </is>
      </c>
      <c r="E962" t="inlineStr">
        <is>
          <t>ÖRNSKÖLDSVIK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17099-2023</t>
        </is>
      </c>
      <c r="B963" s="1" t="n">
        <v>45034</v>
      </c>
      <c r="C963" s="1" t="n">
        <v>46137</v>
      </c>
      <c r="D963" t="inlineStr">
        <is>
          <t>VÄSTERNORRLANDS LÄN</t>
        </is>
      </c>
      <c r="E963" t="inlineStr">
        <is>
          <t>ÖRNSKÖLDSVIK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41143-2025</t>
        </is>
      </c>
      <c r="B964" s="1" t="n">
        <v>45898.49334490741</v>
      </c>
      <c r="C964" s="1" t="n">
        <v>46137</v>
      </c>
      <c r="D964" t="inlineStr">
        <is>
          <t>VÄSTERNORRLANDS LÄN</t>
        </is>
      </c>
      <c r="E964" t="inlineStr">
        <is>
          <t>ÖRNSKÖLDSVIK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38334-2024</t>
        </is>
      </c>
      <c r="B965" s="1" t="n">
        <v>45545.68283564815</v>
      </c>
      <c r="C965" s="1" t="n">
        <v>46137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28868-2023</t>
        </is>
      </c>
      <c r="B966" s="1" t="n">
        <v>45104.46202546296</v>
      </c>
      <c r="C966" s="1" t="n">
        <v>46137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41075-2025</t>
        </is>
      </c>
      <c r="B967" s="1" t="n">
        <v>45898.42525462963</v>
      </c>
      <c r="C967" s="1" t="n">
        <v>46137</v>
      </c>
      <c r="D967" t="inlineStr">
        <is>
          <t>VÄSTERNORRLANDS LÄN</t>
        </is>
      </c>
      <c r="E967" t="inlineStr">
        <is>
          <t>ÖRNSKÖLDSVIK</t>
        </is>
      </c>
      <c r="G967" t="n">
        <v>19.4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20222-2024</t>
        </is>
      </c>
      <c r="B968" s="1" t="n">
        <v>45434</v>
      </c>
      <c r="C968" s="1" t="n">
        <v>46137</v>
      </c>
      <c r="D968" t="inlineStr">
        <is>
          <t>VÄSTERNORRLANDS LÄN</t>
        </is>
      </c>
      <c r="E968" t="inlineStr">
        <is>
          <t>ÖRNSKÖLDSVIK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26761-2024</t>
        </is>
      </c>
      <c r="B969" s="1" t="n">
        <v>45470</v>
      </c>
      <c r="C969" s="1" t="n">
        <v>46137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26765-2024</t>
        </is>
      </c>
      <c r="B970" s="1" t="n">
        <v>45470</v>
      </c>
      <c r="C970" s="1" t="n">
        <v>46137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47480-2024</t>
        </is>
      </c>
      <c r="B971" s="1" t="n">
        <v>45587.58016203704</v>
      </c>
      <c r="C971" s="1" t="n">
        <v>46137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49860-2024</t>
        </is>
      </c>
      <c r="B972" s="1" t="n">
        <v>45597.47138888889</v>
      </c>
      <c r="C972" s="1" t="n">
        <v>46137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60511-2021</t>
        </is>
      </c>
      <c r="B973" s="1" t="n">
        <v>44495</v>
      </c>
      <c r="C973" s="1" t="n">
        <v>46137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21133-2024</t>
        </is>
      </c>
      <c r="B974" s="1" t="n">
        <v>45440.37265046296</v>
      </c>
      <c r="C974" s="1" t="n">
        <v>46137</v>
      </c>
      <c r="D974" t="inlineStr">
        <is>
          <t>VÄSTERNORRLANDS LÄN</t>
        </is>
      </c>
      <c r="E974" t="inlineStr">
        <is>
          <t>ÖRNSKÖLDSVIK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21640-2023</t>
        </is>
      </c>
      <c r="B975" s="1" t="n">
        <v>45063</v>
      </c>
      <c r="C975" s="1" t="n">
        <v>46137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41931-2025</t>
        </is>
      </c>
      <c r="B976" s="1" t="n">
        <v>45903.4346412037</v>
      </c>
      <c r="C976" s="1" t="n">
        <v>46137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41891-2025</t>
        </is>
      </c>
      <c r="B977" s="1" t="n">
        <v>45903.3791087963</v>
      </c>
      <c r="C977" s="1" t="n">
        <v>46137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41903-2025</t>
        </is>
      </c>
      <c r="B978" s="1" t="n">
        <v>45903.4015162037</v>
      </c>
      <c r="C978" s="1" t="n">
        <v>46137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42034-2025</t>
        </is>
      </c>
      <c r="B979" s="1" t="n">
        <v>45903.60880787037</v>
      </c>
      <c r="C979" s="1" t="n">
        <v>46137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42080-2025</t>
        </is>
      </c>
      <c r="B980" s="1" t="n">
        <v>45903.68043981482</v>
      </c>
      <c r="C980" s="1" t="n">
        <v>46137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61195-2024</t>
        </is>
      </c>
      <c r="B981" s="1" t="n">
        <v>45645.63046296296</v>
      </c>
      <c r="C981" s="1" t="n">
        <v>46137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41742-2025</t>
        </is>
      </c>
      <c r="B982" s="1" t="n">
        <v>45902.47954861111</v>
      </c>
      <c r="C982" s="1" t="n">
        <v>46137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5580-2025</t>
        </is>
      </c>
      <c r="B983" s="1" t="n">
        <v>45693.54991898148</v>
      </c>
      <c r="C983" s="1" t="n">
        <v>46137</v>
      </c>
      <c r="D983" t="inlineStr">
        <is>
          <t>VÄSTERNORRLANDS LÄN</t>
        </is>
      </c>
      <c r="E983" t="inlineStr">
        <is>
          <t>ÖRNSKÖLDSVIK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15050-2023</t>
        </is>
      </c>
      <c r="B984" s="1" t="n">
        <v>45015.67113425926</v>
      </c>
      <c r="C984" s="1" t="n">
        <v>46137</v>
      </c>
      <c r="D984" t="inlineStr">
        <is>
          <t>VÄSTERNORRLANDS LÄN</t>
        </is>
      </c>
      <c r="E984" t="inlineStr">
        <is>
          <t>ÖRNSKÖLDSVIK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41894-2025</t>
        </is>
      </c>
      <c r="B985" s="1" t="n">
        <v>45903.38273148148</v>
      </c>
      <c r="C985" s="1" t="n">
        <v>46137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41989-2025</t>
        </is>
      </c>
      <c r="B986" s="1" t="n">
        <v>45903.54394675926</v>
      </c>
      <c r="C986" s="1" t="n">
        <v>46137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23346-2024</t>
        </is>
      </c>
      <c r="B987" s="1" t="n">
        <v>45453.51660879629</v>
      </c>
      <c r="C987" s="1" t="n">
        <v>46137</v>
      </c>
      <c r="D987" t="inlineStr">
        <is>
          <t>VÄSTERNORRLANDS LÄN</t>
        </is>
      </c>
      <c r="E987" t="inlineStr">
        <is>
          <t>ÖRNSKÖLDSVIK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33922-2023</t>
        </is>
      </c>
      <c r="B988" s="1" t="n">
        <v>45122</v>
      </c>
      <c r="C988" s="1" t="n">
        <v>46137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19519-2023</t>
        </is>
      </c>
      <c r="B989" s="1" t="n">
        <v>45050</v>
      </c>
      <c r="C989" s="1" t="n">
        <v>46137</v>
      </c>
      <c r="D989" t="inlineStr">
        <is>
          <t>VÄSTERNORRLANDS LÄN</t>
        </is>
      </c>
      <c r="E989" t="inlineStr">
        <is>
          <t>ÖRNSKÖLDSVIK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41956-2025</t>
        </is>
      </c>
      <c r="B990" s="1" t="n">
        <v>45903.46487268519</v>
      </c>
      <c r="C990" s="1" t="n">
        <v>46137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45986-2024</t>
        </is>
      </c>
      <c r="B991" s="1" t="n">
        <v>45580.62356481481</v>
      </c>
      <c r="C991" s="1" t="n">
        <v>46137</v>
      </c>
      <c r="D991" t="inlineStr">
        <is>
          <t>VÄSTERNORRLANDS LÄN</t>
        </is>
      </c>
      <c r="E991" t="inlineStr">
        <is>
          <t>ÖRNSKÖLDSVIK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46001-2024</t>
        </is>
      </c>
      <c r="B992" s="1" t="n">
        <v>45580</v>
      </c>
      <c r="C992" s="1" t="n">
        <v>46137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39079-2023</t>
        </is>
      </c>
      <c r="B993" s="1" t="n">
        <v>45163.95831018518</v>
      </c>
      <c r="C993" s="1" t="n">
        <v>46137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16193-2023</t>
        </is>
      </c>
      <c r="B994" s="1" t="n">
        <v>45027.94125</v>
      </c>
      <c r="C994" s="1" t="n">
        <v>46137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39625-2023</t>
        </is>
      </c>
      <c r="B995" s="1" t="n">
        <v>45167.4912962963</v>
      </c>
      <c r="C995" s="1" t="n">
        <v>46137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28763-2024</t>
        </is>
      </c>
      <c r="B996" s="1" t="n">
        <v>45478.59087962963</v>
      </c>
      <c r="C996" s="1" t="n">
        <v>46137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42035-2025</t>
        </is>
      </c>
      <c r="B997" s="1" t="n">
        <v>45903.61159722223</v>
      </c>
      <c r="C997" s="1" t="n">
        <v>46137</v>
      </c>
      <c r="D997" t="inlineStr">
        <is>
          <t>VÄSTERNORRLANDS LÄN</t>
        </is>
      </c>
      <c r="E997" t="inlineStr">
        <is>
          <t>ÖRNSKÖLDSVIK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20765-2025</t>
        </is>
      </c>
      <c r="B998" s="1" t="n">
        <v>45776.57975694445</v>
      </c>
      <c r="C998" s="1" t="n">
        <v>46137</v>
      </c>
      <c r="D998" t="inlineStr">
        <is>
          <t>VÄSTERNORRLANDS LÄN</t>
        </is>
      </c>
      <c r="E998" t="inlineStr">
        <is>
          <t>ÖRNSKÖLDSVIK</t>
        </is>
      </c>
      <c r="G998" t="n">
        <v>20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11774-2025</t>
        </is>
      </c>
      <c r="B999" s="1" t="n">
        <v>45727</v>
      </c>
      <c r="C999" s="1" t="n">
        <v>46137</v>
      </c>
      <c r="D999" t="inlineStr">
        <is>
          <t>VÄSTERNORRLANDS LÄN</t>
        </is>
      </c>
      <c r="E999" t="inlineStr">
        <is>
          <t>ÖRNSKÖLDSVIK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21304-2021</t>
        </is>
      </c>
      <c r="B1000" s="1" t="n">
        <v>44320</v>
      </c>
      <c r="C1000" s="1" t="n">
        <v>46137</v>
      </c>
      <c r="D1000" t="inlineStr">
        <is>
          <t>VÄSTERNORRLANDS LÄN</t>
        </is>
      </c>
      <c r="E1000" t="inlineStr">
        <is>
          <t>ÖRNSKÖLDSVIK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42010-2025</t>
        </is>
      </c>
      <c r="B1001" s="1" t="n">
        <v>45903.56363425926</v>
      </c>
      <c r="C1001" s="1" t="n">
        <v>46137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42023-2025</t>
        </is>
      </c>
      <c r="B1002" s="1" t="n">
        <v>45903.59159722222</v>
      </c>
      <c r="C1002" s="1" t="n">
        <v>46137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68748-2021</t>
        </is>
      </c>
      <c r="B1003" s="1" t="n">
        <v>44529</v>
      </c>
      <c r="C1003" s="1" t="n">
        <v>46137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41775-2025</t>
        </is>
      </c>
      <c r="B1004" s="1" t="n">
        <v>45902.56412037037</v>
      </c>
      <c r="C1004" s="1" t="n">
        <v>46137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41808-2025</t>
        </is>
      </c>
      <c r="B1005" s="1" t="n">
        <v>45902.64255787037</v>
      </c>
      <c r="C1005" s="1" t="n">
        <v>46137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30258-2024</t>
        </is>
      </c>
      <c r="B1006" s="1" t="n">
        <v>45489</v>
      </c>
      <c r="C1006" s="1" t="n">
        <v>46137</v>
      </c>
      <c r="D1006" t="inlineStr">
        <is>
          <t>VÄSTERNORRLANDS LÄN</t>
        </is>
      </c>
      <c r="E1006" t="inlineStr">
        <is>
          <t>ÖRNSKÖLDSVIK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33628-2025</t>
        </is>
      </c>
      <c r="B1007" s="1" t="n">
        <v>45841</v>
      </c>
      <c r="C1007" s="1" t="n">
        <v>46137</v>
      </c>
      <c r="D1007" t="inlineStr">
        <is>
          <t>VÄSTERNORRLANDS LÄN</t>
        </is>
      </c>
      <c r="E1007" t="inlineStr">
        <is>
          <t>ÖRNSKÖLDSVIK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41976-2025</t>
        </is>
      </c>
      <c r="B1008" s="1" t="n">
        <v>45903.49787037037</v>
      </c>
      <c r="C1008" s="1" t="n">
        <v>46137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17874-2022</t>
        </is>
      </c>
      <c r="B1009" s="1" t="n">
        <v>44683</v>
      </c>
      <c r="C1009" s="1" t="n">
        <v>46137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45363-2023</t>
        </is>
      </c>
      <c r="B1010" s="1" t="n">
        <v>45192.55768518519</v>
      </c>
      <c r="C1010" s="1" t="n">
        <v>46137</v>
      </c>
      <c r="D1010" t="inlineStr">
        <is>
          <t>VÄSTERNORRLANDS LÄN</t>
        </is>
      </c>
      <c r="E1010" t="inlineStr">
        <is>
          <t>ÖRNSKÖLDSVIK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20663-2025</t>
        </is>
      </c>
      <c r="B1011" s="1" t="n">
        <v>45776</v>
      </c>
      <c r="C1011" s="1" t="n">
        <v>46137</v>
      </c>
      <c r="D1011" t="inlineStr">
        <is>
          <t>VÄSTERNORRLANDS LÄN</t>
        </is>
      </c>
      <c r="E1011" t="inlineStr">
        <is>
          <t>ÖRNSKÖLDSVIK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22631-2024</t>
        </is>
      </c>
      <c r="B1012" s="1" t="n">
        <v>45447</v>
      </c>
      <c r="C1012" s="1" t="n">
        <v>46137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42160-2025</t>
        </is>
      </c>
      <c r="B1013" s="1" t="n">
        <v>45904.41231481481</v>
      </c>
      <c r="C1013" s="1" t="n">
        <v>46137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42164-2025</t>
        </is>
      </c>
      <c r="B1014" s="1" t="n">
        <v>45904.42023148148</v>
      </c>
      <c r="C1014" s="1" t="n">
        <v>46137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66636-2021</t>
        </is>
      </c>
      <c r="B1015" s="1" t="n">
        <v>44519.56555555556</v>
      </c>
      <c r="C1015" s="1" t="n">
        <v>46137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20700-2025</t>
        </is>
      </c>
      <c r="B1016" s="1" t="n">
        <v>45776.47576388889</v>
      </c>
      <c r="C1016" s="1" t="n">
        <v>46137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67765-2021</t>
        </is>
      </c>
      <c r="B1017" s="1" t="n">
        <v>44525</v>
      </c>
      <c r="C1017" s="1" t="n">
        <v>46137</v>
      </c>
      <c r="D1017" t="inlineStr">
        <is>
          <t>VÄSTERNORRLANDS LÄN</t>
        </is>
      </c>
      <c r="E1017" t="inlineStr">
        <is>
          <t>ÖRNSKÖLDSVIK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42450-2025</t>
        </is>
      </c>
      <c r="B1018" s="1" t="n">
        <v>45905.44320601852</v>
      </c>
      <c r="C1018" s="1" t="n">
        <v>46137</v>
      </c>
      <c r="D1018" t="inlineStr">
        <is>
          <t>VÄSTERNORRLANDS LÄN</t>
        </is>
      </c>
      <c r="E1018" t="inlineStr">
        <is>
          <t>ÖRNSKÖLDSVIK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42451-2025</t>
        </is>
      </c>
      <c r="B1019" s="1" t="n">
        <v>45905.44340277778</v>
      </c>
      <c r="C1019" s="1" t="n">
        <v>46137</v>
      </c>
      <c r="D1019" t="inlineStr">
        <is>
          <t>VÄSTERNORRLANDS LÄN</t>
        </is>
      </c>
      <c r="E1019" t="inlineStr">
        <is>
          <t>ÖRNSKÖLDSVIK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20675-2025</t>
        </is>
      </c>
      <c r="B1020" s="1" t="n">
        <v>45776.44221064815</v>
      </c>
      <c r="C1020" s="1" t="n">
        <v>46137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25329-2024</t>
        </is>
      </c>
      <c r="B1021" s="1" t="n">
        <v>45462</v>
      </c>
      <c r="C1021" s="1" t="n">
        <v>46137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42419-2025</t>
        </is>
      </c>
      <c r="B1022" s="1" t="n">
        <v>45905</v>
      </c>
      <c r="C1022" s="1" t="n">
        <v>46137</v>
      </c>
      <c r="D1022" t="inlineStr">
        <is>
          <t>VÄSTERNORRLANDS LÄN</t>
        </is>
      </c>
      <c r="E1022" t="inlineStr">
        <is>
          <t>ÖRNSKÖLDSVIK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42568-2025</t>
        </is>
      </c>
      <c r="B1023" s="1" t="n">
        <v>45905.60607638889</v>
      </c>
      <c r="C1023" s="1" t="n">
        <v>46137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42326-2025</t>
        </is>
      </c>
      <c r="B1024" s="1" t="n">
        <v>45904.68515046296</v>
      </c>
      <c r="C1024" s="1" t="n">
        <v>46137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42594-2025</t>
        </is>
      </c>
      <c r="B1025" s="1" t="n">
        <v>45905.65270833333</v>
      </c>
      <c r="C1025" s="1" t="n">
        <v>46137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42254-2025</t>
        </is>
      </c>
      <c r="B1026" s="1" t="n">
        <v>45904.58797453704</v>
      </c>
      <c r="C1026" s="1" t="n">
        <v>46137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59164-2024</t>
        </is>
      </c>
      <c r="B1027" s="1" t="n">
        <v>45637.47819444445</v>
      </c>
      <c r="C1027" s="1" t="n">
        <v>46137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42418-2025</t>
        </is>
      </c>
      <c r="B1028" s="1" t="n">
        <v>45905.39775462963</v>
      </c>
      <c r="C1028" s="1" t="n">
        <v>46137</v>
      </c>
      <c r="D1028" t="inlineStr">
        <is>
          <t>VÄSTERNORRLANDS LÄN</t>
        </is>
      </c>
      <c r="E1028" t="inlineStr">
        <is>
          <t>ÖRNSKÖLDSVIK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42538-2025</t>
        </is>
      </c>
      <c r="B1029" s="1" t="n">
        <v>45905.57106481482</v>
      </c>
      <c r="C1029" s="1" t="n">
        <v>46137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42122-2025</t>
        </is>
      </c>
      <c r="B1030" s="1" t="n">
        <v>45904.34324074074</v>
      </c>
      <c r="C1030" s="1" t="n">
        <v>46137</v>
      </c>
      <c r="D1030" t="inlineStr">
        <is>
          <t>VÄSTERNORRLANDS LÄN</t>
        </is>
      </c>
      <c r="E1030" t="inlineStr">
        <is>
          <t>ÖRNSKÖLDSVIK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11485-2025</t>
        </is>
      </c>
      <c r="B1031" s="1" t="n">
        <v>45726.69515046296</v>
      </c>
      <c r="C1031" s="1" t="n">
        <v>46137</v>
      </c>
      <c r="D1031" t="inlineStr">
        <is>
          <t>VÄSTERNORRLANDS LÄN</t>
        </is>
      </c>
      <c r="E1031" t="inlineStr">
        <is>
          <t>ÖRNSKÖLDSVIK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43424-2021</t>
        </is>
      </c>
      <c r="B1032" s="1" t="n">
        <v>44432</v>
      </c>
      <c r="C1032" s="1" t="n">
        <v>46137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42299-2025</t>
        </is>
      </c>
      <c r="B1033" s="1" t="n">
        <v>45904.64100694445</v>
      </c>
      <c r="C1033" s="1" t="n">
        <v>46137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42228-2025</t>
        </is>
      </c>
      <c r="B1034" s="1" t="n">
        <v>45904.54723379629</v>
      </c>
      <c r="C1034" s="1" t="n">
        <v>46137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20719-2025</t>
        </is>
      </c>
      <c r="B1035" s="1" t="n">
        <v>45776.49252314815</v>
      </c>
      <c r="C1035" s="1" t="n">
        <v>46137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20726-2025</t>
        </is>
      </c>
      <c r="B1036" s="1" t="n">
        <v>45776.51077546296</v>
      </c>
      <c r="C1036" s="1" t="n">
        <v>46137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42239-2025</t>
        </is>
      </c>
      <c r="B1037" s="1" t="n">
        <v>45904.56450231482</v>
      </c>
      <c r="C1037" s="1" t="n">
        <v>46137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42838-2024</t>
        </is>
      </c>
      <c r="B1038" s="1" t="n">
        <v>45566.62291666667</v>
      </c>
      <c r="C1038" s="1" t="n">
        <v>46137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14761-2025</t>
        </is>
      </c>
      <c r="B1039" s="1" t="n">
        <v>45742</v>
      </c>
      <c r="C1039" s="1" t="n">
        <v>46137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28659-2024</t>
        </is>
      </c>
      <c r="B1040" s="1" t="n">
        <v>45478.47100694444</v>
      </c>
      <c r="C1040" s="1" t="n">
        <v>46137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2118-2025</t>
        </is>
      </c>
      <c r="B1041" s="1" t="n">
        <v>45672</v>
      </c>
      <c r="C1041" s="1" t="n">
        <v>46137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36661-2024</t>
        </is>
      </c>
      <c r="B1042" s="1" t="n">
        <v>45537</v>
      </c>
      <c r="C1042" s="1" t="n">
        <v>46137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21243-2025</t>
        </is>
      </c>
      <c r="B1043" s="1" t="n">
        <v>45779.57131944445</v>
      </c>
      <c r="C1043" s="1" t="n">
        <v>46137</v>
      </c>
      <c r="D1043" t="inlineStr">
        <is>
          <t>VÄSTERNORRLANDS LÄN</t>
        </is>
      </c>
      <c r="E1043" t="inlineStr">
        <is>
          <t>ÖRNSKÖLDSVIK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2129-2024</t>
        </is>
      </c>
      <c r="B1044" s="1" t="n">
        <v>45309</v>
      </c>
      <c r="C1044" s="1" t="n">
        <v>46137</v>
      </c>
      <c r="D1044" t="inlineStr">
        <is>
          <t>VÄSTERNORRLANDS LÄN</t>
        </is>
      </c>
      <c r="E1044" t="inlineStr">
        <is>
          <t>ÖRNSKÖLDSVIK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48611-2022</t>
        </is>
      </c>
      <c r="B1045" s="1" t="n">
        <v>44859</v>
      </c>
      <c r="C1045" s="1" t="n">
        <v>46137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48612-2022</t>
        </is>
      </c>
      <c r="B1046" s="1" t="n">
        <v>44854</v>
      </c>
      <c r="C1046" s="1" t="n">
        <v>46137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21241-2025</t>
        </is>
      </c>
      <c r="B1047" s="1" t="n">
        <v>45779.56971064815</v>
      </c>
      <c r="C1047" s="1" t="n">
        <v>46137</v>
      </c>
      <c r="D1047" t="inlineStr">
        <is>
          <t>VÄSTERNORRLANDS LÄN</t>
        </is>
      </c>
      <c r="E1047" t="inlineStr">
        <is>
          <t>ÖRNSKÖLDSVIK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21249-2025</t>
        </is>
      </c>
      <c r="B1048" s="1" t="n">
        <v>45779.57402777778</v>
      </c>
      <c r="C1048" s="1" t="n">
        <v>46137</v>
      </c>
      <c r="D1048" t="inlineStr">
        <is>
          <t>VÄSTERNORRLANDS LÄN</t>
        </is>
      </c>
      <c r="E1048" t="inlineStr">
        <is>
          <t>ÖRNSKÖLDSVIK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41102-2024</t>
        </is>
      </c>
      <c r="B1049" s="1" t="n">
        <v>45559.44012731482</v>
      </c>
      <c r="C1049" s="1" t="n">
        <v>46137</v>
      </c>
      <c r="D1049" t="inlineStr">
        <is>
          <t>VÄSTERNORRLANDS LÄN</t>
        </is>
      </c>
      <c r="E1049" t="inlineStr">
        <is>
          <t>ÖRNSKÖLDSVIK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21199-2025</t>
        </is>
      </c>
      <c r="B1050" s="1" t="n">
        <v>45779.47327546297</v>
      </c>
      <c r="C1050" s="1" t="n">
        <v>46137</v>
      </c>
      <c r="D1050" t="inlineStr">
        <is>
          <t>VÄSTERNORRLANDS LÄN</t>
        </is>
      </c>
      <c r="E1050" t="inlineStr">
        <is>
          <t>ÖRNSKÖLDSVIK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47757-2023</t>
        </is>
      </c>
      <c r="B1051" s="1" t="n">
        <v>45203.83018518519</v>
      </c>
      <c r="C1051" s="1" t="n">
        <v>46137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21250-2025</t>
        </is>
      </c>
      <c r="B1052" s="1" t="n">
        <v>45779.57409722222</v>
      </c>
      <c r="C1052" s="1" t="n">
        <v>46137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44574-2023</t>
        </is>
      </c>
      <c r="B1053" s="1" t="n">
        <v>45189</v>
      </c>
      <c r="C1053" s="1" t="n">
        <v>46137</v>
      </c>
      <c r="D1053" t="inlineStr">
        <is>
          <t>VÄSTERNORRLANDS LÄN</t>
        </is>
      </c>
      <c r="E1053" t="inlineStr">
        <is>
          <t>ÖRNSKÖLDSVIK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21475-2025</t>
        </is>
      </c>
      <c r="B1054" s="1" t="n">
        <v>45782.59091435185</v>
      </c>
      <c r="C1054" s="1" t="n">
        <v>46137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802-2024</t>
        </is>
      </c>
      <c r="B1055" s="1" t="n">
        <v>45300</v>
      </c>
      <c r="C1055" s="1" t="n">
        <v>46137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7147-2023</t>
        </is>
      </c>
      <c r="B1056" s="1" t="n">
        <v>44965</v>
      </c>
      <c r="C1056" s="1" t="n">
        <v>46137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21666-2025</t>
        </is>
      </c>
      <c r="B1057" s="1" t="n">
        <v>45783.46287037037</v>
      </c>
      <c r="C1057" s="1" t="n">
        <v>46137</v>
      </c>
      <c r="D1057" t="inlineStr">
        <is>
          <t>VÄSTERNORRLANDS LÄN</t>
        </is>
      </c>
      <c r="E1057" t="inlineStr">
        <is>
          <t>ÖRNSKÖLDSVIK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44948-2022</t>
        </is>
      </c>
      <c r="B1058" s="1" t="n">
        <v>44841.57553240741</v>
      </c>
      <c r="C1058" s="1" t="n">
        <v>46137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1001-2025</t>
        </is>
      </c>
      <c r="B1059" s="1" t="n">
        <v>45666</v>
      </c>
      <c r="C1059" s="1" t="n">
        <v>46137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21392-2025</t>
        </is>
      </c>
      <c r="B1060" s="1" t="n">
        <v>45782.47944444444</v>
      </c>
      <c r="C1060" s="1" t="n">
        <v>46137</v>
      </c>
      <c r="D1060" t="inlineStr">
        <is>
          <t>VÄSTERNORRLANDS LÄN</t>
        </is>
      </c>
      <c r="E1060" t="inlineStr">
        <is>
          <t>ÖRNSKÖLDSVIK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8707-2024</t>
        </is>
      </c>
      <c r="B1061" s="1" t="n">
        <v>45356.38680555556</v>
      </c>
      <c r="C1061" s="1" t="n">
        <v>46137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30542-2024</t>
        </is>
      </c>
      <c r="B1062" s="1" t="n">
        <v>45492.65896990741</v>
      </c>
      <c r="C1062" s="1" t="n">
        <v>46137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30546-2024</t>
        </is>
      </c>
      <c r="B1063" s="1" t="n">
        <v>45492.67429398148</v>
      </c>
      <c r="C1063" s="1" t="n">
        <v>46137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21387-2025</t>
        </is>
      </c>
      <c r="B1064" s="1" t="n">
        <v>45782.47387731481</v>
      </c>
      <c r="C1064" s="1" t="n">
        <v>46137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40559-2021</t>
        </is>
      </c>
      <c r="B1065" s="1" t="n">
        <v>44420.43424768518</v>
      </c>
      <c r="C1065" s="1" t="n">
        <v>46137</v>
      </c>
      <c r="D1065" t="inlineStr">
        <is>
          <t>VÄSTERNORRLANDS LÄN</t>
        </is>
      </c>
      <c r="E1065" t="inlineStr">
        <is>
          <t>ÖRNSKÖLDSVIK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21415-2025</t>
        </is>
      </c>
      <c r="B1066" s="1" t="n">
        <v>45782.4940625</v>
      </c>
      <c r="C1066" s="1" t="n">
        <v>46137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59592-2023</t>
        </is>
      </c>
      <c r="B1067" s="1" t="n">
        <v>45254</v>
      </c>
      <c r="C1067" s="1" t="n">
        <v>46137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70307-2021</t>
        </is>
      </c>
      <c r="B1068" s="1" t="n">
        <v>44536</v>
      </c>
      <c r="C1068" s="1" t="n">
        <v>46137</v>
      </c>
      <c r="D1068" t="inlineStr">
        <is>
          <t>VÄSTERNORRLANDS LÄN</t>
        </is>
      </c>
      <c r="E1068" t="inlineStr">
        <is>
          <t>ÖRNSKÖLDSVIK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62019-2023</t>
        </is>
      </c>
      <c r="B1069" s="1" t="n">
        <v>45266</v>
      </c>
      <c r="C1069" s="1" t="n">
        <v>46137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21777-2025</t>
        </is>
      </c>
      <c r="B1070" s="1" t="n">
        <v>45783.66395833333</v>
      </c>
      <c r="C1070" s="1" t="n">
        <v>46137</v>
      </c>
      <c r="D1070" t="inlineStr">
        <is>
          <t>VÄSTERNORRLANDS LÄN</t>
        </is>
      </c>
      <c r="E1070" t="inlineStr">
        <is>
          <t>ÖRNSKÖLDSVIK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17514-2023</t>
        </is>
      </c>
      <c r="B1071" s="1" t="n">
        <v>45034</v>
      </c>
      <c r="C1071" s="1" t="n">
        <v>46137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21521-2025</t>
        </is>
      </c>
      <c r="B1072" s="1" t="n">
        <v>45782.63612268519</v>
      </c>
      <c r="C1072" s="1" t="n">
        <v>46137</v>
      </c>
      <c r="D1072" t="inlineStr">
        <is>
          <t>VÄSTERNORRLANDS LÄN</t>
        </is>
      </c>
      <c r="E1072" t="inlineStr">
        <is>
          <t>ÖRNSKÖLDSVIK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62440-2023</t>
        </is>
      </c>
      <c r="B1073" s="1" t="n">
        <v>45268.458125</v>
      </c>
      <c r="C1073" s="1" t="n">
        <v>46137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41492-2024</t>
        </is>
      </c>
      <c r="B1074" s="1" t="n">
        <v>45560.45149305555</v>
      </c>
      <c r="C1074" s="1" t="n">
        <v>46137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50947-2023</t>
        </is>
      </c>
      <c r="B1075" s="1" t="n">
        <v>45211</v>
      </c>
      <c r="C1075" s="1" t="n">
        <v>46137</v>
      </c>
      <c r="D1075" t="inlineStr">
        <is>
          <t>VÄSTERNORRLANDS LÄN</t>
        </is>
      </c>
      <c r="E1075" t="inlineStr">
        <is>
          <t>ÖRNSKÖLDSVIK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21313-2025</t>
        </is>
      </c>
      <c r="B1076" s="1" t="n">
        <v>45782.28538194444</v>
      </c>
      <c r="C1076" s="1" t="n">
        <v>46137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44159-2024</t>
        </is>
      </c>
      <c r="B1077" s="1" t="n">
        <v>45572.69930555556</v>
      </c>
      <c r="C1077" s="1" t="n">
        <v>46137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43120-2025</t>
        </is>
      </c>
      <c r="B1078" s="1" t="n">
        <v>45909.67707175926</v>
      </c>
      <c r="C1078" s="1" t="n">
        <v>46137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32115-2025</t>
        </is>
      </c>
      <c r="B1079" s="1" t="n">
        <v>45835.48665509259</v>
      </c>
      <c r="C1079" s="1" t="n">
        <v>46137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52421-2024</t>
        </is>
      </c>
      <c r="B1080" s="1" t="n">
        <v>45609.46614583334</v>
      </c>
      <c r="C1080" s="1" t="n">
        <v>46137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43053-2025</t>
        </is>
      </c>
      <c r="B1081" s="1" t="n">
        <v>45909.57015046296</v>
      </c>
      <c r="C1081" s="1" t="n">
        <v>46137</v>
      </c>
      <c r="D1081" t="inlineStr">
        <is>
          <t>VÄSTERNORRLANDS LÄN</t>
        </is>
      </c>
      <c r="E1081" t="inlineStr">
        <is>
          <t>ÖRNSKÖLDSVIK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2853-2025</t>
        </is>
      </c>
      <c r="B1082" s="1" t="n">
        <v>45677.65922453703</v>
      </c>
      <c r="C1082" s="1" t="n">
        <v>46137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18198-2023</t>
        </is>
      </c>
      <c r="B1083" s="1" t="n">
        <v>45041.36590277778</v>
      </c>
      <c r="C1083" s="1" t="n">
        <v>46137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42746-2025</t>
        </is>
      </c>
      <c r="B1084" s="1" t="n">
        <v>45908.43310185185</v>
      </c>
      <c r="C1084" s="1" t="n">
        <v>46137</v>
      </c>
      <c r="D1084" t="inlineStr">
        <is>
          <t>VÄSTERNORRLANDS LÄN</t>
        </is>
      </c>
      <c r="E1084" t="inlineStr">
        <is>
          <t>ÖRNSKÖLDSVIK</t>
        </is>
      </c>
      <c r="G1084" t="n">
        <v>16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63748-2023</t>
        </is>
      </c>
      <c r="B1085" s="1" t="n">
        <v>45277</v>
      </c>
      <c r="C1085" s="1" t="n">
        <v>46137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Övriga Aktiebolag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43035-2025</t>
        </is>
      </c>
      <c r="B1086" s="1" t="n">
        <v>45909.54824074074</v>
      </c>
      <c r="C1086" s="1" t="n">
        <v>46137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42874-2025</t>
        </is>
      </c>
      <c r="B1087" s="1" t="n">
        <v>45908.6328125</v>
      </c>
      <c r="C1087" s="1" t="n">
        <v>46137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48741-2023</t>
        </is>
      </c>
      <c r="B1088" s="1" t="n">
        <v>45208</v>
      </c>
      <c r="C1088" s="1" t="n">
        <v>46137</v>
      </c>
      <c r="D1088" t="inlineStr">
        <is>
          <t>VÄSTERNORRLANDS LÄN</t>
        </is>
      </c>
      <c r="E1088" t="inlineStr">
        <is>
          <t>ÖRNSKÖLDSVIK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46623-2024</t>
        </is>
      </c>
      <c r="B1089" s="1" t="n">
        <v>45583.32759259259</v>
      </c>
      <c r="C1089" s="1" t="n">
        <v>46137</v>
      </c>
      <c r="D1089" t="inlineStr">
        <is>
          <t>VÄSTERNORRLANDS LÄN</t>
        </is>
      </c>
      <c r="E1089" t="inlineStr">
        <is>
          <t>ÖRNSKÖLDSVIK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22038-2025</t>
        </is>
      </c>
      <c r="B1090" s="1" t="n">
        <v>45785.32254629629</v>
      </c>
      <c r="C1090" s="1" t="n">
        <v>46137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38605-2023</t>
        </is>
      </c>
      <c r="B1091" s="1" t="n">
        <v>45162.65064814815</v>
      </c>
      <c r="C1091" s="1" t="n">
        <v>46137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42846-2025</t>
        </is>
      </c>
      <c r="B1092" s="1" t="n">
        <v>45908.59391203704</v>
      </c>
      <c r="C1092" s="1" t="n">
        <v>46137</v>
      </c>
      <c r="D1092" t="inlineStr">
        <is>
          <t>VÄSTERNORRLANDS LÄN</t>
        </is>
      </c>
      <c r="E1092" t="inlineStr">
        <is>
          <t>ÖRNSKÖLDSVIK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42844-2025</t>
        </is>
      </c>
      <c r="B1093" s="1" t="n">
        <v>45908.58981481481</v>
      </c>
      <c r="C1093" s="1" t="n">
        <v>46137</v>
      </c>
      <c r="D1093" t="inlineStr">
        <is>
          <t>VÄSTERNORRLANDS LÄN</t>
        </is>
      </c>
      <c r="E1093" t="inlineStr">
        <is>
          <t>ÖRNSKÖLDSVIK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47755-2023</t>
        </is>
      </c>
      <c r="B1094" s="1" t="n">
        <v>45203.8250462963</v>
      </c>
      <c r="C1094" s="1" t="n">
        <v>46137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21908-2025</t>
        </is>
      </c>
      <c r="B1095" s="1" t="n">
        <v>45784.46751157408</v>
      </c>
      <c r="C1095" s="1" t="n">
        <v>46137</v>
      </c>
      <c r="D1095" t="inlineStr">
        <is>
          <t>VÄSTERNORRLANDS LÄN</t>
        </is>
      </c>
      <c r="E1095" t="inlineStr">
        <is>
          <t>ÖRNSKÖLDSVIK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58689-2024</t>
        </is>
      </c>
      <c r="B1096" s="1" t="n">
        <v>45635.62480324074</v>
      </c>
      <c r="C1096" s="1" t="n">
        <v>46137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37749-2025</t>
        </is>
      </c>
      <c r="B1097" s="1" t="n">
        <v>45880.66991898148</v>
      </c>
      <c r="C1097" s="1" t="n">
        <v>46137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37926-2024</t>
        </is>
      </c>
      <c r="B1098" s="1" t="n">
        <v>45544</v>
      </c>
      <c r="C1098" s="1" t="n">
        <v>46137</v>
      </c>
      <c r="D1098" t="inlineStr">
        <is>
          <t>VÄSTERNORRLANDS LÄN</t>
        </is>
      </c>
      <c r="E1098" t="inlineStr">
        <is>
          <t>ÖRNSKÖLDSVIK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43023-2025</t>
        </is>
      </c>
      <c r="B1099" s="1" t="n">
        <v>45909</v>
      </c>
      <c r="C1099" s="1" t="n">
        <v>46137</v>
      </c>
      <c r="D1099" t="inlineStr">
        <is>
          <t>VÄSTERNORRLANDS LÄN</t>
        </is>
      </c>
      <c r="E1099" t="inlineStr">
        <is>
          <t>ÖRNSKÖLDSVIK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287-2023</t>
        </is>
      </c>
      <c r="B1100" s="1" t="n">
        <v>44928</v>
      </c>
      <c r="C1100" s="1" t="n">
        <v>46137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17230-2024</t>
        </is>
      </c>
      <c r="B1101" s="1" t="n">
        <v>45414</v>
      </c>
      <c r="C1101" s="1" t="n">
        <v>46137</v>
      </c>
      <c r="D1101" t="inlineStr">
        <is>
          <t>VÄSTERNORRLANDS LÄN</t>
        </is>
      </c>
      <c r="E1101" t="inlineStr">
        <is>
          <t>ÖRNSKÖLDSVIK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46137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42583-2024</t>
        </is>
      </c>
      <c r="B1103" s="1" t="n">
        <v>45565</v>
      </c>
      <c r="C1103" s="1" t="n">
        <v>46137</v>
      </c>
      <c r="D1103" t="inlineStr">
        <is>
          <t>VÄSTERNORRLANDS LÄN</t>
        </is>
      </c>
      <c r="E1103" t="inlineStr">
        <is>
          <t>ÖRNSKÖLDSVIK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42699-2025</t>
        </is>
      </c>
      <c r="B1104" s="1" t="n">
        <v>45908.36521990741</v>
      </c>
      <c r="C1104" s="1" t="n">
        <v>46137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42700-2025</t>
        </is>
      </c>
      <c r="B1105" s="1" t="n">
        <v>45908.36534722222</v>
      </c>
      <c r="C1105" s="1" t="n">
        <v>46137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34015-2021</t>
        </is>
      </c>
      <c r="B1106" s="1" t="n">
        <v>44379</v>
      </c>
      <c r="C1106" s="1" t="n">
        <v>46137</v>
      </c>
      <c r="D1106" t="inlineStr">
        <is>
          <t>VÄSTERNORRLANDS LÄN</t>
        </is>
      </c>
      <c r="E1106" t="inlineStr">
        <is>
          <t>ÖRNSKÖLDSVIK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43105-2025</t>
        </is>
      </c>
      <c r="B1107" s="1" t="n">
        <v>45909.6418287037</v>
      </c>
      <c r="C1107" s="1" t="n">
        <v>46137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37914-2022</t>
        </is>
      </c>
      <c r="B1108" s="1" t="n">
        <v>44811</v>
      </c>
      <c r="C1108" s="1" t="n">
        <v>46137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9474-2023</t>
        </is>
      </c>
      <c r="B1109" s="1" t="n">
        <v>44977</v>
      </c>
      <c r="C1109" s="1" t="n">
        <v>46137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46137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46137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27153-2022</t>
        </is>
      </c>
      <c r="B1112" s="1" t="n">
        <v>44741</v>
      </c>
      <c r="C1112" s="1" t="n">
        <v>46137</v>
      </c>
      <c r="D1112" t="inlineStr">
        <is>
          <t>VÄSTERNORRLANDS LÄN</t>
        </is>
      </c>
      <c r="E1112" t="inlineStr">
        <is>
          <t>ÖRNSKÖLDSVIK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22129-2025</t>
        </is>
      </c>
      <c r="B1113" s="1" t="n">
        <v>45785.5315625</v>
      </c>
      <c r="C1113" s="1" t="n">
        <v>46137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20451-2024</t>
        </is>
      </c>
      <c r="B1114" s="1" t="n">
        <v>45435.63512731482</v>
      </c>
      <c r="C1114" s="1" t="n">
        <v>46137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38601-2023</t>
        </is>
      </c>
      <c r="B1115" s="1" t="n">
        <v>45162.64715277778</v>
      </c>
      <c r="C1115" s="1" t="n">
        <v>46137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42755-2025</t>
        </is>
      </c>
      <c r="B1116" s="1" t="n">
        <v>45908.44833333333</v>
      </c>
      <c r="C1116" s="1" t="n">
        <v>46137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21859-2025</t>
        </is>
      </c>
      <c r="B1117" s="1" t="n">
        <v>45784.36427083334</v>
      </c>
      <c r="C1117" s="1" t="n">
        <v>46137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44470.65844907407</v>
      </c>
      <c r="C1118" s="1" t="n">
        <v>46137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46137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39879-2021</t>
        </is>
      </c>
      <c r="B1120" s="1" t="n">
        <v>44417</v>
      </c>
      <c r="C1120" s="1" t="n">
        <v>46137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43502-2025</t>
        </is>
      </c>
      <c r="B1121" s="1" t="n">
        <v>45911</v>
      </c>
      <c r="C1121" s="1" t="n">
        <v>46137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10500-2024</t>
        </is>
      </c>
      <c r="B1122" s="1" t="n">
        <v>45366.48253472222</v>
      </c>
      <c r="C1122" s="1" t="n">
        <v>46137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43161-2025</t>
        </is>
      </c>
      <c r="B1123" s="1" t="n">
        <v>45910.36539351852</v>
      </c>
      <c r="C1123" s="1" t="n">
        <v>46137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Kommuner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11689-2024</t>
        </is>
      </c>
      <c r="B1124" s="1" t="n">
        <v>45373.59425925926</v>
      </c>
      <c r="C1124" s="1" t="n">
        <v>46137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45437-2024</t>
        </is>
      </c>
      <c r="B1125" s="1" t="n">
        <v>45576</v>
      </c>
      <c r="C1125" s="1" t="n">
        <v>46137</v>
      </c>
      <c r="D1125" t="inlineStr">
        <is>
          <t>VÄSTERNORRLANDS LÄN</t>
        </is>
      </c>
      <c r="E1125" t="inlineStr">
        <is>
          <t>ÖRNSKÖLDSVIK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43321-2025</t>
        </is>
      </c>
      <c r="B1126" s="1" t="n">
        <v>45910.66033564815</v>
      </c>
      <c r="C1126" s="1" t="n">
        <v>46137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15989-2025</t>
        </is>
      </c>
      <c r="B1127" s="1" t="n">
        <v>45749.57783564815</v>
      </c>
      <c r="C1127" s="1" t="n">
        <v>46137</v>
      </c>
      <c r="D1127" t="inlineStr">
        <is>
          <t>VÄSTERNORRLANDS LÄN</t>
        </is>
      </c>
      <c r="E1127" t="inlineStr">
        <is>
          <t>ÖRNSKÖLDSVIK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43150-2025</t>
        </is>
      </c>
      <c r="B1128" s="1" t="n">
        <v>45910.33319444444</v>
      </c>
      <c r="C1128" s="1" t="n">
        <v>46137</v>
      </c>
      <c r="D1128" t="inlineStr">
        <is>
          <t>VÄSTERNORRLANDS LÄN</t>
        </is>
      </c>
      <c r="E1128" t="inlineStr">
        <is>
          <t>ÖRNSKÖLDSVIK</t>
        </is>
      </c>
      <c r="G1128" t="n">
        <v>22.8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43582-2025</t>
        </is>
      </c>
      <c r="B1129" s="1" t="n">
        <v>45911.64875</v>
      </c>
      <c r="C1129" s="1" t="n">
        <v>46137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29170-2024</t>
        </is>
      </c>
      <c r="B1130" s="1" t="n">
        <v>45482</v>
      </c>
      <c r="C1130" s="1" t="n">
        <v>46137</v>
      </c>
      <c r="D1130" t="inlineStr">
        <is>
          <t>VÄSTERNORRLANDS LÄN</t>
        </is>
      </c>
      <c r="E1130" t="inlineStr">
        <is>
          <t>ÖRNSKÖLDSVIK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43377-2025</t>
        </is>
      </c>
      <c r="B1131" s="1" t="n">
        <v>45911</v>
      </c>
      <c r="C1131" s="1" t="n">
        <v>46137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57807-2024</t>
        </is>
      </c>
      <c r="B1132" s="1" t="n">
        <v>45631.35287037037</v>
      </c>
      <c r="C1132" s="1" t="n">
        <v>46137</v>
      </c>
      <c r="D1132" t="inlineStr">
        <is>
          <t>VÄSTERNORRLANDS LÄN</t>
        </is>
      </c>
      <c r="E1132" t="inlineStr">
        <is>
          <t>ÖRNSKÖLDSVIK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43353-2025</t>
        </is>
      </c>
      <c r="B1133" s="1" t="n">
        <v>45911.2953587963</v>
      </c>
      <c r="C1133" s="1" t="n">
        <v>46137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43403-2025</t>
        </is>
      </c>
      <c r="B1134" s="1" t="n">
        <v>45911.38699074074</v>
      </c>
      <c r="C1134" s="1" t="n">
        <v>46137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43417-2025</t>
        </is>
      </c>
      <c r="B1135" s="1" t="n">
        <v>45911.40708333333</v>
      </c>
      <c r="C1135" s="1" t="n">
        <v>46137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43418-2025</t>
        </is>
      </c>
      <c r="B1136" s="1" t="n">
        <v>45911.40738425926</v>
      </c>
      <c r="C1136" s="1" t="n">
        <v>46137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43359-2025</t>
        </is>
      </c>
      <c r="B1137" s="1" t="n">
        <v>45910</v>
      </c>
      <c r="C1137" s="1" t="n">
        <v>46137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61445-2022</t>
        </is>
      </c>
      <c r="B1138" s="1" t="n">
        <v>44916.396875</v>
      </c>
      <c r="C1138" s="1" t="n">
        <v>46137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43302-2025</t>
        </is>
      </c>
      <c r="B1139" s="1" t="n">
        <v>45910.635625</v>
      </c>
      <c r="C1139" s="1" t="n">
        <v>46137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43201-2025</t>
        </is>
      </c>
      <c r="B1140" s="1" t="n">
        <v>45910.43829861111</v>
      </c>
      <c r="C1140" s="1" t="n">
        <v>46137</v>
      </c>
      <c r="D1140" t="inlineStr">
        <is>
          <t>VÄSTERNORRLANDS LÄN</t>
        </is>
      </c>
      <c r="E1140" t="inlineStr">
        <is>
          <t>ÖRNSKÖLDSVIK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22475-2025</t>
        </is>
      </c>
      <c r="B1141" s="1" t="n">
        <v>45786.6258912037</v>
      </c>
      <c r="C1141" s="1" t="n">
        <v>46137</v>
      </c>
      <c r="D1141" t="inlineStr">
        <is>
          <t>VÄSTERNORRLANDS LÄN</t>
        </is>
      </c>
      <c r="E1141" t="inlineStr">
        <is>
          <t>ÖRNSKÖLDSVIK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56095-2024</t>
        </is>
      </c>
      <c r="B1142" s="1" t="n">
        <v>45624.41864583334</v>
      </c>
      <c r="C1142" s="1" t="n">
        <v>46137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22507-2025</t>
        </is>
      </c>
      <c r="B1143" s="1" t="n">
        <v>45786.66528935185</v>
      </c>
      <c r="C1143" s="1" t="n">
        <v>46137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25560-2021</t>
        </is>
      </c>
      <c r="B1144" s="1" t="n">
        <v>44342</v>
      </c>
      <c r="C1144" s="1" t="n">
        <v>46137</v>
      </c>
      <c r="D1144" t="inlineStr">
        <is>
          <t>VÄSTERNORRLANDS LÄN</t>
        </is>
      </c>
      <c r="E1144" t="inlineStr">
        <is>
          <t>ÖRNSKÖLDSVIK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37855-2024</t>
        </is>
      </c>
      <c r="B1145" s="1" t="n">
        <v>45544.3822337963</v>
      </c>
      <c r="C1145" s="1" t="n">
        <v>46137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22283-2025</t>
        </is>
      </c>
      <c r="B1146" s="1" t="n">
        <v>45786.34215277778</v>
      </c>
      <c r="C1146" s="1" t="n">
        <v>46137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56337-2024</t>
        </is>
      </c>
      <c r="B1147" s="1" t="n">
        <v>45624.81244212963</v>
      </c>
      <c r="C1147" s="1" t="n">
        <v>46137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40598-2023</t>
        </is>
      </c>
      <c r="B1148" s="1" t="n">
        <v>45170</v>
      </c>
      <c r="C1148" s="1" t="n">
        <v>46137</v>
      </c>
      <c r="D1148" t="inlineStr">
        <is>
          <t>VÄSTERNORRLANDS LÄN</t>
        </is>
      </c>
      <c r="E1148" t="inlineStr">
        <is>
          <t>ÖRNSKÖLDSVIK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27197-2023</t>
        </is>
      </c>
      <c r="B1149" s="1" t="n">
        <v>45092</v>
      </c>
      <c r="C1149" s="1" t="n">
        <v>46137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43872-2025</t>
        </is>
      </c>
      <c r="B1150" s="1" t="n">
        <v>45912.67043981481</v>
      </c>
      <c r="C1150" s="1" t="n">
        <v>46137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32488-2024</t>
        </is>
      </c>
      <c r="B1151" s="1" t="n">
        <v>45513</v>
      </c>
      <c r="C1151" s="1" t="n">
        <v>46137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44002-2025</t>
        </is>
      </c>
      <c r="B1152" s="1" t="n">
        <v>45915.45387731482</v>
      </c>
      <c r="C1152" s="1" t="n">
        <v>46137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44008-2025</t>
        </is>
      </c>
      <c r="B1153" s="1" t="n">
        <v>45915.45916666667</v>
      </c>
      <c r="C1153" s="1" t="n">
        <v>46137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47040-2024</t>
        </is>
      </c>
      <c r="B1154" s="1" t="n">
        <v>45586.44152777778</v>
      </c>
      <c r="C1154" s="1" t="n">
        <v>46137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13887-2022</t>
        </is>
      </c>
      <c r="B1155" s="1" t="n">
        <v>44649</v>
      </c>
      <c r="C1155" s="1" t="n">
        <v>46137</v>
      </c>
      <c r="D1155" t="inlineStr">
        <is>
          <t>VÄSTERNORRLANDS LÄN</t>
        </is>
      </c>
      <c r="E1155" t="inlineStr">
        <is>
          <t>ÖRNSKÖLDSVIK</t>
        </is>
      </c>
      <c r="G1155" t="n">
        <v>20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44105-2025</t>
        </is>
      </c>
      <c r="B1156" s="1" t="n">
        <v>45915.57025462963</v>
      </c>
      <c r="C1156" s="1" t="n">
        <v>46137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44123-2025</t>
        </is>
      </c>
      <c r="B1157" s="1" t="n">
        <v>45915.57984953704</v>
      </c>
      <c r="C1157" s="1" t="n">
        <v>46137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59334-2022</t>
        </is>
      </c>
      <c r="B1158" s="1" t="n">
        <v>44904.65364583334</v>
      </c>
      <c r="C1158" s="1" t="n">
        <v>46137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55643-2022</t>
        </is>
      </c>
      <c r="B1159" s="1" t="n">
        <v>44888</v>
      </c>
      <c r="C1159" s="1" t="n">
        <v>46137</v>
      </c>
      <c r="D1159" t="inlineStr">
        <is>
          <t>VÄSTERNORRLANDS LÄN</t>
        </is>
      </c>
      <c r="E1159" t="inlineStr">
        <is>
          <t>ÖRNSKÖLDSVIK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48486-2023</t>
        </is>
      </c>
      <c r="B1160" s="1" t="n">
        <v>45206</v>
      </c>
      <c r="C1160" s="1" t="n">
        <v>46137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5849-2024</t>
        </is>
      </c>
      <c r="B1161" s="1" t="n">
        <v>45335</v>
      </c>
      <c r="C1161" s="1" t="n">
        <v>46137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44314-2025</t>
        </is>
      </c>
      <c r="B1162" s="1" t="n">
        <v>45915</v>
      </c>
      <c r="C1162" s="1" t="n">
        <v>46137</v>
      </c>
      <c r="D1162" t="inlineStr">
        <is>
          <t>VÄSTERNORRLANDS LÄN</t>
        </is>
      </c>
      <c r="E1162" t="inlineStr">
        <is>
          <t>ÖRNSKÖLDSVIK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48523-2023</t>
        </is>
      </c>
      <c r="B1163" s="1" t="n">
        <v>45208.35728009259</v>
      </c>
      <c r="C1163" s="1" t="n">
        <v>46137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43696-2025</t>
        </is>
      </c>
      <c r="B1164" s="1" t="n">
        <v>45912.39538194444</v>
      </c>
      <c r="C1164" s="1" t="n">
        <v>46137</v>
      </c>
      <c r="D1164" t="inlineStr">
        <is>
          <t>VÄSTERNORRLANDS LÄN</t>
        </is>
      </c>
      <c r="E1164" t="inlineStr">
        <is>
          <t>ÖRNSKÖLDSVIK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20097-2022</t>
        </is>
      </c>
      <c r="B1165" s="1" t="n">
        <v>44698.32898148148</v>
      </c>
      <c r="C1165" s="1" t="n">
        <v>46137</v>
      </c>
      <c r="D1165" t="inlineStr">
        <is>
          <t>VÄSTERNORRLANDS LÄN</t>
        </is>
      </c>
      <c r="E1165" t="inlineStr">
        <is>
          <t>ÖRNSKÖLDSVIK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46350-2024</t>
        </is>
      </c>
      <c r="B1166" s="1" t="n">
        <v>45582.34105324074</v>
      </c>
      <c r="C1166" s="1" t="n">
        <v>46137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28546-2024</t>
        </is>
      </c>
      <c r="B1167" s="1" t="n">
        <v>45478.35644675926</v>
      </c>
      <c r="C1167" s="1" t="n">
        <v>46137</v>
      </c>
      <c r="D1167" t="inlineStr">
        <is>
          <t>VÄSTERNORRLANDS LÄN</t>
        </is>
      </c>
      <c r="E1167" t="inlineStr">
        <is>
          <t>ÖRNSKÖLDSVIK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61251-2023</t>
        </is>
      </c>
      <c r="B1168" s="1" t="n">
        <v>45264.47675925926</v>
      </c>
      <c r="C1168" s="1" t="n">
        <v>46137</v>
      </c>
      <c r="D1168" t="inlineStr">
        <is>
          <t>VÄSTERNORRLANDS LÄN</t>
        </is>
      </c>
      <c r="E1168" t="inlineStr">
        <is>
          <t>ÖRNSKÖLDSVIK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44161-2025</t>
        </is>
      </c>
      <c r="B1169" s="1" t="n">
        <v>45915.59734953703</v>
      </c>
      <c r="C1169" s="1" t="n">
        <v>46137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61297-2023</t>
        </is>
      </c>
      <c r="B1170" s="1" t="n">
        <v>45261</v>
      </c>
      <c r="C1170" s="1" t="n">
        <v>46137</v>
      </c>
      <c r="D1170" t="inlineStr">
        <is>
          <t>VÄSTERNORRLANDS LÄN</t>
        </is>
      </c>
      <c r="E1170" t="inlineStr">
        <is>
          <t>ÖRNSKÖLDSVIK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44222-2025</t>
        </is>
      </c>
      <c r="B1171" s="1" t="n">
        <v>45915.63806712963</v>
      </c>
      <c r="C1171" s="1" t="n">
        <v>46137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43744-2025</t>
        </is>
      </c>
      <c r="B1172" s="1" t="n">
        <v>45912.45766203704</v>
      </c>
      <c r="C1172" s="1" t="n">
        <v>46137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43810-2025</t>
        </is>
      </c>
      <c r="B1173" s="1" t="n">
        <v>45912.58195601852</v>
      </c>
      <c r="C1173" s="1" t="n">
        <v>46137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42048-2022</t>
        </is>
      </c>
      <c r="B1174" s="1" t="n">
        <v>44830.49101851852</v>
      </c>
      <c r="C1174" s="1" t="n">
        <v>46137</v>
      </c>
      <c r="D1174" t="inlineStr">
        <is>
          <t>VÄSTERNORRLANDS LÄN</t>
        </is>
      </c>
      <c r="E1174" t="inlineStr">
        <is>
          <t>ÖRNSKÖLDSVIK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56217-2024</t>
        </is>
      </c>
      <c r="B1175" s="1" t="n">
        <v>45624</v>
      </c>
      <c r="C1175" s="1" t="n">
        <v>46137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10598-2025</t>
        </is>
      </c>
      <c r="B1176" s="1" t="n">
        <v>45721.58021990741</v>
      </c>
      <c r="C1176" s="1" t="n">
        <v>46137</v>
      </c>
      <c r="D1176" t="inlineStr">
        <is>
          <t>VÄSTERNORRLANDS LÄN</t>
        </is>
      </c>
      <c r="E1176" t="inlineStr">
        <is>
          <t>ÖRNSKÖLDSVIK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43884-2025</t>
        </is>
      </c>
      <c r="B1177" s="1" t="n">
        <v>45912</v>
      </c>
      <c r="C1177" s="1" t="n">
        <v>46137</v>
      </c>
      <c r="D1177" t="inlineStr">
        <is>
          <t>VÄSTERNORRLANDS LÄN</t>
        </is>
      </c>
      <c r="E1177" t="inlineStr">
        <is>
          <t>ÖRNSKÖLDSVIK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43650-2025</t>
        </is>
      </c>
      <c r="B1178" s="1" t="n">
        <v>45912.32196759259</v>
      </c>
      <c r="C1178" s="1" t="n">
        <v>46137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43927-2025</t>
        </is>
      </c>
      <c r="B1179" s="1" t="n">
        <v>45915.32164351852</v>
      </c>
      <c r="C1179" s="1" t="n">
        <v>46137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63732-2023</t>
        </is>
      </c>
      <c r="B1180" s="1" t="n">
        <v>45277</v>
      </c>
      <c r="C1180" s="1" t="n">
        <v>46137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Övriga Aktiebolag</t>
        </is>
      </c>
      <c r="G1180" t="n">
        <v>21.8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63733-2023</t>
        </is>
      </c>
      <c r="B1181" s="1" t="n">
        <v>45277.74315972222</v>
      </c>
      <c r="C1181" s="1" t="n">
        <v>46137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Övriga Aktiebolag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43818-2025</t>
        </is>
      </c>
      <c r="B1182" s="1" t="n">
        <v>45912.5991087963</v>
      </c>
      <c r="C1182" s="1" t="n">
        <v>46137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44045-2025</t>
        </is>
      </c>
      <c r="B1183" s="1" t="n">
        <v>45915.49804398148</v>
      </c>
      <c r="C1183" s="1" t="n">
        <v>46137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44352-2025</t>
        </is>
      </c>
      <c r="B1184" s="1" t="n">
        <v>45915</v>
      </c>
      <c r="C1184" s="1" t="n">
        <v>46137</v>
      </c>
      <c r="D1184" t="inlineStr">
        <is>
          <t>VÄSTERNORRLANDS LÄN</t>
        </is>
      </c>
      <c r="E1184" t="inlineStr">
        <is>
          <t>ÖRNSKÖLDSVIK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44358-2025</t>
        </is>
      </c>
      <c r="B1185" s="1" t="n">
        <v>45915</v>
      </c>
      <c r="C1185" s="1" t="n">
        <v>46137</v>
      </c>
      <c r="D1185" t="inlineStr">
        <is>
          <t>VÄSTERNORRLANDS LÄN</t>
        </is>
      </c>
      <c r="E1185" t="inlineStr">
        <is>
          <t>ÖRNSKÖLDSVIK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43737-2025</t>
        </is>
      </c>
      <c r="B1186" s="1" t="n">
        <v>45912.45002314815</v>
      </c>
      <c r="C1186" s="1" t="n">
        <v>46137</v>
      </c>
      <c r="D1186" t="inlineStr">
        <is>
          <t>VÄSTERNORRLANDS LÄN</t>
        </is>
      </c>
      <c r="E1186" t="inlineStr">
        <is>
          <t>ÖRNSKÖLDSVIK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43751-2025</t>
        </is>
      </c>
      <c r="B1187" s="1" t="n">
        <v>45912.46769675926</v>
      </c>
      <c r="C1187" s="1" t="n">
        <v>46137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44187-2025</t>
        </is>
      </c>
      <c r="B1188" s="1" t="n">
        <v>45915.61329861111</v>
      </c>
      <c r="C1188" s="1" t="n">
        <v>46137</v>
      </c>
      <c r="D1188" t="inlineStr">
        <is>
          <t>VÄSTERNORRLANDS LÄN</t>
        </is>
      </c>
      <c r="E1188" t="inlineStr">
        <is>
          <t>ÖRNSKÖLDSVIK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43648-2025</t>
        </is>
      </c>
      <c r="B1189" s="1" t="n">
        <v>45912.31762731481</v>
      </c>
      <c r="C1189" s="1" t="n">
        <v>46137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62857-2023</t>
        </is>
      </c>
      <c r="B1190" s="1" t="n">
        <v>45272</v>
      </c>
      <c r="C1190" s="1" t="n">
        <v>46137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43795-2025</t>
        </is>
      </c>
      <c r="B1191" s="1" t="n">
        <v>45912</v>
      </c>
      <c r="C1191" s="1" t="n">
        <v>46137</v>
      </c>
      <c r="D1191" t="inlineStr">
        <is>
          <t>VÄSTERNORRLANDS LÄN</t>
        </is>
      </c>
      <c r="E1191" t="inlineStr">
        <is>
          <t>ÖRNSKÖLDSVIK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43686-2025</t>
        </is>
      </c>
      <c r="B1192" s="1" t="n">
        <v>45912.38262731482</v>
      </c>
      <c r="C1192" s="1" t="n">
        <v>46137</v>
      </c>
      <c r="D1192" t="inlineStr">
        <is>
          <t>VÄSTERNORRLANDS LÄN</t>
        </is>
      </c>
      <c r="E1192" t="inlineStr">
        <is>
          <t>ÖRNSKÖLDSVIK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43716-2025</t>
        </is>
      </c>
      <c r="B1193" s="1" t="n">
        <v>45912.41435185185</v>
      </c>
      <c r="C1193" s="1" t="n">
        <v>46137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40490-2024</t>
        </is>
      </c>
      <c r="B1194" s="1" t="n">
        <v>45555</v>
      </c>
      <c r="C1194" s="1" t="n">
        <v>46137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Kommuner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22380-2025</t>
        </is>
      </c>
      <c r="B1195" s="1" t="n">
        <v>45786.49228009259</v>
      </c>
      <c r="C1195" s="1" t="n">
        <v>46137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44255-2025</t>
        </is>
      </c>
      <c r="B1196" s="1" t="n">
        <v>45915.73341435185</v>
      </c>
      <c r="C1196" s="1" t="n">
        <v>46137</v>
      </c>
      <c r="D1196" t="inlineStr">
        <is>
          <t>VÄSTERNORRLANDS LÄN</t>
        </is>
      </c>
      <c r="E1196" t="inlineStr">
        <is>
          <t>ÖRNSKÖLDSVIK</t>
        </is>
      </c>
      <c r="G1196" t="n">
        <v>8.5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43712-2025</t>
        </is>
      </c>
      <c r="B1197" s="1" t="n">
        <v>45912.40709490741</v>
      </c>
      <c r="C1197" s="1" t="n">
        <v>46137</v>
      </c>
      <c r="D1197" t="inlineStr">
        <is>
          <t>VÄSTERNORRLANDS LÄN</t>
        </is>
      </c>
      <c r="E1197" t="inlineStr">
        <is>
          <t>ÖRNSKÖLDSVIK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49960-2023</t>
        </is>
      </c>
      <c r="B1198" s="1" t="n">
        <v>45215.3856712963</v>
      </c>
      <c r="C1198" s="1" t="n">
        <v>46137</v>
      </c>
      <c r="D1198" t="inlineStr">
        <is>
          <t>VÄSTERNORRLANDS LÄN</t>
        </is>
      </c>
      <c r="E1198" t="inlineStr">
        <is>
          <t>ÖRNSKÖLDSVIK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47752-2023</t>
        </is>
      </c>
      <c r="B1199" s="1" t="n">
        <v>45203.80674768519</v>
      </c>
      <c r="C1199" s="1" t="n">
        <v>46137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31-2024</t>
        </is>
      </c>
      <c r="B1200" s="1" t="n">
        <v>45291</v>
      </c>
      <c r="C1200" s="1" t="n">
        <v>46137</v>
      </c>
      <c r="D1200" t="inlineStr">
        <is>
          <t>VÄSTERNORRLANDS LÄN</t>
        </is>
      </c>
      <c r="E1200" t="inlineStr">
        <is>
          <t>ÖRNSKÖLDSVIK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50262-2023</t>
        </is>
      </c>
      <c r="B1201" s="1" t="n">
        <v>45216.38241898148</v>
      </c>
      <c r="C1201" s="1" t="n">
        <v>46137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22362-2025</t>
        </is>
      </c>
      <c r="B1202" s="1" t="n">
        <v>45786.46815972222</v>
      </c>
      <c r="C1202" s="1" t="n">
        <v>46137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44525-2025</t>
        </is>
      </c>
      <c r="B1203" s="1" t="n">
        <v>45916</v>
      </c>
      <c r="C1203" s="1" t="n">
        <v>46137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44738-2025</t>
        </is>
      </c>
      <c r="B1204" s="1" t="n">
        <v>45917.65997685185</v>
      </c>
      <c r="C1204" s="1" t="n">
        <v>46137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44482-2025</t>
        </is>
      </c>
      <c r="B1205" s="1" t="n">
        <v>45916.64935185185</v>
      </c>
      <c r="C1205" s="1" t="n">
        <v>46137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24661-2024</t>
        </is>
      </c>
      <c r="B1206" s="1" t="n">
        <v>45460.58011574074</v>
      </c>
      <c r="C1206" s="1" t="n">
        <v>46137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44490-2025</t>
        </is>
      </c>
      <c r="B1207" s="1" t="n">
        <v>45916.6590162037</v>
      </c>
      <c r="C1207" s="1" t="n">
        <v>46137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28789-2024</t>
        </is>
      </c>
      <c r="B1208" s="1" t="n">
        <v>45478.61197916666</v>
      </c>
      <c r="C1208" s="1" t="n">
        <v>46137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35619-2024</t>
        </is>
      </c>
      <c r="B1209" s="1" t="n">
        <v>45531</v>
      </c>
      <c r="C1209" s="1" t="n">
        <v>46137</v>
      </c>
      <c r="D1209" t="inlineStr">
        <is>
          <t>VÄSTERNORRLANDS LÄN</t>
        </is>
      </c>
      <c r="E1209" t="inlineStr">
        <is>
          <t>ÖRNSKÖLDSVIK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6119-2024</t>
        </is>
      </c>
      <c r="B1210" s="1" t="n">
        <v>45337</v>
      </c>
      <c r="C1210" s="1" t="n">
        <v>46137</v>
      </c>
      <c r="D1210" t="inlineStr">
        <is>
          <t>VÄSTERNORRLANDS LÄN</t>
        </is>
      </c>
      <c r="E1210" t="inlineStr">
        <is>
          <t>ÖRNSKÖLDSVIK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42813-2024</t>
        </is>
      </c>
      <c r="B1211" s="1" t="n">
        <v>45566.57800925926</v>
      </c>
      <c r="C1211" s="1" t="n">
        <v>46137</v>
      </c>
      <c r="D1211" t="inlineStr">
        <is>
          <t>VÄSTERNORRLANDS LÄN</t>
        </is>
      </c>
      <c r="E1211" t="inlineStr">
        <is>
          <t>ÖRNSKÖLDSVIK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22570-2025</t>
        </is>
      </c>
      <c r="B1212" s="1" t="n">
        <v>45789.36459490741</v>
      </c>
      <c r="C1212" s="1" t="n">
        <v>46137</v>
      </c>
      <c r="D1212" t="inlineStr">
        <is>
          <t>VÄSTERNORRLANDS LÄN</t>
        </is>
      </c>
      <c r="E1212" t="inlineStr">
        <is>
          <t>ÖRNSKÖLDSVIK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44422-2025</t>
        </is>
      </c>
      <c r="B1213" s="1" t="n">
        <v>45916.55469907408</v>
      </c>
      <c r="C1213" s="1" t="n">
        <v>46137</v>
      </c>
      <c r="D1213" t="inlineStr">
        <is>
          <t>VÄSTERNORRLANDS LÄN</t>
        </is>
      </c>
      <c r="E1213" t="inlineStr">
        <is>
          <t>ÖRNSKÖLDSVIK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10700-2023</t>
        </is>
      </c>
      <c r="B1214" s="1" t="n">
        <v>44988.58526620371</v>
      </c>
      <c r="C1214" s="1" t="n">
        <v>46137</v>
      </c>
      <c r="D1214" t="inlineStr">
        <is>
          <t>VÄSTERNORRLANDS LÄN</t>
        </is>
      </c>
      <c r="E1214" t="inlineStr">
        <is>
          <t>ÖRNSKÖLDSVIK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44298-2025</t>
        </is>
      </c>
      <c r="B1215" s="1" t="n">
        <v>45916.36700231482</v>
      </c>
      <c r="C1215" s="1" t="n">
        <v>46137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22338-2025</t>
        </is>
      </c>
      <c r="B1216" s="1" t="n">
        <v>45786.44493055555</v>
      </c>
      <c r="C1216" s="1" t="n">
        <v>46137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44434-2025</t>
        </is>
      </c>
      <c r="B1217" s="1" t="n">
        <v>45916.57939814815</v>
      </c>
      <c r="C1217" s="1" t="n">
        <v>46137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37999-2023</t>
        </is>
      </c>
      <c r="B1218" s="1" t="n">
        <v>45160</v>
      </c>
      <c r="C1218" s="1" t="n">
        <v>46137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44266-2025</t>
        </is>
      </c>
      <c r="B1219" s="1" t="n">
        <v>45916.295625</v>
      </c>
      <c r="C1219" s="1" t="n">
        <v>46137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17386-2022</t>
        </is>
      </c>
      <c r="B1220" s="1" t="n">
        <v>44678.66943287037</v>
      </c>
      <c r="C1220" s="1" t="n">
        <v>46137</v>
      </c>
      <c r="D1220" t="inlineStr">
        <is>
          <t>VÄSTERNORRLANDS LÄN</t>
        </is>
      </c>
      <c r="E1220" t="inlineStr">
        <is>
          <t>ÖRNSKÖLDSVIK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23355-2025</t>
        </is>
      </c>
      <c r="B1221" s="1" t="n">
        <v>45791.6706712963</v>
      </c>
      <c r="C1221" s="1" t="n">
        <v>46137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34342-2024</t>
        </is>
      </c>
      <c r="B1222" s="1" t="n">
        <v>45525.32556712963</v>
      </c>
      <c r="C1222" s="1" t="n">
        <v>46137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44471-2025</t>
        </is>
      </c>
      <c r="B1223" s="1" t="n">
        <v>45916.64369212963</v>
      </c>
      <c r="C1223" s="1" t="n">
        <v>46137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69183-2021</t>
        </is>
      </c>
      <c r="B1224" s="1" t="n">
        <v>44531.32788194445</v>
      </c>
      <c r="C1224" s="1" t="n">
        <v>46137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44566-2025</t>
        </is>
      </c>
      <c r="B1225" s="1" t="n">
        <v>45917.37303240741</v>
      </c>
      <c r="C1225" s="1" t="n">
        <v>46137</v>
      </c>
      <c r="D1225" t="inlineStr">
        <is>
          <t>VÄSTERNORRLANDS LÄN</t>
        </is>
      </c>
      <c r="E1225" t="inlineStr">
        <is>
          <t>ÖRNSKÖLDSVIK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43370-2021</t>
        </is>
      </c>
      <c r="B1226" s="1" t="n">
        <v>44432</v>
      </c>
      <c r="C1226" s="1" t="n">
        <v>46137</v>
      </c>
      <c r="D1226" t="inlineStr">
        <is>
          <t>VÄSTERNORRLANDS LÄN</t>
        </is>
      </c>
      <c r="E1226" t="inlineStr">
        <is>
          <t>ÖRNSKÖLDSVIK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14963-2023</t>
        </is>
      </c>
      <c r="B1227" s="1" t="n">
        <v>45015</v>
      </c>
      <c r="C1227" s="1" t="n">
        <v>46137</v>
      </c>
      <c r="D1227" t="inlineStr">
        <is>
          <t>VÄSTERNORRLANDS LÄN</t>
        </is>
      </c>
      <c r="E1227" t="inlineStr">
        <is>
          <t>ÖRNSKÖLDSVIK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13225-2023</t>
        </is>
      </c>
      <c r="B1228" s="1" t="n">
        <v>45002</v>
      </c>
      <c r="C1228" s="1" t="n">
        <v>46137</v>
      </c>
      <c r="D1228" t="inlineStr">
        <is>
          <t>VÄSTERNORRLANDS LÄN</t>
        </is>
      </c>
      <c r="E1228" t="inlineStr">
        <is>
          <t>ÖRNSKÖLDSVIK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44689-2025</t>
        </is>
      </c>
      <c r="B1229" s="1" t="n">
        <v>45917.59104166667</v>
      </c>
      <c r="C1229" s="1" t="n">
        <v>46137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22806-2021</t>
        </is>
      </c>
      <c r="B1230" s="1" t="n">
        <v>44327</v>
      </c>
      <c r="C1230" s="1" t="n">
        <v>46137</v>
      </c>
      <c r="D1230" t="inlineStr">
        <is>
          <t>VÄSTERNORRLANDS LÄN</t>
        </is>
      </c>
      <c r="E1230" t="inlineStr">
        <is>
          <t>ÖRNSKÖLDSVIK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37058-2023</t>
        </is>
      </c>
      <c r="B1231" s="1" t="n">
        <v>45155.44530092592</v>
      </c>
      <c r="C1231" s="1" t="n">
        <v>46137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45131-2025</t>
        </is>
      </c>
      <c r="B1232" s="1" t="n">
        <v>45919.44180555556</v>
      </c>
      <c r="C1232" s="1" t="n">
        <v>46137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3437-2025</t>
        </is>
      </c>
      <c r="B1233" s="1" t="n">
        <v>45680</v>
      </c>
      <c r="C1233" s="1" t="n">
        <v>46137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14403-2022</t>
        </is>
      </c>
      <c r="B1234" s="1" t="n">
        <v>44652</v>
      </c>
      <c r="C1234" s="1" t="n">
        <v>46137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Kyrkan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44961-2025</t>
        </is>
      </c>
      <c r="B1235" s="1" t="n">
        <v>45918.61648148148</v>
      </c>
      <c r="C1235" s="1" t="n">
        <v>46137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26895-2024</t>
        </is>
      </c>
      <c r="B1236" s="1" t="n">
        <v>45470.66502314815</v>
      </c>
      <c r="C1236" s="1" t="n">
        <v>46137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44892-2025</t>
        </is>
      </c>
      <c r="B1237" s="1" t="n">
        <v>45918.50002314815</v>
      </c>
      <c r="C1237" s="1" t="n">
        <v>46137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60929-2022</t>
        </is>
      </c>
      <c r="B1238" s="1" t="n">
        <v>44908</v>
      </c>
      <c r="C1238" s="1" t="n">
        <v>46137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5507-2025</t>
        </is>
      </c>
      <c r="B1239" s="1" t="n">
        <v>45693.39252314815</v>
      </c>
      <c r="C1239" s="1" t="n">
        <v>46137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23273-2025</t>
        </is>
      </c>
      <c r="B1240" s="1" t="n">
        <v>45791.5646875</v>
      </c>
      <c r="C1240" s="1" t="n">
        <v>46137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45229-2025</t>
        </is>
      </c>
      <c r="B1241" s="1" t="n">
        <v>45919.58902777778</v>
      </c>
      <c r="C1241" s="1" t="n">
        <v>46137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45265-2025</t>
        </is>
      </c>
      <c r="B1242" s="1" t="n">
        <v>45919.65136574074</v>
      </c>
      <c r="C1242" s="1" t="n">
        <v>46137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42944-2024</t>
        </is>
      </c>
      <c r="B1243" s="1" t="n">
        <v>45567</v>
      </c>
      <c r="C1243" s="1" t="n">
        <v>46137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32482-2022</t>
        </is>
      </c>
      <c r="B1244" s="1" t="n">
        <v>44782</v>
      </c>
      <c r="C1244" s="1" t="n">
        <v>46137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45951-2024</t>
        </is>
      </c>
      <c r="B1245" s="1" t="n">
        <v>45580.55883101852</v>
      </c>
      <c r="C1245" s="1" t="n">
        <v>46137</v>
      </c>
      <c r="D1245" t="inlineStr">
        <is>
          <t>VÄSTERNORRLANDS LÄN</t>
        </is>
      </c>
      <c r="E1245" t="inlineStr">
        <is>
          <t>ÖRNSKÖLDSVIK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50878-2023</t>
        </is>
      </c>
      <c r="B1246" s="1" t="n">
        <v>45218</v>
      </c>
      <c r="C1246" s="1" t="n">
        <v>46137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45220-2025</t>
        </is>
      </c>
      <c r="B1247" s="1" t="n">
        <v>45919.57651620371</v>
      </c>
      <c r="C1247" s="1" t="n">
        <v>46137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45098-2025</t>
        </is>
      </c>
      <c r="B1248" s="1" t="n">
        <v>45919.39232638889</v>
      </c>
      <c r="C1248" s="1" t="n">
        <v>46137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44801-2025</t>
        </is>
      </c>
      <c r="B1249" s="1" t="n">
        <v>45918.35645833334</v>
      </c>
      <c r="C1249" s="1" t="n">
        <v>46137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28547-2024</t>
        </is>
      </c>
      <c r="B1250" s="1" t="n">
        <v>45478.35789351852</v>
      </c>
      <c r="C1250" s="1" t="n">
        <v>46137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44830-2025</t>
        </is>
      </c>
      <c r="B1251" s="1" t="n">
        <v>45918.4020949074</v>
      </c>
      <c r="C1251" s="1" t="n">
        <v>46137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22858-2025</t>
        </is>
      </c>
      <c r="B1252" s="1" t="n">
        <v>45790.34915509259</v>
      </c>
      <c r="C1252" s="1" t="n">
        <v>46137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23352-2025</t>
        </is>
      </c>
      <c r="B1253" s="1" t="n">
        <v>45791.66548611111</v>
      </c>
      <c r="C1253" s="1" t="n">
        <v>46137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30460-2024</t>
        </is>
      </c>
      <c r="B1254" s="1" t="n">
        <v>45491.945625</v>
      </c>
      <c r="C1254" s="1" t="n">
        <v>46137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58120-2023</t>
        </is>
      </c>
      <c r="B1255" s="1" t="n">
        <v>45249.92644675926</v>
      </c>
      <c r="C1255" s="1" t="n">
        <v>46137</v>
      </c>
      <c r="D1255" t="inlineStr">
        <is>
          <t>VÄSTERNORRLANDS LÄN</t>
        </is>
      </c>
      <c r="E1255" t="inlineStr">
        <is>
          <t>ÖRNSKÖLDSVIK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30894-2024</t>
        </is>
      </c>
      <c r="B1256" s="1" t="n">
        <v>45498.44967592593</v>
      </c>
      <c r="C1256" s="1" t="n">
        <v>46137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44798-2025</t>
        </is>
      </c>
      <c r="B1257" s="1" t="n">
        <v>45918.35047453704</v>
      </c>
      <c r="C1257" s="1" t="n">
        <v>46137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43104-2025</t>
        </is>
      </c>
      <c r="B1258" s="1" t="n">
        <v>45909</v>
      </c>
      <c r="C1258" s="1" t="n">
        <v>46137</v>
      </c>
      <c r="D1258" t="inlineStr">
        <is>
          <t>VÄSTERNORRLANDS LÄN</t>
        </is>
      </c>
      <c r="E1258" t="inlineStr">
        <is>
          <t>ÖRNSKÖLDSVIK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44905-2025</t>
        </is>
      </c>
      <c r="B1259" s="1" t="n">
        <v>45918.53159722222</v>
      </c>
      <c r="C1259" s="1" t="n">
        <v>46137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37390-2025</t>
        </is>
      </c>
      <c r="B1260" s="1" t="n">
        <v>45877</v>
      </c>
      <c r="C1260" s="1" t="n">
        <v>46137</v>
      </c>
      <c r="D1260" t="inlineStr">
        <is>
          <t>VÄSTERNORRLANDS LÄN</t>
        </is>
      </c>
      <c r="E1260" t="inlineStr">
        <is>
          <t>ÖRNSKÖLDSVIK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52573-2023</t>
        </is>
      </c>
      <c r="B1261" s="1" t="n">
        <v>45225.58909722222</v>
      </c>
      <c r="C1261" s="1" t="n">
        <v>46137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23433-2023</t>
        </is>
      </c>
      <c r="B1262" s="1" t="n">
        <v>45076.57974537037</v>
      </c>
      <c r="C1262" s="1" t="n">
        <v>46137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44947-2025</t>
        </is>
      </c>
      <c r="B1263" s="1" t="n">
        <v>45918.60491898148</v>
      </c>
      <c r="C1263" s="1" t="n">
        <v>46137</v>
      </c>
      <c r="D1263" t="inlineStr">
        <is>
          <t>VÄSTERNORRLANDS LÄN</t>
        </is>
      </c>
      <c r="E1263" t="inlineStr">
        <is>
          <t>ÖRNSKÖLDSVIK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44952-2025</t>
        </is>
      </c>
      <c r="B1264" s="1" t="n">
        <v>45918.60824074074</v>
      </c>
      <c r="C1264" s="1" t="n">
        <v>46137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57567-2022</t>
        </is>
      </c>
      <c r="B1265" s="1" t="n">
        <v>44896</v>
      </c>
      <c r="C1265" s="1" t="n">
        <v>46137</v>
      </c>
      <c r="D1265" t="inlineStr">
        <is>
          <t>VÄSTERNORRLANDS LÄN</t>
        </is>
      </c>
      <c r="E1265" t="inlineStr">
        <is>
          <t>ÖRNSKÖLDSVIK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49179-2024</t>
        </is>
      </c>
      <c r="B1266" s="1" t="n">
        <v>45595.33508101852</v>
      </c>
      <c r="C1266" s="1" t="n">
        <v>46137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45944-2023</t>
        </is>
      </c>
      <c r="B1267" s="1" t="n">
        <v>45195</v>
      </c>
      <c r="C1267" s="1" t="n">
        <v>46137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9556-2024</t>
        </is>
      </c>
      <c r="B1268" s="1" t="n">
        <v>45360.0352199074</v>
      </c>
      <c r="C1268" s="1" t="n">
        <v>46137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59560-2023</t>
        </is>
      </c>
      <c r="B1269" s="1" t="n">
        <v>45254</v>
      </c>
      <c r="C1269" s="1" t="n">
        <v>46137</v>
      </c>
      <c r="D1269" t="inlineStr">
        <is>
          <t>VÄSTERNORRLANDS LÄN</t>
        </is>
      </c>
      <c r="E1269" t="inlineStr">
        <is>
          <t>ÖRNSKÖLDSVIK</t>
        </is>
      </c>
      <c r="G1269" t="n">
        <v>12.1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59924-2023</t>
        </is>
      </c>
      <c r="B1270" s="1" t="n">
        <v>45257.65327546297</v>
      </c>
      <c r="C1270" s="1" t="n">
        <v>46137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60754-2023</t>
        </is>
      </c>
      <c r="B1271" s="1" t="n">
        <v>45260</v>
      </c>
      <c r="C1271" s="1" t="n">
        <v>46137</v>
      </c>
      <c r="D1271" t="inlineStr">
        <is>
          <t>VÄSTERNORRLANDS LÄN</t>
        </is>
      </c>
      <c r="E1271" t="inlineStr">
        <is>
          <t>ÖRNSKÖLDSVIK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40590-2022</t>
        </is>
      </c>
      <c r="B1272" s="1" t="n">
        <v>44823.82476851852</v>
      </c>
      <c r="C1272" s="1" t="n">
        <v>46137</v>
      </c>
      <c r="D1272" t="inlineStr">
        <is>
          <t>VÄSTERNORRLANDS LÄN</t>
        </is>
      </c>
      <c r="E1272" t="inlineStr">
        <is>
          <t>ÖRNSKÖLDSVIK</t>
        </is>
      </c>
      <c r="G1272" t="n">
        <v>10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45026-2025</t>
        </is>
      </c>
      <c r="B1273" s="1" t="n">
        <v>45918.69408564815</v>
      </c>
      <c r="C1273" s="1" t="n">
        <v>46137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45246-2025</t>
        </is>
      </c>
      <c r="B1274" s="1" t="n">
        <v>45919.60696759259</v>
      </c>
      <c r="C1274" s="1" t="n">
        <v>46137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41394-2023</t>
        </is>
      </c>
      <c r="B1275" s="1" t="n">
        <v>45174</v>
      </c>
      <c r="C1275" s="1" t="n">
        <v>46137</v>
      </c>
      <c r="D1275" t="inlineStr">
        <is>
          <t>VÄSTERNORRLANDS LÄN</t>
        </is>
      </c>
      <c r="E1275" t="inlineStr">
        <is>
          <t>ÖRNSKÖLDSVIK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45250-2025</t>
        </is>
      </c>
      <c r="B1276" s="1" t="n">
        <v>45919.61296296296</v>
      </c>
      <c r="C1276" s="1" t="n">
        <v>46137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45095-2025</t>
        </is>
      </c>
      <c r="B1277" s="1" t="n">
        <v>45919.3859375</v>
      </c>
      <c r="C1277" s="1" t="n">
        <v>46137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60313-2023</t>
        </is>
      </c>
      <c r="B1278" s="1" t="n">
        <v>45258.85435185185</v>
      </c>
      <c r="C1278" s="1" t="n">
        <v>46137</v>
      </c>
      <c r="D1278" t="inlineStr">
        <is>
          <t>VÄSTERNORRLANDS LÄN</t>
        </is>
      </c>
      <c r="E1278" t="inlineStr">
        <is>
          <t>ÖRNSKÖLDSVIK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60319-2023</t>
        </is>
      </c>
      <c r="B1279" s="1" t="n">
        <v>45258.9266087963</v>
      </c>
      <c r="C1279" s="1" t="n">
        <v>46137</v>
      </c>
      <c r="D1279" t="inlineStr">
        <is>
          <t>VÄSTERNORRLANDS LÄN</t>
        </is>
      </c>
      <c r="E1279" t="inlineStr">
        <is>
          <t>ÖRNSKÖLDSVIK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45801-2025</t>
        </is>
      </c>
      <c r="B1280" s="1" t="n">
        <v>45923.57716435185</v>
      </c>
      <c r="C1280" s="1" t="n">
        <v>46137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31540-2024</t>
        </is>
      </c>
      <c r="B1281" s="1" t="n">
        <v>45505</v>
      </c>
      <c r="C1281" s="1" t="n">
        <v>46137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30604-2021</t>
        </is>
      </c>
      <c r="B1282" s="1" t="n">
        <v>44364</v>
      </c>
      <c r="C1282" s="1" t="n">
        <v>46137</v>
      </c>
      <c r="D1282" t="inlineStr">
        <is>
          <t>VÄSTERNORRLANDS LÄN</t>
        </is>
      </c>
      <c r="E1282" t="inlineStr">
        <is>
          <t>ÖRNSKÖLDSVIK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19361-2024</t>
        </is>
      </c>
      <c r="B1283" s="1" t="n">
        <v>45429</v>
      </c>
      <c r="C1283" s="1" t="n">
        <v>46137</v>
      </c>
      <c r="D1283" t="inlineStr">
        <is>
          <t>VÄSTERNORRLANDS LÄN</t>
        </is>
      </c>
      <c r="E1283" t="inlineStr">
        <is>
          <t>ÖRNSKÖLDSVIK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53191-2024</t>
        </is>
      </c>
      <c r="B1284" s="1" t="n">
        <v>45611.75025462963</v>
      </c>
      <c r="C1284" s="1" t="n">
        <v>46137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29795-2022</t>
        </is>
      </c>
      <c r="B1285" s="1" t="n">
        <v>44755</v>
      </c>
      <c r="C1285" s="1" t="n">
        <v>46137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62089-2022</t>
        </is>
      </c>
      <c r="B1286" s="1" t="n">
        <v>44919</v>
      </c>
      <c r="C1286" s="1" t="n">
        <v>46137</v>
      </c>
      <c r="D1286" t="inlineStr">
        <is>
          <t>VÄSTERNORRLANDS LÄN</t>
        </is>
      </c>
      <c r="E1286" t="inlineStr">
        <is>
          <t>ÖRNSKÖLDSVIK</t>
        </is>
      </c>
      <c r="G1286" t="n">
        <v>24.7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45773-2025</t>
        </is>
      </c>
      <c r="B1287" s="1" t="n">
        <v>45923.53688657407</v>
      </c>
      <c r="C1287" s="1" t="n">
        <v>46137</v>
      </c>
      <c r="D1287" t="inlineStr">
        <is>
          <t>VÄSTERNORRLANDS LÄN</t>
        </is>
      </c>
      <c r="E1287" t="inlineStr">
        <is>
          <t>ÖRNSKÖLDSVIK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45817-2025</t>
        </is>
      </c>
      <c r="B1288" s="1" t="n">
        <v>45923.59423611111</v>
      </c>
      <c r="C1288" s="1" t="n">
        <v>46137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45694-2025</t>
        </is>
      </c>
      <c r="B1289" s="1" t="n">
        <v>45923.39024305555</v>
      </c>
      <c r="C1289" s="1" t="n">
        <v>46137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41043-2024</t>
        </is>
      </c>
      <c r="B1290" s="1" t="n">
        <v>45559.36640046296</v>
      </c>
      <c r="C1290" s="1" t="n">
        <v>46137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43304-2024</t>
        </is>
      </c>
      <c r="B1291" s="1" t="n">
        <v>45568.43524305556</v>
      </c>
      <c r="C1291" s="1" t="n">
        <v>46137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45793-2025</t>
        </is>
      </c>
      <c r="B1292" s="1" t="n">
        <v>45923.57356481482</v>
      </c>
      <c r="C1292" s="1" t="n">
        <v>46137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45671-2025</t>
        </is>
      </c>
      <c r="B1293" s="1" t="n">
        <v>45923.35511574074</v>
      </c>
      <c r="C1293" s="1" t="n">
        <v>46137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45653-2025</t>
        </is>
      </c>
      <c r="B1294" s="1" t="n">
        <v>45923.33116898148</v>
      </c>
      <c r="C1294" s="1" t="n">
        <v>46137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45652-2025</t>
        </is>
      </c>
      <c r="B1295" s="1" t="n">
        <v>45923.33097222223</v>
      </c>
      <c r="C1295" s="1" t="n">
        <v>46137</v>
      </c>
      <c r="D1295" t="inlineStr">
        <is>
          <t>VÄSTERNORRLANDS LÄN</t>
        </is>
      </c>
      <c r="E1295" t="inlineStr">
        <is>
          <t>ÖRNSKÖLDSVIK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45772-2025</t>
        </is>
      </c>
      <c r="B1296" s="1" t="n">
        <v>45923.53576388889</v>
      </c>
      <c r="C1296" s="1" t="n">
        <v>46137</v>
      </c>
      <c r="D1296" t="inlineStr">
        <is>
          <t>VÄSTERNORRLANDS LÄN</t>
        </is>
      </c>
      <c r="E1296" t="inlineStr">
        <is>
          <t>ÖRNSKÖLDSVIK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45880-2025</t>
        </is>
      </c>
      <c r="B1297" s="1" t="n">
        <v>45923.6609837963</v>
      </c>
      <c r="C1297" s="1" t="n">
        <v>46137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35761-2024</t>
        </is>
      </c>
      <c r="B1298" s="1" t="n">
        <v>45532.57244212963</v>
      </c>
      <c r="C1298" s="1" t="n">
        <v>46137</v>
      </c>
      <c r="D1298" t="inlineStr">
        <is>
          <t>VÄSTERNORRLANDS LÄN</t>
        </is>
      </c>
      <c r="E1298" t="inlineStr">
        <is>
          <t>ÖRNSKÖLDSVIK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43906-2024</t>
        </is>
      </c>
      <c r="B1299" s="1" t="n">
        <v>45572.42702546297</v>
      </c>
      <c r="C1299" s="1" t="n">
        <v>46137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34796-2023</t>
        </is>
      </c>
      <c r="B1300" s="1" t="n">
        <v>45141.58427083334</v>
      </c>
      <c r="C1300" s="1" t="n">
        <v>46137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69772-2021</t>
        </is>
      </c>
      <c r="B1301" s="1" t="n">
        <v>44532</v>
      </c>
      <c r="C1301" s="1" t="n">
        <v>46137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11050-2023</t>
        </is>
      </c>
      <c r="B1302" s="1" t="n">
        <v>44991</v>
      </c>
      <c r="C1302" s="1" t="n">
        <v>46137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45461-2025</t>
        </is>
      </c>
      <c r="B1303" s="1" t="n">
        <v>45922.49494212963</v>
      </c>
      <c r="C1303" s="1" t="n">
        <v>46137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45532-2025</t>
        </is>
      </c>
      <c r="B1304" s="1" t="n">
        <v>45922.6052199074</v>
      </c>
      <c r="C1304" s="1" t="n">
        <v>46137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23667-2025</t>
        </is>
      </c>
      <c r="B1305" s="1" t="n">
        <v>45792.87087962963</v>
      </c>
      <c r="C1305" s="1" t="n">
        <v>46137</v>
      </c>
      <c r="D1305" t="inlineStr">
        <is>
          <t>VÄSTERNORRLANDS LÄN</t>
        </is>
      </c>
      <c r="E1305" t="inlineStr">
        <is>
          <t>ÖRNSKÖLDSVIK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57123-2024</t>
        </is>
      </c>
      <c r="B1306" s="1" t="n">
        <v>45629.37432870371</v>
      </c>
      <c r="C1306" s="1" t="n">
        <v>46137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45667-2025</t>
        </is>
      </c>
      <c r="B1307" s="1" t="n">
        <v>45923.35010416667</v>
      </c>
      <c r="C1307" s="1" t="n">
        <v>46137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22137-2024</t>
        </is>
      </c>
      <c r="B1308" s="1" t="n">
        <v>45444</v>
      </c>
      <c r="C1308" s="1" t="n">
        <v>46137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45592-2025</t>
        </is>
      </c>
      <c r="B1309" s="1" t="n">
        <v>45922.67767361111</v>
      </c>
      <c r="C1309" s="1" t="n">
        <v>46137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48760-2022</t>
        </is>
      </c>
      <c r="B1310" s="1" t="n">
        <v>44859.58365740741</v>
      </c>
      <c r="C1310" s="1" t="n">
        <v>46137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45451-2025</t>
        </is>
      </c>
      <c r="B1311" s="1" t="n">
        <v>45922.48488425926</v>
      </c>
      <c r="C1311" s="1" t="n">
        <v>46137</v>
      </c>
      <c r="D1311" t="inlineStr">
        <is>
          <t>VÄSTERNORRLANDS LÄN</t>
        </is>
      </c>
      <c r="E1311" t="inlineStr">
        <is>
          <t>ÖRNSKÖLDSVIK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50562-2022</t>
        </is>
      </c>
      <c r="B1312" s="1" t="n">
        <v>44862</v>
      </c>
      <c r="C1312" s="1" t="n">
        <v>46137</v>
      </c>
      <c r="D1312" t="inlineStr">
        <is>
          <t>VÄSTERNORRLANDS LÄN</t>
        </is>
      </c>
      <c r="E1312" t="inlineStr">
        <is>
          <t>ÖRNSKÖLDSVIK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45445-2025</t>
        </is>
      </c>
      <c r="B1313" s="1" t="n">
        <v>45922.48077546297</v>
      </c>
      <c r="C1313" s="1" t="n">
        <v>46137</v>
      </c>
      <c r="D1313" t="inlineStr">
        <is>
          <t>VÄSTERNORRLANDS LÄN</t>
        </is>
      </c>
      <c r="E1313" t="inlineStr">
        <is>
          <t>ÖRNSKÖLDSVIK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23709-2025</t>
        </is>
      </c>
      <c r="B1314" s="1" t="n">
        <v>45793</v>
      </c>
      <c r="C1314" s="1" t="n">
        <v>46137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46146-2025</t>
        </is>
      </c>
      <c r="B1315" s="1" t="n">
        <v>45924.60825231481</v>
      </c>
      <c r="C1315" s="1" t="n">
        <v>46137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46137-2025</t>
        </is>
      </c>
      <c r="B1316" s="1" t="n">
        <v>45924.59915509259</v>
      </c>
      <c r="C1316" s="1" t="n">
        <v>46137</v>
      </c>
      <c r="D1316" t="inlineStr">
        <is>
          <t>VÄSTERNORRLANDS LÄN</t>
        </is>
      </c>
      <c r="E1316" t="inlineStr">
        <is>
          <t>ÖRNSKÖLDSVIK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46264-2025</t>
        </is>
      </c>
      <c r="B1317" s="1" t="n">
        <v>45925.36289351852</v>
      </c>
      <c r="C1317" s="1" t="n">
        <v>46137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35341-2022</t>
        </is>
      </c>
      <c r="B1318" s="1" t="n">
        <v>44798.49653935185</v>
      </c>
      <c r="C1318" s="1" t="n">
        <v>46137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45975-2025</t>
        </is>
      </c>
      <c r="B1319" s="1" t="n">
        <v>45924.36947916666</v>
      </c>
      <c r="C1319" s="1" t="n">
        <v>46137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46030-2025</t>
        </is>
      </c>
      <c r="B1320" s="1" t="n">
        <v>45924.44329861111</v>
      </c>
      <c r="C1320" s="1" t="n">
        <v>46137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23704-2025</t>
        </is>
      </c>
      <c r="B1321" s="1" t="n">
        <v>45792</v>
      </c>
      <c r="C1321" s="1" t="n">
        <v>46137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Kyrkan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39016-2024</t>
        </is>
      </c>
      <c r="B1322" s="1" t="n">
        <v>45548.44478009259</v>
      </c>
      <c r="C1322" s="1" t="n">
        <v>46137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46296-2025</t>
        </is>
      </c>
      <c r="B1323" s="1" t="n">
        <v>45925.39752314815</v>
      </c>
      <c r="C1323" s="1" t="n">
        <v>46137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18148-2023</t>
        </is>
      </c>
      <c r="B1324" s="1" t="n">
        <v>45040.94114583333</v>
      </c>
      <c r="C1324" s="1" t="n">
        <v>46137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45178-2024</t>
        </is>
      </c>
      <c r="B1325" s="1" t="n">
        <v>45575</v>
      </c>
      <c r="C1325" s="1" t="n">
        <v>46137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45979-2025</t>
        </is>
      </c>
      <c r="B1326" s="1" t="n">
        <v>45924.37559027778</v>
      </c>
      <c r="C1326" s="1" t="n">
        <v>46137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21226-2024</t>
        </is>
      </c>
      <c r="B1327" s="1" t="n">
        <v>45440.57903935185</v>
      </c>
      <c r="C1327" s="1" t="n">
        <v>46137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46066-2025</t>
        </is>
      </c>
      <c r="B1328" s="1" t="n">
        <v>45924.48576388889</v>
      </c>
      <c r="C1328" s="1" t="n">
        <v>46137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46352-2025</t>
        </is>
      </c>
      <c r="B1329" s="1" t="n">
        <v>45925.4865162037</v>
      </c>
      <c r="C1329" s="1" t="n">
        <v>46137</v>
      </c>
      <c r="D1329" t="inlineStr">
        <is>
          <t>VÄSTERNORRLANDS LÄN</t>
        </is>
      </c>
      <c r="E1329" t="inlineStr">
        <is>
          <t>ÖRNSKÖLDSVIK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46424-2025</t>
        </is>
      </c>
      <c r="B1330" s="1" t="n">
        <v>45925.60076388889</v>
      </c>
      <c r="C1330" s="1" t="n">
        <v>46137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23864-2025</t>
        </is>
      </c>
      <c r="B1331" s="1" t="n">
        <v>45793.66726851852</v>
      </c>
      <c r="C1331" s="1" t="n">
        <v>46137</v>
      </c>
      <c r="D1331" t="inlineStr">
        <is>
          <t>VÄSTERNORRLANDS LÄN</t>
        </is>
      </c>
      <c r="E1331" t="inlineStr">
        <is>
          <t>ÖRNSKÖLDSVIK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41999-2023</t>
        </is>
      </c>
      <c r="B1332" s="1" t="n">
        <v>45174</v>
      </c>
      <c r="C1332" s="1" t="n">
        <v>46137</v>
      </c>
      <c r="D1332" t="inlineStr">
        <is>
          <t>VÄSTERNORRLANDS LÄN</t>
        </is>
      </c>
      <c r="E1332" t="inlineStr">
        <is>
          <t>ÖRNSKÖLDSVIK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46322-2025</t>
        </is>
      </c>
      <c r="B1333" s="1" t="n">
        <v>45925.44989583334</v>
      </c>
      <c r="C1333" s="1" t="n">
        <v>46137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26055-2024</t>
        </is>
      </c>
      <c r="B1334" s="1" t="n">
        <v>45468.34605324074</v>
      </c>
      <c r="C1334" s="1" t="n">
        <v>46137</v>
      </c>
      <c r="D1334" t="inlineStr">
        <is>
          <t>VÄSTERNORRLANDS LÄN</t>
        </is>
      </c>
      <c r="E1334" t="inlineStr">
        <is>
          <t>ÖRNSKÖLDSVIK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46441-2025</t>
        </is>
      </c>
      <c r="B1335" s="1" t="n">
        <v>45925.64233796296</v>
      </c>
      <c r="C1335" s="1" t="n">
        <v>46137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24418-2025</t>
        </is>
      </c>
      <c r="B1336" s="1" t="n">
        <v>45797.67744212963</v>
      </c>
      <c r="C1336" s="1" t="n">
        <v>46137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46082-2025</t>
        </is>
      </c>
      <c r="B1337" s="1" t="n">
        <v>45924.51133101852</v>
      </c>
      <c r="C1337" s="1" t="n">
        <v>46137</v>
      </c>
      <c r="D1337" t="inlineStr">
        <is>
          <t>VÄSTERNORRLANDS LÄN</t>
        </is>
      </c>
      <c r="E1337" t="inlineStr">
        <is>
          <t>ÖRNSKÖLDSVIK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46129-2025</t>
        </is>
      </c>
      <c r="B1338" s="1" t="n">
        <v>45924.59431712963</v>
      </c>
      <c r="C1338" s="1" t="n">
        <v>46137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46130-2025</t>
        </is>
      </c>
      <c r="B1339" s="1" t="n">
        <v>45924.59452546296</v>
      </c>
      <c r="C1339" s="1" t="n">
        <v>46137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46038-2025</t>
        </is>
      </c>
      <c r="B1340" s="1" t="n">
        <v>45924.44872685185</v>
      </c>
      <c r="C1340" s="1" t="n">
        <v>46137</v>
      </c>
      <c r="D1340" t="inlineStr">
        <is>
          <t>VÄSTERNORRLANDS LÄN</t>
        </is>
      </c>
      <c r="E1340" t="inlineStr">
        <is>
          <t>ÖRNSKÖLDSVIK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46039-2025</t>
        </is>
      </c>
      <c r="B1341" s="1" t="n">
        <v>45924.44880787037</v>
      </c>
      <c r="C1341" s="1" t="n">
        <v>46137</v>
      </c>
      <c r="D1341" t="inlineStr">
        <is>
          <t>VÄSTERNORRLANDS LÄN</t>
        </is>
      </c>
      <c r="E1341" t="inlineStr">
        <is>
          <t>ÖRNSKÖLDSVIK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41710-2023</t>
        </is>
      </c>
      <c r="B1342" s="1" t="n">
        <v>45173</v>
      </c>
      <c r="C1342" s="1" t="n">
        <v>46137</v>
      </c>
      <c r="D1342" t="inlineStr">
        <is>
          <t>VÄSTERNORRLANDS LÄN</t>
        </is>
      </c>
      <c r="E1342" t="inlineStr">
        <is>
          <t>ÖRNSKÖLDSVIK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46068-2025</t>
        </is>
      </c>
      <c r="B1343" s="1" t="n">
        <v>45924.48935185185</v>
      </c>
      <c r="C1343" s="1" t="n">
        <v>46137</v>
      </c>
      <c r="D1343" t="inlineStr">
        <is>
          <t>VÄSTERNORRLANDS LÄN</t>
        </is>
      </c>
      <c r="E1343" t="inlineStr">
        <is>
          <t>ÖRNSKÖLDSVIK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49312-2024</t>
        </is>
      </c>
      <c r="B1344" s="1" t="n">
        <v>45595.55799768519</v>
      </c>
      <c r="C1344" s="1" t="n">
        <v>46137</v>
      </c>
      <c r="D1344" t="inlineStr">
        <is>
          <t>VÄSTERNORRLANDS LÄN</t>
        </is>
      </c>
      <c r="E1344" t="inlineStr">
        <is>
          <t>ÖRNSKÖLDSVIK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24213-2025</t>
        </is>
      </c>
      <c r="B1345" s="1" t="n">
        <v>45797.35148148148</v>
      </c>
      <c r="C1345" s="1" t="n">
        <v>46137</v>
      </c>
      <c r="D1345" t="inlineStr">
        <is>
          <t>VÄSTERNORRLANDS LÄN</t>
        </is>
      </c>
      <c r="E1345" t="inlineStr">
        <is>
          <t>ÖRNSKÖLDSVIK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46107-2025</t>
        </is>
      </c>
      <c r="B1346" s="1" t="n">
        <v>45924.55260416667</v>
      </c>
      <c r="C1346" s="1" t="n">
        <v>46137</v>
      </c>
      <c r="D1346" t="inlineStr">
        <is>
          <t>VÄSTERNORRLANDS LÄN</t>
        </is>
      </c>
      <c r="E1346" t="inlineStr">
        <is>
          <t>ÖRNSKÖLDSVIK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46112-2025</t>
        </is>
      </c>
      <c r="B1347" s="1" t="n">
        <v>45924.56881944444</v>
      </c>
      <c r="C1347" s="1" t="n">
        <v>46137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46048-2025</t>
        </is>
      </c>
      <c r="B1348" s="1" t="n">
        <v>45924</v>
      </c>
      <c r="C1348" s="1" t="n">
        <v>46137</v>
      </c>
      <c r="D1348" t="inlineStr">
        <is>
          <t>VÄSTERNORRLANDS LÄN</t>
        </is>
      </c>
      <c r="E1348" t="inlineStr">
        <is>
          <t>ÖRNSKÖLDSVIK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2488-2022</t>
        </is>
      </c>
      <c r="B1349" s="1" t="n">
        <v>44579.67612268519</v>
      </c>
      <c r="C1349" s="1" t="n">
        <v>46137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46105-2025</t>
        </is>
      </c>
      <c r="B1350" s="1" t="n">
        <v>45924.55243055556</v>
      </c>
      <c r="C1350" s="1" t="n">
        <v>46137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23942-2025</t>
        </is>
      </c>
      <c r="B1351" s="1" t="n">
        <v>45796.33728009259</v>
      </c>
      <c r="C1351" s="1" t="n">
        <v>46137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46734-2025</t>
        </is>
      </c>
      <c r="B1352" s="1" t="n">
        <v>45926.59780092593</v>
      </c>
      <c r="C1352" s="1" t="n">
        <v>46137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34586-2024</t>
        </is>
      </c>
      <c r="B1353" s="1" t="n">
        <v>45526</v>
      </c>
      <c r="C1353" s="1" t="n">
        <v>46137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30972-2023</t>
        </is>
      </c>
      <c r="B1354" s="1" t="n">
        <v>45103</v>
      </c>
      <c r="C1354" s="1" t="n">
        <v>46137</v>
      </c>
      <c r="D1354" t="inlineStr">
        <is>
          <t>VÄSTERNORRLANDS LÄN</t>
        </is>
      </c>
      <c r="E1354" t="inlineStr">
        <is>
          <t>ÖRNSKÖLDSVIK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46910-2025</t>
        </is>
      </c>
      <c r="B1355" s="1" t="n">
        <v>45929.40678240741</v>
      </c>
      <c r="C1355" s="1" t="n">
        <v>46137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45288-2024</t>
        </is>
      </c>
      <c r="B1356" s="1" t="n">
        <v>45576.38902777778</v>
      </c>
      <c r="C1356" s="1" t="n">
        <v>46137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46930-2025</t>
        </is>
      </c>
      <c r="B1357" s="1" t="n">
        <v>45929.44181712963</v>
      </c>
      <c r="C1357" s="1" t="n">
        <v>46137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3439-2025</t>
        </is>
      </c>
      <c r="B1358" s="1" t="n">
        <v>45680.44873842593</v>
      </c>
      <c r="C1358" s="1" t="n">
        <v>46137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46619-2025</t>
        </is>
      </c>
      <c r="B1359" s="1" t="n">
        <v>45926.43356481481</v>
      </c>
      <c r="C1359" s="1" t="n">
        <v>46137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15404-2024</t>
        </is>
      </c>
      <c r="B1360" s="1" t="n">
        <v>45401.34081018518</v>
      </c>
      <c r="C1360" s="1" t="n">
        <v>46137</v>
      </c>
      <c r="D1360" t="inlineStr">
        <is>
          <t>VÄSTERNORRLANDS LÄN</t>
        </is>
      </c>
      <c r="E1360" t="inlineStr">
        <is>
          <t>ÖRNSKÖLDSVIK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27010-2024</t>
        </is>
      </c>
      <c r="B1361" s="1" t="n">
        <v>45471.40217592593</v>
      </c>
      <c r="C1361" s="1" t="n">
        <v>46137</v>
      </c>
      <c r="D1361" t="inlineStr">
        <is>
          <t>VÄSTERNORRLANDS LÄN</t>
        </is>
      </c>
      <c r="E1361" t="inlineStr">
        <is>
          <t>ÖRNSKÖLDSVIK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14671-2024</t>
        </is>
      </c>
      <c r="B1362" s="1" t="n">
        <v>45397</v>
      </c>
      <c r="C1362" s="1" t="n">
        <v>46137</v>
      </c>
      <c r="D1362" t="inlineStr">
        <is>
          <t>VÄSTERNORRLANDS LÄN</t>
        </is>
      </c>
      <c r="E1362" t="inlineStr">
        <is>
          <t>ÖRNSKÖLDSVIK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47066-2025</t>
        </is>
      </c>
      <c r="B1363" s="1" t="n">
        <v>45929.63315972222</v>
      </c>
      <c r="C1363" s="1" t="n">
        <v>46137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46711-2025</t>
        </is>
      </c>
      <c r="B1364" s="1" t="n">
        <v>45926.57376157407</v>
      </c>
      <c r="C1364" s="1" t="n">
        <v>46137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46941-2025</t>
        </is>
      </c>
      <c r="B1365" s="1" t="n">
        <v>45929.45567129629</v>
      </c>
      <c r="C1365" s="1" t="n">
        <v>46137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46895-2025</t>
        </is>
      </c>
      <c r="B1366" s="1" t="n">
        <v>45929.38577546296</v>
      </c>
      <c r="C1366" s="1" t="n">
        <v>46137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14292-2025</t>
        </is>
      </c>
      <c r="B1367" s="1" t="n">
        <v>45740.67795138889</v>
      </c>
      <c r="C1367" s="1" t="n">
        <v>46137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40.7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2107-2025</t>
        </is>
      </c>
      <c r="B1368" s="1" t="n">
        <v>45672</v>
      </c>
      <c r="C1368" s="1" t="n">
        <v>46137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2112-2025</t>
        </is>
      </c>
      <c r="B1369" s="1" t="n">
        <v>45672</v>
      </c>
      <c r="C1369" s="1" t="n">
        <v>46137</v>
      </c>
      <c r="D1369" t="inlineStr">
        <is>
          <t>VÄSTERNORRLANDS LÄN</t>
        </is>
      </c>
      <c r="E1369" t="inlineStr">
        <is>
          <t>ÖRNSKÖLDSVIK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46911-2025</t>
        </is>
      </c>
      <c r="B1370" s="1" t="n">
        <v>45929.41128472222</v>
      </c>
      <c r="C1370" s="1" t="n">
        <v>46137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37384-2024</t>
        </is>
      </c>
      <c r="B1371" s="1" t="n">
        <v>45540</v>
      </c>
      <c r="C1371" s="1" t="n">
        <v>46137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47090-2025</t>
        </is>
      </c>
      <c r="B1372" s="1" t="n">
        <v>45929.64990740741</v>
      </c>
      <c r="C1372" s="1" t="n">
        <v>46137</v>
      </c>
      <c r="D1372" t="inlineStr">
        <is>
          <t>VÄSTERNORRLANDS LÄN</t>
        </is>
      </c>
      <c r="E1372" t="inlineStr">
        <is>
          <t>ÖRNSKÖLDSVIK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63510-2023</t>
        </is>
      </c>
      <c r="B1373" s="1" t="n">
        <v>45274.69578703704</v>
      </c>
      <c r="C1373" s="1" t="n">
        <v>46137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Övriga Aktiebolag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24102-2025</t>
        </is>
      </c>
      <c r="B1374" s="1" t="n">
        <v>45796.59579861111</v>
      </c>
      <c r="C1374" s="1" t="n">
        <v>46137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47053-2025</t>
        </is>
      </c>
      <c r="B1375" s="1" t="n">
        <v>45929.61850694445</v>
      </c>
      <c r="C1375" s="1" t="n">
        <v>46137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58043-2024</t>
        </is>
      </c>
      <c r="B1376" s="1" t="n">
        <v>45631</v>
      </c>
      <c r="C1376" s="1" t="n">
        <v>46137</v>
      </c>
      <c r="D1376" t="inlineStr">
        <is>
          <t>VÄSTERNORRLANDS LÄN</t>
        </is>
      </c>
      <c r="E1376" t="inlineStr">
        <is>
          <t>ÖRNSKÖLDSVIK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24298-2025</t>
        </is>
      </c>
      <c r="B1377" s="1" t="n">
        <v>45797.47481481481</v>
      </c>
      <c r="C1377" s="1" t="n">
        <v>46137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32133-2023</t>
        </is>
      </c>
      <c r="B1378" s="1" t="n">
        <v>45107</v>
      </c>
      <c r="C1378" s="1" t="n">
        <v>46137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2338-2024</t>
        </is>
      </c>
      <c r="B1379" s="1" t="n">
        <v>45310</v>
      </c>
      <c r="C1379" s="1" t="n">
        <v>46137</v>
      </c>
      <c r="D1379" t="inlineStr">
        <is>
          <t>VÄSTERNORRLANDS LÄN</t>
        </is>
      </c>
      <c r="E1379" t="inlineStr">
        <is>
          <t>ÖRNSKÖLDSVIK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55520-2021</t>
        </is>
      </c>
      <c r="B1380" s="1" t="n">
        <v>44475</v>
      </c>
      <c r="C1380" s="1" t="n">
        <v>46137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9.300000000000001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61102-2024</t>
        </is>
      </c>
      <c r="B1381" s="1" t="n">
        <v>45645</v>
      </c>
      <c r="C1381" s="1" t="n">
        <v>46137</v>
      </c>
      <c r="D1381" t="inlineStr">
        <is>
          <t>VÄSTERNORRLANDS LÄN</t>
        </is>
      </c>
      <c r="E1381" t="inlineStr">
        <is>
          <t>ÖRNSKÖLDSVIK</t>
        </is>
      </c>
      <c r="G1381" t="n">
        <v>8.5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18310-2025</t>
        </is>
      </c>
      <c r="B1382" s="1" t="n">
        <v>45762.44278935185</v>
      </c>
      <c r="C1382" s="1" t="n">
        <v>46137</v>
      </c>
      <c r="D1382" t="inlineStr">
        <is>
          <t>VÄSTERNORRLANDS LÄN</t>
        </is>
      </c>
      <c r="E1382" t="inlineStr">
        <is>
          <t>ÖRNSKÖLDSVIK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46630-2024</t>
        </is>
      </c>
      <c r="B1383" s="1" t="n">
        <v>45583.33315972222</v>
      </c>
      <c r="C1383" s="1" t="n">
        <v>46137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46664-2025</t>
        </is>
      </c>
      <c r="B1384" s="1" t="n">
        <v>45926.50829861111</v>
      </c>
      <c r="C1384" s="1" t="n">
        <v>46137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46694-2025</t>
        </is>
      </c>
      <c r="B1385" s="1" t="n">
        <v>45926.55835648148</v>
      </c>
      <c r="C1385" s="1" t="n">
        <v>46137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46709-2025</t>
        </is>
      </c>
      <c r="B1386" s="1" t="n">
        <v>45926.57254629629</v>
      </c>
      <c r="C1386" s="1" t="n">
        <v>46137</v>
      </c>
      <c r="D1386" t="inlineStr">
        <is>
          <t>VÄSTERNORRLANDS LÄN</t>
        </is>
      </c>
      <c r="E1386" t="inlineStr">
        <is>
          <t>ÖRNSKÖLDSVIK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46987-2025</t>
        </is>
      </c>
      <c r="B1387" s="1" t="n">
        <v>45929.53701388889</v>
      </c>
      <c r="C1387" s="1" t="n">
        <v>46137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43169-2024</t>
        </is>
      </c>
      <c r="B1388" s="1" t="n">
        <v>45567.65694444445</v>
      </c>
      <c r="C1388" s="1" t="n">
        <v>46137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47550-2025</t>
        </is>
      </c>
      <c r="B1389" s="1" t="n">
        <v>45931.36900462963</v>
      </c>
      <c r="C1389" s="1" t="n">
        <v>46137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49469-2024</t>
        </is>
      </c>
      <c r="B1390" s="1" t="n">
        <v>45596.33695601852</v>
      </c>
      <c r="C1390" s="1" t="n">
        <v>46137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60337-2022</t>
        </is>
      </c>
      <c r="B1391" s="1" t="n">
        <v>44910</v>
      </c>
      <c r="C1391" s="1" t="n">
        <v>46137</v>
      </c>
      <c r="D1391" t="inlineStr">
        <is>
          <t>VÄSTERNORRLANDS LÄN</t>
        </is>
      </c>
      <c r="E1391" t="inlineStr">
        <is>
          <t>ÖRNSKÖLDSVIK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47590-2025</t>
        </is>
      </c>
      <c r="B1392" s="1" t="n">
        <v>45931.44510416667</v>
      </c>
      <c r="C1392" s="1" t="n">
        <v>46137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47209-2025</t>
        </is>
      </c>
      <c r="B1393" s="1" t="n">
        <v>45930.37652777778</v>
      </c>
      <c r="C1393" s="1" t="n">
        <v>46137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23983-2025</t>
        </is>
      </c>
      <c r="B1394" s="1" t="n">
        <v>45794</v>
      </c>
      <c r="C1394" s="1" t="n">
        <v>46137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47609-2025</t>
        </is>
      </c>
      <c r="B1395" s="1" t="n">
        <v>45931.46905092592</v>
      </c>
      <c r="C1395" s="1" t="n">
        <v>46137</v>
      </c>
      <c r="D1395" t="inlineStr">
        <is>
          <t>VÄSTERNORRLANDS LÄN</t>
        </is>
      </c>
      <c r="E1395" t="inlineStr">
        <is>
          <t>ÖRNSKÖLDSVIK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47274-2025</t>
        </is>
      </c>
      <c r="B1396" s="1" t="n">
        <v>45930.46638888889</v>
      </c>
      <c r="C1396" s="1" t="n">
        <v>46137</v>
      </c>
      <c r="D1396" t="inlineStr">
        <is>
          <t>VÄSTERNORRLANDS LÄN</t>
        </is>
      </c>
      <c r="E1396" t="inlineStr">
        <is>
          <t>ÖRNSKÖLDSVIK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47275-2025</t>
        </is>
      </c>
      <c r="B1397" s="1" t="n">
        <v>45930.468125</v>
      </c>
      <c r="C1397" s="1" t="n">
        <v>46137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47611-2025</t>
        </is>
      </c>
      <c r="B1398" s="1" t="n">
        <v>45931.46918981482</v>
      </c>
      <c r="C1398" s="1" t="n">
        <v>46137</v>
      </c>
      <c r="D1398" t="inlineStr">
        <is>
          <t>VÄSTERNORRLANDS LÄN</t>
        </is>
      </c>
      <c r="E1398" t="inlineStr">
        <is>
          <t>ÖRNSKÖLDSVIK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47266-2025</t>
        </is>
      </c>
      <c r="B1399" s="1" t="n">
        <v>45930.45737268519</v>
      </c>
      <c r="C1399" s="1" t="n">
        <v>46137</v>
      </c>
      <c r="D1399" t="inlineStr">
        <is>
          <t>VÄSTERNORRLANDS LÄN</t>
        </is>
      </c>
      <c r="E1399" t="inlineStr">
        <is>
          <t>ÖRNSKÖLDSVIK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24668-2025</t>
        </is>
      </c>
      <c r="B1400" s="1" t="n">
        <v>45798.6483912037</v>
      </c>
      <c r="C1400" s="1" t="n">
        <v>46137</v>
      </c>
      <c r="D1400" t="inlineStr">
        <is>
          <t>VÄSTERNORRLANDS LÄN</t>
        </is>
      </c>
      <c r="E1400" t="inlineStr">
        <is>
          <t>ÖRNSKÖLDSVIK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10985-2025</t>
        </is>
      </c>
      <c r="B1401" s="1" t="n">
        <v>45723</v>
      </c>
      <c r="C1401" s="1" t="n">
        <v>46137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47610-2025</t>
        </is>
      </c>
      <c r="B1402" s="1" t="n">
        <v>45931.46916666667</v>
      </c>
      <c r="C1402" s="1" t="n">
        <v>46137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47453-2025</t>
        </is>
      </c>
      <c r="B1403" s="1" t="n">
        <v>45930.65217592593</v>
      </c>
      <c r="C1403" s="1" t="n">
        <v>46137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47301-2025</t>
        </is>
      </c>
      <c r="B1404" s="1" t="n">
        <v>45930.50574074074</v>
      </c>
      <c r="C1404" s="1" t="n">
        <v>46137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28239-2022</t>
        </is>
      </c>
      <c r="B1405" s="1" t="n">
        <v>44746</v>
      </c>
      <c r="C1405" s="1" t="n">
        <v>46137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47757-2025</t>
        </is>
      </c>
      <c r="B1406" s="1" t="n">
        <v>45931.66871527778</v>
      </c>
      <c r="C1406" s="1" t="n">
        <v>46137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47565-2025</t>
        </is>
      </c>
      <c r="B1407" s="1" t="n">
        <v>45931.39020833333</v>
      </c>
      <c r="C1407" s="1" t="n">
        <v>46137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47570-2025</t>
        </is>
      </c>
      <c r="B1408" s="1" t="n">
        <v>45931.39334490741</v>
      </c>
      <c r="C1408" s="1" t="n">
        <v>46137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41253-2022</t>
        </is>
      </c>
      <c r="B1409" s="1" t="n">
        <v>44825</v>
      </c>
      <c r="C1409" s="1" t="n">
        <v>46137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25020-2025</t>
        </is>
      </c>
      <c r="B1410" s="1" t="n">
        <v>45799.64543981481</v>
      </c>
      <c r="C1410" s="1" t="n">
        <v>46137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59162-2024</t>
        </is>
      </c>
      <c r="B1411" s="1" t="n">
        <v>45637.47460648148</v>
      </c>
      <c r="C1411" s="1" t="n">
        <v>46137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47715-2025</t>
        </is>
      </c>
      <c r="B1412" s="1" t="n">
        <v>45931.61570601852</v>
      </c>
      <c r="C1412" s="1" t="n">
        <v>46137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5.1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47719-2025</t>
        </is>
      </c>
      <c r="B1413" s="1" t="n">
        <v>45931.62795138889</v>
      </c>
      <c r="C1413" s="1" t="n">
        <v>46137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24931-2025</t>
        </is>
      </c>
      <c r="B1414" s="1" t="n">
        <v>45799.55543981482</v>
      </c>
      <c r="C1414" s="1" t="n">
        <v>46137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52245-2023</t>
        </is>
      </c>
      <c r="B1415" s="1" t="n">
        <v>45224.49927083333</v>
      </c>
      <c r="C1415" s="1" t="n">
        <v>46137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47626-2025</t>
        </is>
      </c>
      <c r="B1416" s="1" t="n">
        <v>45931.4872800926</v>
      </c>
      <c r="C1416" s="1" t="n">
        <v>46137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48282-2025</t>
        </is>
      </c>
      <c r="B1417" s="1" t="n">
        <v>45933.58826388889</v>
      </c>
      <c r="C1417" s="1" t="n">
        <v>46137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48210-2025</t>
        </is>
      </c>
      <c r="B1418" s="1" t="n">
        <v>45933.49079861111</v>
      </c>
      <c r="C1418" s="1" t="n">
        <v>46137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48328-2025</t>
        </is>
      </c>
      <c r="B1419" s="1" t="n">
        <v>45933.63284722222</v>
      </c>
      <c r="C1419" s="1" t="n">
        <v>46137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24544-2025</t>
        </is>
      </c>
      <c r="B1420" s="1" t="n">
        <v>45798.44430555555</v>
      </c>
      <c r="C1420" s="1" t="n">
        <v>46137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47899-2025</t>
        </is>
      </c>
      <c r="B1421" s="1" t="n">
        <v>45932.49662037037</v>
      </c>
      <c r="C1421" s="1" t="n">
        <v>46137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48219-2025</t>
        </is>
      </c>
      <c r="B1422" s="1" t="n">
        <v>45933.5</v>
      </c>
      <c r="C1422" s="1" t="n">
        <v>46137</v>
      </c>
      <c r="D1422" t="inlineStr">
        <is>
          <t>VÄSTERNORRLANDS LÄN</t>
        </is>
      </c>
      <c r="E1422" t="inlineStr">
        <is>
          <t>ÖRNSKÖLDSVIK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24854-2025</t>
        </is>
      </c>
      <c r="B1423" s="1" t="n">
        <v>45799.47362268518</v>
      </c>
      <c r="C1423" s="1" t="n">
        <v>46137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47886-2025</t>
        </is>
      </c>
      <c r="B1424" s="1" t="n">
        <v>45932.46719907408</v>
      </c>
      <c r="C1424" s="1" t="n">
        <v>46137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32392-2024</t>
        </is>
      </c>
      <c r="B1425" s="1" t="n">
        <v>45512.6418287037</v>
      </c>
      <c r="C1425" s="1" t="n">
        <v>46137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53693-2024</t>
        </is>
      </c>
      <c r="B1426" s="1" t="n">
        <v>45615.37758101852</v>
      </c>
      <c r="C1426" s="1" t="n">
        <v>46137</v>
      </c>
      <c r="D1426" t="inlineStr">
        <is>
          <t>VÄSTERNORRLANDS LÄN</t>
        </is>
      </c>
      <c r="E1426" t="inlineStr">
        <is>
          <t>ÖRNSKÖLDSVIK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24880-2025</t>
        </is>
      </c>
      <c r="B1427" s="1" t="n">
        <v>45799.49642361111</v>
      </c>
      <c r="C1427" s="1" t="n">
        <v>46137</v>
      </c>
      <c r="D1427" t="inlineStr">
        <is>
          <t>VÄSTERNORRLANDS LÄN</t>
        </is>
      </c>
      <c r="E1427" t="inlineStr">
        <is>
          <t>ÖRNSKÖLDSVIK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42762-2022</t>
        </is>
      </c>
      <c r="B1428" s="1" t="n">
        <v>44832.48011574074</v>
      </c>
      <c r="C1428" s="1" t="n">
        <v>46137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46707-2025</t>
        </is>
      </c>
      <c r="B1429" s="1" t="n">
        <v>45926.56895833334</v>
      </c>
      <c r="C1429" s="1" t="n">
        <v>46137</v>
      </c>
      <c r="D1429" t="inlineStr">
        <is>
          <t>VÄSTERNORRLANDS LÄN</t>
        </is>
      </c>
      <c r="E1429" t="inlineStr">
        <is>
          <t>ÖRNSKÖLDSVIK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11226-2025</t>
        </is>
      </c>
      <c r="B1430" s="1" t="n">
        <v>45726.34546296296</v>
      </c>
      <c r="C1430" s="1" t="n">
        <v>46137</v>
      </c>
      <c r="D1430" t="inlineStr">
        <is>
          <t>VÄSTERNORRLANDS LÄN</t>
        </is>
      </c>
      <c r="E1430" t="inlineStr">
        <is>
          <t>ÖRNSKÖLDSVIK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47926-2025</t>
        </is>
      </c>
      <c r="B1431" s="1" t="n">
        <v>45932.54571759259</v>
      </c>
      <c r="C1431" s="1" t="n">
        <v>46137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24979-2025</t>
        </is>
      </c>
      <c r="B1432" s="1" t="n">
        <v>45799.59546296296</v>
      </c>
      <c r="C1432" s="1" t="n">
        <v>46137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48222-2025</t>
        </is>
      </c>
      <c r="B1433" s="1" t="n">
        <v>45933.50403935185</v>
      </c>
      <c r="C1433" s="1" t="n">
        <v>46137</v>
      </c>
      <c r="D1433" t="inlineStr">
        <is>
          <t>VÄSTERNORRLANDS LÄN</t>
        </is>
      </c>
      <c r="E1433" t="inlineStr">
        <is>
          <t>ÖRNSKÖLDSVIK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48269-2025</t>
        </is>
      </c>
      <c r="B1434" s="1" t="n">
        <v>45933</v>
      </c>
      <c r="C1434" s="1" t="n">
        <v>46137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25008-2025</t>
        </is>
      </c>
      <c r="B1435" s="1" t="n">
        <v>45799.62751157407</v>
      </c>
      <c r="C1435" s="1" t="n">
        <v>46137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54561-2024</t>
        </is>
      </c>
      <c r="B1436" s="1" t="n">
        <v>45617.63383101852</v>
      </c>
      <c r="C1436" s="1" t="n">
        <v>46137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48322-2025</t>
        </is>
      </c>
      <c r="B1437" s="1" t="n">
        <v>45933.62678240741</v>
      </c>
      <c r="C1437" s="1" t="n">
        <v>46137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47832-2025</t>
        </is>
      </c>
      <c r="B1438" s="1" t="n">
        <v>45932.36141203704</v>
      </c>
      <c r="C1438" s="1" t="n">
        <v>46137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48142-2025</t>
        </is>
      </c>
      <c r="B1439" s="1" t="n">
        <v>45933.38564814815</v>
      </c>
      <c r="C1439" s="1" t="n">
        <v>46137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48215-2025</t>
        </is>
      </c>
      <c r="B1440" s="1" t="n">
        <v>45933.49534722222</v>
      </c>
      <c r="C1440" s="1" t="n">
        <v>46137</v>
      </c>
      <c r="D1440" t="inlineStr">
        <is>
          <t>VÄSTERNORRLANDS LÄN</t>
        </is>
      </c>
      <c r="E1440" t="inlineStr">
        <is>
          <t>ÖRNSKÖLDSVIK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48037-2025</t>
        </is>
      </c>
      <c r="B1441" s="1" t="n">
        <v>45932.65895833333</v>
      </c>
      <c r="C1441" s="1" t="n">
        <v>46137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25510-2025</t>
        </is>
      </c>
      <c r="B1442" s="1" t="n">
        <v>45803.35694444444</v>
      </c>
      <c r="C1442" s="1" t="n">
        <v>46137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25506-2025</t>
        </is>
      </c>
      <c r="B1443" s="1" t="n">
        <v>45803.35229166667</v>
      </c>
      <c r="C1443" s="1" t="n">
        <v>46137</v>
      </c>
      <c r="D1443" t="inlineStr">
        <is>
          <t>VÄSTERNORRLANDS LÄN</t>
        </is>
      </c>
      <c r="E1443" t="inlineStr">
        <is>
          <t>ÖRNSKÖLDSVIK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25544-2025</t>
        </is>
      </c>
      <c r="B1444" s="1" t="n">
        <v>45803.43177083333</v>
      </c>
      <c r="C1444" s="1" t="n">
        <v>46137</v>
      </c>
      <c r="D1444" t="inlineStr">
        <is>
          <t>VÄSTERNORRLANDS LÄN</t>
        </is>
      </c>
      <c r="E1444" t="inlineStr">
        <is>
          <t>ÖRNSKÖLDSVIK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47918-2025</t>
        </is>
      </c>
      <c r="B1445" s="1" t="n">
        <v>45932.52326388889</v>
      </c>
      <c r="C1445" s="1" t="n">
        <v>46137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47952-2025</t>
        </is>
      </c>
      <c r="B1446" s="1" t="n">
        <v>45932.58497685185</v>
      </c>
      <c r="C1446" s="1" t="n">
        <v>46137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23644-2023</t>
        </is>
      </c>
      <c r="B1447" s="1" t="n">
        <v>45072</v>
      </c>
      <c r="C1447" s="1" t="n">
        <v>46137</v>
      </c>
      <c r="D1447" t="inlineStr">
        <is>
          <t>VÄSTERNORRLANDS LÄN</t>
        </is>
      </c>
      <c r="E1447" t="inlineStr">
        <is>
          <t>ÖRNSKÖLDSVIK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47843-2025</t>
        </is>
      </c>
      <c r="B1448" s="1" t="n">
        <v>45932.37553240741</v>
      </c>
      <c r="C1448" s="1" t="n">
        <v>46137</v>
      </c>
      <c r="D1448" t="inlineStr">
        <is>
          <t>VÄSTERNORRLANDS LÄN</t>
        </is>
      </c>
      <c r="E1448" t="inlineStr">
        <is>
          <t>ÖRNSKÖLDSVIK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64412-2023</t>
        </is>
      </c>
      <c r="B1449" s="1" t="n">
        <v>45280</v>
      </c>
      <c r="C1449" s="1" t="n">
        <v>46137</v>
      </c>
      <c r="D1449" t="inlineStr">
        <is>
          <t>VÄSTERNORRLANDS LÄN</t>
        </is>
      </c>
      <c r="E1449" t="inlineStr">
        <is>
          <t>ÖRNSKÖLDSVIK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44343-2024</t>
        </is>
      </c>
      <c r="B1450" s="1" t="n">
        <v>45573</v>
      </c>
      <c r="C1450" s="1" t="n">
        <v>46137</v>
      </c>
      <c r="D1450" t="inlineStr">
        <is>
          <t>VÄSTERNORRLANDS LÄN</t>
        </is>
      </c>
      <c r="E1450" t="inlineStr">
        <is>
          <t>ÖRNSKÖLDSVIK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24483-2025</t>
        </is>
      </c>
      <c r="B1451" s="1" t="n">
        <v>45798</v>
      </c>
      <c r="C1451" s="1" t="n">
        <v>46137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25347-2025</t>
        </is>
      </c>
      <c r="B1452" s="1" t="n">
        <v>45800.61166666666</v>
      </c>
      <c r="C1452" s="1" t="n">
        <v>46137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48473-2025</t>
        </is>
      </c>
      <c r="B1453" s="1" t="n">
        <v>45936.34555555556</v>
      </c>
      <c r="C1453" s="1" t="n">
        <v>46137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48740-2025</t>
        </is>
      </c>
      <c r="B1454" s="1" t="n">
        <v>45936.67753472222</v>
      </c>
      <c r="C1454" s="1" t="n">
        <v>46137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48665-2025</t>
        </is>
      </c>
      <c r="B1455" s="1" t="n">
        <v>45936.57366898148</v>
      </c>
      <c r="C1455" s="1" t="n">
        <v>46137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41589-2024</t>
        </is>
      </c>
      <c r="B1456" s="1" t="n">
        <v>45560.56473379629</v>
      </c>
      <c r="C1456" s="1" t="n">
        <v>46137</v>
      </c>
      <c r="D1456" t="inlineStr">
        <is>
          <t>VÄSTERNORRLANDS LÄN</t>
        </is>
      </c>
      <c r="E1456" t="inlineStr">
        <is>
          <t>ÖRNSKÖLDSVIK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25173-2025</t>
        </is>
      </c>
      <c r="B1457" s="1" t="n">
        <v>45800.44560185185</v>
      </c>
      <c r="C1457" s="1" t="n">
        <v>46137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48485-2025</t>
        </is>
      </c>
      <c r="B1458" s="1" t="n">
        <v>45936.35751157408</v>
      </c>
      <c r="C1458" s="1" t="n">
        <v>46137</v>
      </c>
      <c r="D1458" t="inlineStr">
        <is>
          <t>VÄSTERNORRLANDS LÄN</t>
        </is>
      </c>
      <c r="E1458" t="inlineStr">
        <is>
          <t>ÖRNSKÖLDSVIK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59451-2023</t>
        </is>
      </c>
      <c r="B1459" s="1" t="n">
        <v>45254</v>
      </c>
      <c r="C1459" s="1" t="n">
        <v>46137</v>
      </c>
      <c r="D1459" t="inlineStr">
        <is>
          <t>VÄSTERNORRLANDS LÄN</t>
        </is>
      </c>
      <c r="E1459" t="inlineStr">
        <is>
          <t>ÖRNSKÖLDSVIK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19300-2025</t>
        </is>
      </c>
      <c r="B1460" s="1" t="n">
        <v>45769.56373842592</v>
      </c>
      <c r="C1460" s="1" t="n">
        <v>46137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25381-2025</t>
        </is>
      </c>
      <c r="B1461" s="1" t="n">
        <v>45800.63972222222</v>
      </c>
      <c r="C1461" s="1" t="n">
        <v>46137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25495-2025</t>
        </is>
      </c>
      <c r="B1462" s="1" t="n">
        <v>45803.33739583333</v>
      </c>
      <c r="C1462" s="1" t="n">
        <v>46137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49157-2025</t>
        </is>
      </c>
      <c r="B1463" s="1" t="n">
        <v>45938.34599537037</v>
      </c>
      <c r="C1463" s="1" t="n">
        <v>46137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49172-2025</t>
        </is>
      </c>
      <c r="B1464" s="1" t="n">
        <v>45938.37459490741</v>
      </c>
      <c r="C1464" s="1" t="n">
        <v>46137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48872-2025</t>
        </is>
      </c>
      <c r="B1465" s="1" t="n">
        <v>45937.45410879629</v>
      </c>
      <c r="C1465" s="1" t="n">
        <v>46137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25116-2025</t>
        </is>
      </c>
      <c r="B1466" s="1" t="n">
        <v>45800.36362268519</v>
      </c>
      <c r="C1466" s="1" t="n">
        <v>46137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40889-2023</t>
        </is>
      </c>
      <c r="B1467" s="1" t="n">
        <v>45173.37847222222</v>
      </c>
      <c r="C1467" s="1" t="n">
        <v>46137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49341-2025</t>
        </is>
      </c>
      <c r="B1468" s="1" t="n">
        <v>45938.59512731482</v>
      </c>
      <c r="C1468" s="1" t="n">
        <v>46137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48863-2025</t>
        </is>
      </c>
      <c r="B1469" s="1" t="n">
        <v>45937.44482638889</v>
      </c>
      <c r="C1469" s="1" t="n">
        <v>46137</v>
      </c>
      <c r="D1469" t="inlineStr">
        <is>
          <t>VÄSTERNORRLANDS LÄN</t>
        </is>
      </c>
      <c r="E1469" t="inlineStr">
        <is>
          <t>ÖRNSKÖLDSVIK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25331-2025</t>
        </is>
      </c>
      <c r="B1470" s="1" t="n">
        <v>45800.59371527778</v>
      </c>
      <c r="C1470" s="1" t="n">
        <v>46137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49346-2025</t>
        </is>
      </c>
      <c r="B1471" s="1" t="n">
        <v>45938.60650462963</v>
      </c>
      <c r="C1471" s="1" t="n">
        <v>46137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25126-2025</t>
        </is>
      </c>
      <c r="B1472" s="1" t="n">
        <v>45800.37791666666</v>
      </c>
      <c r="C1472" s="1" t="n">
        <v>46137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25143-2025</t>
        </is>
      </c>
      <c r="B1473" s="1" t="n">
        <v>45800.41621527778</v>
      </c>
      <c r="C1473" s="1" t="n">
        <v>46137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10084-2025</t>
        </is>
      </c>
      <c r="B1474" s="1" t="n">
        <v>45719.56513888889</v>
      </c>
      <c r="C1474" s="1" t="n">
        <v>46137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25998-2025</t>
        </is>
      </c>
      <c r="B1475" s="1" t="n">
        <v>45804.66194444444</v>
      </c>
      <c r="C1475" s="1" t="n">
        <v>46137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49114-2025</t>
        </is>
      </c>
      <c r="B1476" s="1" t="n">
        <v>45937</v>
      </c>
      <c r="C1476" s="1" t="n">
        <v>46137</v>
      </c>
      <c r="D1476" t="inlineStr">
        <is>
          <t>VÄSTERNORRLANDS LÄN</t>
        </is>
      </c>
      <c r="E1476" t="inlineStr">
        <is>
          <t>ÖRNSKÖLDSVIK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64437-2021</t>
        </is>
      </c>
      <c r="B1477" s="1" t="n">
        <v>44511</v>
      </c>
      <c r="C1477" s="1" t="n">
        <v>46137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25781-2025</t>
        </is>
      </c>
      <c r="B1478" s="1" t="n">
        <v>45804.36385416667</v>
      </c>
      <c r="C1478" s="1" t="n">
        <v>46137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49513-2025</t>
        </is>
      </c>
      <c r="B1479" s="1" t="n">
        <v>45939.38412037037</v>
      </c>
      <c r="C1479" s="1" t="n">
        <v>46137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48810-2025</t>
        </is>
      </c>
      <c r="B1480" s="1" t="n">
        <v>45937.35652777777</v>
      </c>
      <c r="C1480" s="1" t="n">
        <v>46137</v>
      </c>
      <c r="D1480" t="inlineStr">
        <is>
          <t>VÄSTERNORRLANDS LÄN</t>
        </is>
      </c>
      <c r="E1480" t="inlineStr">
        <is>
          <t>ÖRNSKÖLDSVIK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48812-2025</t>
        </is>
      </c>
      <c r="B1481" s="1" t="n">
        <v>45937.35930555555</v>
      </c>
      <c r="C1481" s="1" t="n">
        <v>46137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49161-2025</t>
        </is>
      </c>
      <c r="B1482" s="1" t="n">
        <v>45938.35079861111</v>
      </c>
      <c r="C1482" s="1" t="n">
        <v>46137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49162-2025</t>
        </is>
      </c>
      <c r="B1483" s="1" t="n">
        <v>45938.35298611111</v>
      </c>
      <c r="C1483" s="1" t="n">
        <v>46137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26066-2025</t>
        </is>
      </c>
      <c r="B1484" s="1" t="n">
        <v>45805.29252314815</v>
      </c>
      <c r="C1484" s="1" t="n">
        <v>46137</v>
      </c>
      <c r="D1484" t="inlineStr">
        <is>
          <t>VÄSTERNORRLANDS LÄN</t>
        </is>
      </c>
      <c r="E1484" t="inlineStr">
        <is>
          <t>ÖRNSKÖLDSVIK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12504-2025</t>
        </is>
      </c>
      <c r="B1485" s="1" t="n">
        <v>45730.63056712963</v>
      </c>
      <c r="C1485" s="1" t="n">
        <v>46137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48782-2025</t>
        </is>
      </c>
      <c r="B1486" s="1" t="n">
        <v>45937.30981481481</v>
      </c>
      <c r="C1486" s="1" t="n">
        <v>46137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48822-2025</t>
        </is>
      </c>
      <c r="B1487" s="1" t="n">
        <v>45937.37262731481</v>
      </c>
      <c r="C1487" s="1" t="n">
        <v>46137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11286-2025</t>
        </is>
      </c>
      <c r="B1488" s="1" t="n">
        <v>45726</v>
      </c>
      <c r="C1488" s="1" t="n">
        <v>46137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49458-2025</t>
        </is>
      </c>
      <c r="B1489" s="1" t="n">
        <v>45939.29663194445</v>
      </c>
      <c r="C1489" s="1" t="n">
        <v>46137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49473-2025</t>
        </is>
      </c>
      <c r="B1490" s="1" t="n">
        <v>45939.34458333333</v>
      </c>
      <c r="C1490" s="1" t="n">
        <v>46137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38746-2024</t>
        </is>
      </c>
      <c r="B1491" s="1" t="n">
        <v>45547</v>
      </c>
      <c r="C1491" s="1" t="n">
        <v>46137</v>
      </c>
      <c r="D1491" t="inlineStr">
        <is>
          <t>VÄSTERNORRLANDS LÄN</t>
        </is>
      </c>
      <c r="E1491" t="inlineStr">
        <is>
          <t>ÖRNSKÖLDSVIK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49593-2024</t>
        </is>
      </c>
      <c r="B1492" s="1" t="n">
        <v>45596.55513888889</v>
      </c>
      <c r="C1492" s="1" t="n">
        <v>46137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49318-2025</t>
        </is>
      </c>
      <c r="B1493" s="1" t="n">
        <v>45938</v>
      </c>
      <c r="C1493" s="1" t="n">
        <v>46137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Övriga Aktiebolag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49556-2025</t>
        </is>
      </c>
      <c r="B1494" s="1" t="n">
        <v>45939.45039351852</v>
      </c>
      <c r="C1494" s="1" t="n">
        <v>46137</v>
      </c>
      <c r="D1494" t="inlineStr">
        <is>
          <t>VÄSTERNORRLANDS LÄN</t>
        </is>
      </c>
      <c r="E1494" t="inlineStr">
        <is>
          <t>ÖRNSKÖLDSVIK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49222-2025</t>
        </is>
      </c>
      <c r="B1495" s="1" t="n">
        <v>45937</v>
      </c>
      <c r="C1495" s="1" t="n">
        <v>46137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Kyrkan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26175-2025</t>
        </is>
      </c>
      <c r="B1496" s="1" t="n">
        <v>45805.46813657408</v>
      </c>
      <c r="C1496" s="1" t="n">
        <v>46137</v>
      </c>
      <c r="D1496" t="inlineStr">
        <is>
          <t>VÄSTERNORRLANDS LÄN</t>
        </is>
      </c>
      <c r="E1496" t="inlineStr">
        <is>
          <t>ÖRNSKÖLDSVIK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23950-2021</t>
        </is>
      </c>
      <c r="B1497" s="1" t="n">
        <v>44335</v>
      </c>
      <c r="C1497" s="1" t="n">
        <v>46137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42852-2022</t>
        </is>
      </c>
      <c r="B1498" s="1" t="n">
        <v>44832.67887731481</v>
      </c>
      <c r="C1498" s="1" t="n">
        <v>46137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49590-2025</t>
        </is>
      </c>
      <c r="B1499" s="1" t="n">
        <v>45939.52335648148</v>
      </c>
      <c r="C1499" s="1" t="n">
        <v>46137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49314-2025</t>
        </is>
      </c>
      <c r="B1500" s="1" t="n">
        <v>45938.56480324074</v>
      </c>
      <c r="C1500" s="1" t="n">
        <v>46137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49335-2025</t>
        </is>
      </c>
      <c r="B1501" s="1" t="n">
        <v>45938.58600694445</v>
      </c>
      <c r="C1501" s="1" t="n">
        <v>46137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49348-2025</t>
        </is>
      </c>
      <c r="B1502" s="1" t="n">
        <v>45938.60829861111</v>
      </c>
      <c r="C1502" s="1" t="n">
        <v>46137</v>
      </c>
      <c r="D1502" t="inlineStr">
        <is>
          <t>VÄSTERNORRLANDS LÄN</t>
        </is>
      </c>
      <c r="E1502" t="inlineStr">
        <is>
          <t>ÖRNSKÖLDSVIK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36163-2022</t>
        </is>
      </c>
      <c r="B1503" s="1" t="n">
        <v>44803.39111111111</v>
      </c>
      <c r="C1503" s="1" t="n">
        <v>46137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49459-2025</t>
        </is>
      </c>
      <c r="B1504" s="1" t="n">
        <v>45939.3175</v>
      </c>
      <c r="C1504" s="1" t="n">
        <v>46137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61937-2024</t>
        </is>
      </c>
      <c r="B1505" s="1" t="n">
        <v>45653</v>
      </c>
      <c r="C1505" s="1" t="n">
        <v>46137</v>
      </c>
      <c r="D1505" t="inlineStr">
        <is>
          <t>VÄSTERNORRLANDS LÄN</t>
        </is>
      </c>
      <c r="E1505" t="inlineStr">
        <is>
          <t>ÖRNSKÖLDSVIK</t>
        </is>
      </c>
      <c r="G1505" t="n">
        <v>22.5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49372-2025</t>
        </is>
      </c>
      <c r="B1506" s="1" t="n">
        <v>45938.63089120371</v>
      </c>
      <c r="C1506" s="1" t="n">
        <v>46137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8.699999999999999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49387-2025</t>
        </is>
      </c>
      <c r="B1507" s="1" t="n">
        <v>45938.64680555555</v>
      </c>
      <c r="C1507" s="1" t="n">
        <v>46137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49074-2023</t>
        </is>
      </c>
      <c r="B1508" s="1" t="n">
        <v>45210</v>
      </c>
      <c r="C1508" s="1" t="n">
        <v>46137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26334-2025</t>
        </is>
      </c>
      <c r="B1509" s="1" t="n">
        <v>45805.69215277778</v>
      </c>
      <c r="C1509" s="1" t="n">
        <v>46137</v>
      </c>
      <c r="D1509" t="inlineStr">
        <is>
          <t>VÄSTERNORRLANDS LÄN</t>
        </is>
      </c>
      <c r="E1509" t="inlineStr">
        <is>
          <t>ÖRNSKÖLDSVIK</t>
        </is>
      </c>
      <c r="G1509" t="n">
        <v>22.5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48891-2025</t>
        </is>
      </c>
      <c r="B1510" s="1" t="n">
        <v>45937.47082175926</v>
      </c>
      <c r="C1510" s="1" t="n">
        <v>46137</v>
      </c>
      <c r="D1510" t="inlineStr">
        <is>
          <t>VÄSTERNORRLANDS LÄN</t>
        </is>
      </c>
      <c r="E1510" t="inlineStr">
        <is>
          <t>ÖRNSKÖLDSVIK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49204-2025</t>
        </is>
      </c>
      <c r="B1511" s="1" t="n">
        <v>45938.41931712963</v>
      </c>
      <c r="C1511" s="1" t="n">
        <v>46137</v>
      </c>
      <c r="D1511" t="inlineStr">
        <is>
          <t>VÄSTERNORRLANDS LÄN</t>
        </is>
      </c>
      <c r="E1511" t="inlineStr">
        <is>
          <t>ÖRNSKÖLDSVIK</t>
        </is>
      </c>
      <c r="G1511" t="n">
        <v>9.6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49351-2025</t>
        </is>
      </c>
      <c r="B1512" s="1" t="n">
        <v>45938.61270833333</v>
      </c>
      <c r="C1512" s="1" t="n">
        <v>46137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50127-2025</t>
        </is>
      </c>
      <c r="B1513" s="1" t="n">
        <v>45943.55300925926</v>
      </c>
      <c r="C1513" s="1" t="n">
        <v>46137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26453-2025</t>
        </is>
      </c>
      <c r="B1514" s="1" t="n">
        <v>45807.42394675926</v>
      </c>
      <c r="C1514" s="1" t="n">
        <v>46137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57305-2023</t>
        </is>
      </c>
      <c r="B1515" s="1" t="n">
        <v>45245.61770833333</v>
      </c>
      <c r="C1515" s="1" t="n">
        <v>46137</v>
      </c>
      <c r="D1515" t="inlineStr">
        <is>
          <t>VÄSTERNORRLANDS LÄN</t>
        </is>
      </c>
      <c r="E1515" t="inlineStr">
        <is>
          <t>ÖRNSKÖLDSVIK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50017-2025</t>
        </is>
      </c>
      <c r="B1516" s="1" t="n">
        <v>45943.36004629629</v>
      </c>
      <c r="C1516" s="1" t="n">
        <v>46137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26584-2025</t>
        </is>
      </c>
      <c r="B1517" s="1" t="n">
        <v>45807.73172453704</v>
      </c>
      <c r="C1517" s="1" t="n">
        <v>46137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50162-2025</t>
        </is>
      </c>
      <c r="B1518" s="1" t="n">
        <v>45943.58706018519</v>
      </c>
      <c r="C1518" s="1" t="n">
        <v>46137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2972-2023</t>
        </is>
      </c>
      <c r="B1519" s="1" t="n">
        <v>44944</v>
      </c>
      <c r="C1519" s="1" t="n">
        <v>46137</v>
      </c>
      <c r="D1519" t="inlineStr">
        <is>
          <t>VÄSTERNORRLANDS LÄN</t>
        </is>
      </c>
      <c r="E1519" t="inlineStr">
        <is>
          <t>ÖRNSKÖLDSVIK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49911-2025</t>
        </is>
      </c>
      <c r="B1520" s="1" t="n">
        <v>45940.60769675926</v>
      </c>
      <c r="C1520" s="1" t="n">
        <v>46137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26585-2025</t>
        </is>
      </c>
      <c r="B1521" s="1" t="n">
        <v>45807.73674768519</v>
      </c>
      <c r="C1521" s="1" t="n">
        <v>46137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11976-2022</t>
        </is>
      </c>
      <c r="B1522" s="1" t="n">
        <v>44635</v>
      </c>
      <c r="C1522" s="1" t="n">
        <v>46137</v>
      </c>
      <c r="D1522" t="inlineStr">
        <is>
          <t>VÄSTERNORRLANDS LÄN</t>
        </is>
      </c>
      <c r="E1522" t="inlineStr">
        <is>
          <t>ÖRNSKÖLDSVIK</t>
        </is>
      </c>
      <c r="G1522" t="n">
        <v>11.9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50067-2025</t>
        </is>
      </c>
      <c r="B1523" s="1" t="n">
        <v>45943</v>
      </c>
      <c r="C1523" s="1" t="n">
        <v>46137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26435-2025</t>
        </is>
      </c>
      <c r="B1524" s="1" t="n">
        <v>45807.39837962963</v>
      </c>
      <c r="C1524" s="1" t="n">
        <v>46137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44733.43085648148</v>
      </c>
      <c r="C1525" s="1" t="n">
        <v>46137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49719-2025</t>
        </is>
      </c>
      <c r="B1526" s="1" t="n">
        <v>45939.76648148148</v>
      </c>
      <c r="C1526" s="1" t="n">
        <v>46137</v>
      </c>
      <c r="D1526" t="inlineStr">
        <is>
          <t>VÄSTERNORRLANDS LÄN</t>
        </is>
      </c>
      <c r="E1526" t="inlineStr">
        <is>
          <t>ÖRNSKÖLDSVIK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50165-2025</t>
        </is>
      </c>
      <c r="B1527" s="1" t="n">
        <v>45943.5905324074</v>
      </c>
      <c r="C1527" s="1" t="n">
        <v>46137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13242-2025</t>
        </is>
      </c>
      <c r="B1528" s="1" t="n">
        <v>45735.47721064815</v>
      </c>
      <c r="C1528" s="1" t="n">
        <v>46137</v>
      </c>
      <c r="D1528" t="inlineStr">
        <is>
          <t>VÄSTERNORRLANDS LÄN</t>
        </is>
      </c>
      <c r="E1528" t="inlineStr">
        <is>
          <t>ÖRNSKÖLDSVIK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50015-2025</t>
        </is>
      </c>
      <c r="B1529" s="1" t="n">
        <v>45943.35023148148</v>
      </c>
      <c r="C1529" s="1" t="n">
        <v>46137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27026-2025</t>
        </is>
      </c>
      <c r="B1530" s="1" t="n">
        <v>45811.58085648148</v>
      </c>
      <c r="C1530" s="1" t="n">
        <v>46137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55488-2023</t>
        </is>
      </c>
      <c r="B1531" s="1" t="n">
        <v>45238.54039351852</v>
      </c>
      <c r="C1531" s="1" t="n">
        <v>46137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58167-2023</t>
        </is>
      </c>
      <c r="B1532" s="1" t="n">
        <v>45250.39577546297</v>
      </c>
      <c r="C1532" s="1" t="n">
        <v>46137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15071-2024</t>
        </is>
      </c>
      <c r="B1533" s="1" t="n">
        <v>45399.59116898148</v>
      </c>
      <c r="C1533" s="1" t="n">
        <v>46137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49746-2025</t>
        </is>
      </c>
      <c r="B1534" s="1" t="n">
        <v>45940.34447916667</v>
      </c>
      <c r="C1534" s="1" t="n">
        <v>46137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27033-2025</t>
        </is>
      </c>
      <c r="B1535" s="1" t="n">
        <v>45811.5897800926</v>
      </c>
      <c r="C1535" s="1" t="n">
        <v>46137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49908-2025</t>
        </is>
      </c>
      <c r="B1536" s="1" t="n">
        <v>45940.60159722222</v>
      </c>
      <c r="C1536" s="1" t="n">
        <v>46137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26917-2025</t>
        </is>
      </c>
      <c r="B1537" s="1" t="n">
        <v>45811.37417824074</v>
      </c>
      <c r="C1537" s="1" t="n">
        <v>46137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34917-2024</t>
        </is>
      </c>
      <c r="B1538" s="1" t="n">
        <v>45527.43394675926</v>
      </c>
      <c r="C1538" s="1" t="n">
        <v>46137</v>
      </c>
      <c r="D1538" t="inlineStr">
        <is>
          <t>VÄSTERNORRLANDS LÄN</t>
        </is>
      </c>
      <c r="E1538" t="inlineStr">
        <is>
          <t>ÖRNSKÖLDSVIK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27074-2025</t>
        </is>
      </c>
      <c r="B1539" s="1" t="n">
        <v>45811.64569444444</v>
      </c>
      <c r="C1539" s="1" t="n">
        <v>46137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27766-2024</t>
        </is>
      </c>
      <c r="B1540" s="1" t="n">
        <v>45475.51773148148</v>
      </c>
      <c r="C1540" s="1" t="n">
        <v>46137</v>
      </c>
      <c r="D1540" t="inlineStr">
        <is>
          <t>VÄSTERNORRLANDS LÄN</t>
        </is>
      </c>
      <c r="E1540" t="inlineStr">
        <is>
          <t>ÖRNSKÖLDSVIK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50670-2025</t>
        </is>
      </c>
      <c r="B1541" s="1" t="n">
        <v>45945</v>
      </c>
      <c r="C1541" s="1" t="n">
        <v>46137</v>
      </c>
      <c r="D1541" t="inlineStr">
        <is>
          <t>VÄSTERNORRLANDS LÄN</t>
        </is>
      </c>
      <c r="E1541" t="inlineStr">
        <is>
          <t>ÖRNSKÖLDSVIK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26929-2025</t>
        </is>
      </c>
      <c r="B1542" s="1" t="n">
        <v>45811.39710648148</v>
      </c>
      <c r="C1542" s="1" t="n">
        <v>46137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26950-2025</t>
        </is>
      </c>
      <c r="B1543" s="1" t="n">
        <v>45811.43887731482</v>
      </c>
      <c r="C1543" s="1" t="n">
        <v>46137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28338-2024</t>
        </is>
      </c>
      <c r="B1544" s="1" t="n">
        <v>45477</v>
      </c>
      <c r="C1544" s="1" t="n">
        <v>46137</v>
      </c>
      <c r="D1544" t="inlineStr">
        <is>
          <t>VÄSTERNORRLANDS LÄN</t>
        </is>
      </c>
      <c r="E1544" t="inlineStr">
        <is>
          <t>ÖRNSKÖLDSVIK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50597-2025</t>
        </is>
      </c>
      <c r="B1545" s="1" t="n">
        <v>45945.60997685185</v>
      </c>
      <c r="C1545" s="1" t="n">
        <v>46137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27081-2025</t>
        </is>
      </c>
      <c r="B1546" s="1" t="n">
        <v>45811.65398148148</v>
      </c>
      <c r="C1546" s="1" t="n">
        <v>46137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7608-2025</t>
        </is>
      </c>
      <c r="B1547" s="1" t="n">
        <v>45705.67105324074</v>
      </c>
      <c r="C1547" s="1" t="n">
        <v>46137</v>
      </c>
      <c r="D1547" t="inlineStr">
        <is>
          <t>VÄSTERNORRLANDS LÄN</t>
        </is>
      </c>
      <c r="E1547" t="inlineStr">
        <is>
          <t>ÖRNSKÖLDSVIK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50252-2025</t>
        </is>
      </c>
      <c r="B1548" s="1" t="n">
        <v>45944.32577546296</v>
      </c>
      <c r="C1548" s="1" t="n">
        <v>46137</v>
      </c>
      <c r="D1548" t="inlineStr">
        <is>
          <t>VÄSTERNORRLANDS LÄN</t>
        </is>
      </c>
      <c r="E1548" t="inlineStr">
        <is>
          <t>ÖRNSKÖLDSVIK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37939-2024</t>
        </is>
      </c>
      <c r="B1549" s="1" t="n">
        <v>45544</v>
      </c>
      <c r="C1549" s="1" t="n">
        <v>46137</v>
      </c>
      <c r="D1549" t="inlineStr">
        <is>
          <t>VÄSTERNORRLANDS LÄN</t>
        </is>
      </c>
      <c r="E1549" t="inlineStr">
        <is>
          <t>ÖRNSKÖLDSVIK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26865-2025</t>
        </is>
      </c>
      <c r="B1550" s="1" t="n">
        <v>45810</v>
      </c>
      <c r="C1550" s="1" t="n">
        <v>46137</v>
      </c>
      <c r="D1550" t="inlineStr">
        <is>
          <t>VÄSTERNORRLANDS LÄN</t>
        </is>
      </c>
      <c r="E1550" t="inlineStr">
        <is>
          <t>ÖRNSKÖLDSVIK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26891-2025</t>
        </is>
      </c>
      <c r="B1551" s="1" t="n">
        <v>45811.33006944445</v>
      </c>
      <c r="C1551" s="1" t="n">
        <v>46137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6419-2024</t>
        </is>
      </c>
      <c r="B1552" s="1" t="n">
        <v>45338.61928240741</v>
      </c>
      <c r="C1552" s="1" t="n">
        <v>46137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HYPERLINK("https://klasma.github.io/Logging_2284/knärot/A 6419-2024 karta knärot.png", "A 6419-2024")</f>
        <v/>
      </c>
      <c r="V1552">
        <f>HYPERLINK("https://klasma.github.io/Logging_2284/klagomål/A 6419-2024 FSC-klagomål.docx", "A 6419-2024")</f>
        <v/>
      </c>
      <c r="W1552">
        <f>HYPERLINK("https://klasma.github.io/Logging_2284/klagomålsmail/A 6419-2024 FSC-klagomål mail.docx", "A 6419-2024")</f>
        <v/>
      </c>
      <c r="X1552">
        <f>HYPERLINK("https://klasma.github.io/Logging_2284/tillsyn/A 6419-2024 tillsynsbegäran.docx", "A 6419-2024")</f>
        <v/>
      </c>
      <c r="Y1552">
        <f>HYPERLINK("https://klasma.github.io/Logging_2284/tillsynsmail/A 6419-2024 tillsynsbegäran mail.docx", "A 6419-2024")</f>
        <v/>
      </c>
    </row>
    <row r="1553" ht="15" customHeight="1">
      <c r="A1553" t="inlineStr">
        <is>
          <t>A 50469-2025</t>
        </is>
      </c>
      <c r="B1553" s="1" t="n">
        <v>45945.36196759259</v>
      </c>
      <c r="C1553" s="1" t="n">
        <v>46137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30056-2024</t>
        </is>
      </c>
      <c r="B1554" s="1" t="n">
        <v>45488.94775462963</v>
      </c>
      <c r="C1554" s="1" t="n">
        <v>46137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50526-2025</t>
        </is>
      </c>
      <c r="B1555" s="1" t="n">
        <v>45945.46888888889</v>
      </c>
      <c r="C1555" s="1" t="n">
        <v>46137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50602-2025</t>
        </is>
      </c>
      <c r="B1556" s="1" t="n">
        <v>45945.61494212963</v>
      </c>
      <c r="C1556" s="1" t="n">
        <v>46137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50568-2025</t>
        </is>
      </c>
      <c r="B1557" s="1" t="n">
        <v>45945.57202546296</v>
      </c>
      <c r="C1557" s="1" t="n">
        <v>46137</v>
      </c>
      <c r="D1557" t="inlineStr">
        <is>
          <t>VÄSTERNORRLANDS LÄN</t>
        </is>
      </c>
      <c r="E1557" t="inlineStr">
        <is>
          <t>ÖRNSKÖLDSVIK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50466-2025</t>
        </is>
      </c>
      <c r="B1558" s="1" t="n">
        <v>45945.35434027778</v>
      </c>
      <c r="C1558" s="1" t="n">
        <v>46137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50347-2025</t>
        </is>
      </c>
      <c r="B1559" s="1" t="n">
        <v>45944.54627314815</v>
      </c>
      <c r="C1559" s="1" t="n">
        <v>46137</v>
      </c>
      <c r="D1559" t="inlineStr">
        <is>
          <t>VÄSTERNORRLANDS LÄN</t>
        </is>
      </c>
      <c r="E1559" t="inlineStr">
        <is>
          <t>ÖRNSKÖLDSVIK</t>
        </is>
      </c>
      <c r="G1559" t="n">
        <v>16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33129-2022</t>
        </is>
      </c>
      <c r="B1560" s="1" t="n">
        <v>44785</v>
      </c>
      <c r="C1560" s="1" t="n">
        <v>46137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62690-2021</t>
        </is>
      </c>
      <c r="B1561" s="1" t="n">
        <v>44504.32494212963</v>
      </c>
      <c r="C1561" s="1" t="n">
        <v>46137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50573-2025</t>
        </is>
      </c>
      <c r="B1562" s="1" t="n">
        <v>45945.5749537037</v>
      </c>
      <c r="C1562" s="1" t="n">
        <v>46137</v>
      </c>
      <c r="D1562" t="inlineStr">
        <is>
          <t>VÄSTERNORRLANDS LÄN</t>
        </is>
      </c>
      <c r="E1562" t="inlineStr">
        <is>
          <t>ÖRNSKÖLDSVIK</t>
        </is>
      </c>
      <c r="G1562" t="n">
        <v>15.2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26785-2025</t>
        </is>
      </c>
      <c r="B1563" s="1" t="n">
        <v>45810.58408564814</v>
      </c>
      <c r="C1563" s="1" t="n">
        <v>46137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50480-2025</t>
        </is>
      </c>
      <c r="B1564" s="1" t="n">
        <v>45945.36724537037</v>
      </c>
      <c r="C1564" s="1" t="n">
        <v>46137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50382-2025</t>
        </is>
      </c>
      <c r="B1565" s="1" t="n">
        <v>45944.60185185185</v>
      </c>
      <c r="C1565" s="1" t="n">
        <v>46137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50675-2025</t>
        </is>
      </c>
      <c r="B1566" s="1" t="n">
        <v>45945.73092592593</v>
      </c>
      <c r="C1566" s="1" t="n">
        <v>46137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61327-2023</t>
        </is>
      </c>
      <c r="B1567" s="1" t="n">
        <v>45264</v>
      </c>
      <c r="C1567" s="1" t="n">
        <v>46137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50404-2025</t>
        </is>
      </c>
      <c r="B1568" s="1" t="n">
        <v>45944.63642361111</v>
      </c>
      <c r="C1568" s="1" t="n">
        <v>46137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26811-2025</t>
        </is>
      </c>
      <c r="B1569" s="1" t="n">
        <v>45810.6196412037</v>
      </c>
      <c r="C1569" s="1" t="n">
        <v>46137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50285-2025</t>
        </is>
      </c>
      <c r="B1570" s="1" t="n">
        <v>45944.39403935185</v>
      </c>
      <c r="C1570" s="1" t="n">
        <v>46137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27799-2023</t>
        </is>
      </c>
      <c r="B1571" s="1" t="n">
        <v>45098</v>
      </c>
      <c r="C1571" s="1" t="n">
        <v>46137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61305-2023</t>
        </is>
      </c>
      <c r="B1572" s="1" t="n">
        <v>45264.56385416666</v>
      </c>
      <c r="C1572" s="1" t="n">
        <v>46137</v>
      </c>
      <c r="D1572" t="inlineStr">
        <is>
          <t>VÄSTERNORRLANDS LÄN</t>
        </is>
      </c>
      <c r="E1572" t="inlineStr">
        <is>
          <t>ÖRNSKÖLDSVIK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27295-2025</t>
        </is>
      </c>
      <c r="B1573" s="1" t="n">
        <v>45812</v>
      </c>
      <c r="C1573" s="1" t="n">
        <v>46137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Kommuner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27156-2025</t>
        </is>
      </c>
      <c r="B1574" s="1" t="n">
        <v>45812.33208333333</v>
      </c>
      <c r="C1574" s="1" t="n">
        <v>46137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27368-2025</t>
        </is>
      </c>
      <c r="B1575" s="1" t="n">
        <v>45812.64645833334</v>
      </c>
      <c r="C1575" s="1" t="n">
        <v>46137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27539-2025</t>
        </is>
      </c>
      <c r="B1576" s="1" t="n">
        <v>45813.46053240741</v>
      </c>
      <c r="C1576" s="1" t="n">
        <v>46137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27401-2025</t>
        </is>
      </c>
      <c r="B1577" s="1" t="n">
        <v>45812.71431712963</v>
      </c>
      <c r="C1577" s="1" t="n">
        <v>46137</v>
      </c>
      <c r="D1577" t="inlineStr">
        <is>
          <t>VÄSTERNORRLANDS LÄN</t>
        </is>
      </c>
      <c r="E1577" t="inlineStr">
        <is>
          <t>ÖRNSKÖLDSVIK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44522-2022</t>
        </is>
      </c>
      <c r="B1578" s="1" t="n">
        <v>44840</v>
      </c>
      <c r="C1578" s="1" t="n">
        <v>46137</v>
      </c>
      <c r="D1578" t="inlineStr">
        <is>
          <t>VÄSTERNORRLANDS LÄN</t>
        </is>
      </c>
      <c r="E1578" t="inlineStr">
        <is>
          <t>ÖRNSKÖLDSVIK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27619-2025</t>
        </is>
      </c>
      <c r="B1579" s="1" t="n">
        <v>45813.54738425926</v>
      </c>
      <c r="C1579" s="1" t="n">
        <v>46137</v>
      </c>
      <c r="D1579" t="inlineStr">
        <is>
          <t>VÄSTERNORRLANDS LÄN</t>
        </is>
      </c>
      <c r="E1579" t="inlineStr">
        <is>
          <t>ÖRNSKÖLDSVIK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373-2025</t>
        </is>
      </c>
      <c r="B1580" s="1" t="n">
        <v>45661.62334490741</v>
      </c>
      <c r="C1580" s="1" t="n">
        <v>46137</v>
      </c>
      <c r="D1580" t="inlineStr">
        <is>
          <t>VÄSTERNORRLANDS LÄN</t>
        </is>
      </c>
      <c r="E1580" t="inlineStr">
        <is>
          <t>ÖRNSKÖLDSVIK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27294-2025</t>
        </is>
      </c>
      <c r="B1581" s="1" t="n">
        <v>45812.56819444444</v>
      </c>
      <c r="C1581" s="1" t="n">
        <v>46137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11308-2024</t>
        </is>
      </c>
      <c r="B1582" s="1" t="n">
        <v>45371</v>
      </c>
      <c r="C1582" s="1" t="n">
        <v>46137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27893-2025</t>
        </is>
      </c>
      <c r="B1583" s="1" t="n">
        <v>45817.46428240741</v>
      </c>
      <c r="C1583" s="1" t="n">
        <v>46137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9.300000000000001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27941-2025</t>
        </is>
      </c>
      <c r="B1584" s="1" t="n">
        <v>45817.50902777778</v>
      </c>
      <c r="C1584" s="1" t="n">
        <v>46137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28045-2025</t>
        </is>
      </c>
      <c r="B1585" s="1" t="n">
        <v>45817.6527662037</v>
      </c>
      <c r="C1585" s="1" t="n">
        <v>46137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26966-2024</t>
        </is>
      </c>
      <c r="B1586" s="1" t="n">
        <v>45471</v>
      </c>
      <c r="C1586" s="1" t="n">
        <v>46137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70.5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42492-2024</t>
        </is>
      </c>
      <c r="B1587" s="1" t="n">
        <v>45565</v>
      </c>
      <c r="C1587" s="1" t="n">
        <v>46137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27985-2025</t>
        </is>
      </c>
      <c r="B1588" s="1" t="n">
        <v>45817.57872685185</v>
      </c>
      <c r="C1588" s="1" t="n">
        <v>46137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38033-2024</t>
        </is>
      </c>
      <c r="B1589" s="1" t="n">
        <v>45544</v>
      </c>
      <c r="C1589" s="1" t="n">
        <v>46137</v>
      </c>
      <c r="D1589" t="inlineStr">
        <is>
          <t>VÄSTERNORRLANDS LÄN</t>
        </is>
      </c>
      <c r="E1589" t="inlineStr">
        <is>
          <t>ÖRNSKÖLDSVIK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38087-2024</t>
        </is>
      </c>
      <c r="B1590" s="1" t="n">
        <v>45545</v>
      </c>
      <c r="C1590" s="1" t="n">
        <v>46137</v>
      </c>
      <c r="D1590" t="inlineStr">
        <is>
          <t>VÄSTERNORRLANDS LÄN</t>
        </is>
      </c>
      <c r="E1590" t="inlineStr">
        <is>
          <t>ÖRNSKÖLDSVIK</t>
        </is>
      </c>
      <c r="G1590" t="n">
        <v>13.3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61699-2024</t>
        </is>
      </c>
      <c r="B1591" s="1" t="n">
        <v>45647.81799768518</v>
      </c>
      <c r="C1591" s="1" t="n">
        <v>46137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18470-2025</t>
        </is>
      </c>
      <c r="B1592" s="1" t="n">
        <v>45762.74412037037</v>
      </c>
      <c r="C1592" s="1" t="n">
        <v>46137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50904-2025</t>
        </is>
      </c>
      <c r="B1593" s="1" t="n">
        <v>45946.6493287037</v>
      </c>
      <c r="C1593" s="1" t="n">
        <v>46137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15449-2025</t>
        </is>
      </c>
      <c r="B1594" s="1" t="n">
        <v>45747.48884259259</v>
      </c>
      <c r="C1594" s="1" t="n">
        <v>46137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51114-2025</t>
        </is>
      </c>
      <c r="B1595" s="1" t="n">
        <v>45947.51740740741</v>
      </c>
      <c r="C1595" s="1" t="n">
        <v>46137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28509-2025</t>
        </is>
      </c>
      <c r="B1596" s="1" t="n">
        <v>45818</v>
      </c>
      <c r="C1596" s="1" t="n">
        <v>46137</v>
      </c>
      <c r="D1596" t="inlineStr">
        <is>
          <t>VÄSTERNORRLANDS LÄN</t>
        </is>
      </c>
      <c r="E1596" t="inlineStr">
        <is>
          <t>ÖRNSKÖLDSVIK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50710-2025</t>
        </is>
      </c>
      <c r="B1597" s="1" t="n">
        <v>45946.33462962963</v>
      </c>
      <c r="C1597" s="1" t="n">
        <v>46137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28146-2025</t>
        </is>
      </c>
      <c r="B1598" s="1" t="n">
        <v>45818</v>
      </c>
      <c r="C1598" s="1" t="n">
        <v>46137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28480-2025</t>
        </is>
      </c>
      <c r="B1599" s="1" t="n">
        <v>45819</v>
      </c>
      <c r="C1599" s="1" t="n">
        <v>46137</v>
      </c>
      <c r="D1599" t="inlineStr">
        <is>
          <t>VÄSTERNORRLANDS LÄN</t>
        </is>
      </c>
      <c r="E1599" t="inlineStr">
        <is>
          <t>ÖRNSKÖLDSVIK</t>
        </is>
      </c>
      <c r="G1599" t="n">
        <v>13.4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43236-2023</t>
        </is>
      </c>
      <c r="B1600" s="1" t="n">
        <v>45183.47719907408</v>
      </c>
      <c r="C1600" s="1" t="n">
        <v>46137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61244-2022</t>
        </is>
      </c>
      <c r="B1601" s="1" t="n">
        <v>44915.57413194444</v>
      </c>
      <c r="C1601" s="1" t="n">
        <v>46137</v>
      </c>
      <c r="D1601" t="inlineStr">
        <is>
          <t>VÄSTERNORRLANDS LÄN</t>
        </is>
      </c>
      <c r="E1601" t="inlineStr">
        <is>
          <t>ÖRNSKÖLDSVIK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50900-2025</t>
        </is>
      </c>
      <c r="B1602" s="1" t="n">
        <v>45946.64461805556</v>
      </c>
      <c r="C1602" s="1" t="n">
        <v>46137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28527-2025</t>
        </is>
      </c>
      <c r="B1603" s="1" t="n">
        <v>45819.49798611111</v>
      </c>
      <c r="C1603" s="1" t="n">
        <v>46137</v>
      </c>
      <c r="D1603" t="inlineStr">
        <is>
          <t>VÄSTERNORRLANDS LÄN</t>
        </is>
      </c>
      <c r="E1603" t="inlineStr">
        <is>
          <t>ÖRNSKÖLDSVIK</t>
        </is>
      </c>
      <c r="G1603" t="n">
        <v>13.4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102-2025</t>
        </is>
      </c>
      <c r="B1604" s="1" t="n">
        <v>45649</v>
      </c>
      <c r="C1604" s="1" t="n">
        <v>46137</v>
      </c>
      <c r="D1604" t="inlineStr">
        <is>
          <t>VÄSTERNORRLANDS LÄN</t>
        </is>
      </c>
      <c r="E1604" t="inlineStr">
        <is>
          <t>ÖRNSKÖLDSVIK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28166-2025</t>
        </is>
      </c>
      <c r="B1605" s="1" t="n">
        <v>45818.37241898148</v>
      </c>
      <c r="C1605" s="1" t="n">
        <v>46137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51170-2025</t>
        </is>
      </c>
      <c r="B1606" s="1" t="n">
        <v>45947.60293981482</v>
      </c>
      <c r="C1606" s="1" t="n">
        <v>46137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28517-2025</t>
        </is>
      </c>
      <c r="B1607" s="1" t="n">
        <v>45819.48409722222</v>
      </c>
      <c r="C1607" s="1" t="n">
        <v>46137</v>
      </c>
      <c r="D1607" t="inlineStr">
        <is>
          <t>VÄSTERNORRLANDS LÄN</t>
        </is>
      </c>
      <c r="E1607" t="inlineStr">
        <is>
          <t>ÖRNSKÖLDSVIK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55972-2024</t>
        </is>
      </c>
      <c r="B1608" s="1" t="n">
        <v>45623.65508101852</v>
      </c>
      <c r="C1608" s="1" t="n">
        <v>46137</v>
      </c>
      <c r="D1608" t="inlineStr">
        <is>
          <t>VÄSTERNORRLANDS LÄN</t>
        </is>
      </c>
      <c r="E1608" t="inlineStr">
        <is>
          <t>ÖRNSKÖLDSVIK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28371-2025</t>
        </is>
      </c>
      <c r="B1609" s="1" t="n">
        <v>45818</v>
      </c>
      <c r="C1609" s="1" t="n">
        <v>46137</v>
      </c>
      <c r="D1609" t="inlineStr">
        <is>
          <t>VÄSTERNORRLANDS LÄN</t>
        </is>
      </c>
      <c r="E1609" t="inlineStr">
        <is>
          <t>ÖRNSKÖLDSVIK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51008-2025</t>
        </is>
      </c>
      <c r="B1610" s="1" t="n">
        <v>45947.37548611111</v>
      </c>
      <c r="C1610" s="1" t="n">
        <v>46137</v>
      </c>
      <c r="D1610" t="inlineStr">
        <is>
          <t>VÄSTERNORRLANDS LÄN</t>
        </is>
      </c>
      <c r="E1610" t="inlineStr">
        <is>
          <t>ÖRNSKÖLDSVIK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39739-2022</t>
        </is>
      </c>
      <c r="B1611" s="1" t="n">
        <v>44819</v>
      </c>
      <c r="C1611" s="1" t="n">
        <v>46137</v>
      </c>
      <c r="D1611" t="inlineStr">
        <is>
          <t>VÄSTERNORRLANDS LÄN</t>
        </is>
      </c>
      <c r="E1611" t="inlineStr">
        <is>
          <t>ÖRNSKÖLDSVIK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51229-2025</t>
        </is>
      </c>
      <c r="B1612" s="1" t="n">
        <v>45947.66895833334</v>
      </c>
      <c r="C1612" s="1" t="n">
        <v>46137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28501-2025</t>
        </is>
      </c>
      <c r="B1613" s="1" t="n">
        <v>45819.47229166667</v>
      </c>
      <c r="C1613" s="1" t="n">
        <v>46137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28513-2025</t>
        </is>
      </c>
      <c r="B1614" s="1" t="n">
        <v>45819.48123842593</v>
      </c>
      <c r="C1614" s="1" t="n">
        <v>46137</v>
      </c>
      <c r="D1614" t="inlineStr">
        <is>
          <t>VÄSTERNORRLANDS LÄN</t>
        </is>
      </c>
      <c r="E1614" t="inlineStr">
        <is>
          <t>ÖRNSKÖLDSVIK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51004-2025</t>
        </is>
      </c>
      <c r="B1615" s="1" t="n">
        <v>45947.36502314815</v>
      </c>
      <c r="C1615" s="1" t="n">
        <v>46137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42347-2023</t>
        </is>
      </c>
      <c r="B1616" s="1" t="n">
        <v>45180</v>
      </c>
      <c r="C1616" s="1" t="n">
        <v>46137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28983-2025</t>
        </is>
      </c>
      <c r="B1617" s="1" t="n">
        <v>45821.36771990741</v>
      </c>
      <c r="C1617" s="1" t="n">
        <v>46137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59485-2024</t>
        </is>
      </c>
      <c r="B1618" s="1" t="n">
        <v>45638.5315625</v>
      </c>
      <c r="C1618" s="1" t="n">
        <v>46137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62636-2021</t>
        </is>
      </c>
      <c r="B1619" s="1" t="n">
        <v>44503</v>
      </c>
      <c r="C1619" s="1" t="n">
        <v>46137</v>
      </c>
      <c r="D1619" t="inlineStr">
        <is>
          <t>VÄSTERNORRLANDS LÄN</t>
        </is>
      </c>
      <c r="E1619" t="inlineStr">
        <is>
          <t>ÖRNSKÖLDSVIK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68324-2021</t>
        </is>
      </c>
      <c r="B1620" s="1" t="n">
        <v>44526.96865740741</v>
      </c>
      <c r="C1620" s="1" t="n">
        <v>46137</v>
      </c>
      <c r="D1620" t="inlineStr">
        <is>
          <t>VÄSTERNORRLANDS LÄN</t>
        </is>
      </c>
      <c r="E1620" t="inlineStr">
        <is>
          <t>ÖRNSKÖLDSVIK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14201-2023</t>
        </is>
      </c>
      <c r="B1621" s="1" t="n">
        <v>45009</v>
      </c>
      <c r="C1621" s="1" t="n">
        <v>46137</v>
      </c>
      <c r="D1621" t="inlineStr">
        <is>
          <t>VÄSTERNORRLANDS LÄN</t>
        </is>
      </c>
      <c r="E1621" t="inlineStr">
        <is>
          <t>ÖRNSKÖLDSVIK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51562-2025</t>
        </is>
      </c>
      <c r="B1622" s="1" t="n">
        <v>45951.26741898148</v>
      </c>
      <c r="C1622" s="1" t="n">
        <v>46137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51784-2025</t>
        </is>
      </c>
      <c r="B1623" s="1" t="n">
        <v>45951.67762731481</v>
      </c>
      <c r="C1623" s="1" t="n">
        <v>46137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7.6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28883-2025</t>
        </is>
      </c>
      <c r="B1624" s="1" t="n">
        <v>45820.62614583333</v>
      </c>
      <c r="C1624" s="1" t="n">
        <v>46137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51387-2025</t>
        </is>
      </c>
      <c r="B1625" s="1" t="n">
        <v>45950.46667824074</v>
      </c>
      <c r="C1625" s="1" t="n">
        <v>46137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34632-2023</t>
        </is>
      </c>
      <c r="B1626" s="1" t="n">
        <v>45140.63787037037</v>
      </c>
      <c r="C1626" s="1" t="n">
        <v>46137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51299-2025</t>
        </is>
      </c>
      <c r="B1627" s="1" t="n">
        <v>45950.36258101852</v>
      </c>
      <c r="C1627" s="1" t="n">
        <v>46137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51751-2025</t>
        </is>
      </c>
      <c r="B1628" s="1" t="n">
        <v>45951</v>
      </c>
      <c r="C1628" s="1" t="n">
        <v>46137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51761-2025</t>
        </is>
      </c>
      <c r="B1629" s="1" t="n">
        <v>45951.63597222222</v>
      </c>
      <c r="C1629" s="1" t="n">
        <v>46137</v>
      </c>
      <c r="D1629" t="inlineStr">
        <is>
          <t>VÄSTERNORRLANDS LÄN</t>
        </is>
      </c>
      <c r="E1629" t="inlineStr">
        <is>
          <t>ÖRNSKÖLDSVIK</t>
        </is>
      </c>
      <c r="G1629" t="n">
        <v>8.5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51713-2025</t>
        </is>
      </c>
      <c r="B1630" s="1" t="n">
        <v>45951.5744212963</v>
      </c>
      <c r="C1630" s="1" t="n">
        <v>46137</v>
      </c>
      <c r="D1630" t="inlineStr">
        <is>
          <t>VÄSTERNORRLANDS LÄN</t>
        </is>
      </c>
      <c r="E1630" t="inlineStr">
        <is>
          <t>ÖRNSKÖLDSVIK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51749-2025</t>
        </is>
      </c>
      <c r="B1631" s="1" t="n">
        <v>45951.61526620371</v>
      </c>
      <c r="C1631" s="1" t="n">
        <v>46137</v>
      </c>
      <c r="D1631" t="inlineStr">
        <is>
          <t>VÄSTERNORRLANDS LÄN</t>
        </is>
      </c>
      <c r="E1631" t="inlineStr">
        <is>
          <t>ÖRNSKÖLDSVIK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28788-2025</t>
        </is>
      </c>
      <c r="B1632" s="1" t="n">
        <v>45820.46898148148</v>
      </c>
      <c r="C1632" s="1" t="n">
        <v>46137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51281-2025</t>
        </is>
      </c>
      <c r="B1633" s="1" t="n">
        <v>45950.32935185185</v>
      </c>
      <c r="C1633" s="1" t="n">
        <v>46137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28707-2025</t>
        </is>
      </c>
      <c r="B1634" s="1" t="n">
        <v>45820.31575231482</v>
      </c>
      <c r="C1634" s="1" t="n">
        <v>46137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51599-2025</t>
        </is>
      </c>
      <c r="B1635" s="1" t="n">
        <v>45951.37236111111</v>
      </c>
      <c r="C1635" s="1" t="n">
        <v>46137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28799-2025</t>
        </is>
      </c>
      <c r="B1636" s="1" t="n">
        <v>45820.48527777778</v>
      </c>
      <c r="C1636" s="1" t="n">
        <v>46137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28901-2025</t>
        </is>
      </c>
      <c r="B1637" s="1" t="n">
        <v>45820.64157407408</v>
      </c>
      <c r="C1637" s="1" t="n">
        <v>46137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29044-2025</t>
        </is>
      </c>
      <c r="B1638" s="1" t="n">
        <v>45821.45762731481</v>
      </c>
      <c r="C1638" s="1" t="n">
        <v>46137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25888-2024</t>
        </is>
      </c>
      <c r="B1639" s="1" t="n">
        <v>45467.5041550926</v>
      </c>
      <c r="C1639" s="1" t="n">
        <v>46137</v>
      </c>
      <c r="D1639" t="inlineStr">
        <is>
          <t>VÄSTERNORRLANDS LÄN</t>
        </is>
      </c>
      <c r="E1639" t="inlineStr">
        <is>
          <t>ÖRNSKÖLDSVIK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51742-2025</t>
        </is>
      </c>
      <c r="B1640" s="1" t="n">
        <v>45951</v>
      </c>
      <c r="C1640" s="1" t="n">
        <v>46137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29050-2025</t>
        </is>
      </c>
      <c r="B1641" s="1" t="n">
        <v>45821.46311342593</v>
      </c>
      <c r="C1641" s="1" t="n">
        <v>46137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24505-2025</t>
        </is>
      </c>
      <c r="B1642" s="1" t="n">
        <v>45798</v>
      </c>
      <c r="C1642" s="1" t="n">
        <v>46137</v>
      </c>
      <c r="D1642" t="inlineStr">
        <is>
          <t>VÄSTERNORRLANDS LÄN</t>
        </is>
      </c>
      <c r="E1642" t="inlineStr">
        <is>
          <t>ÖRNSKÖLDSVIK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23097-2023</t>
        </is>
      </c>
      <c r="B1643" s="1" t="n">
        <v>45075</v>
      </c>
      <c r="C1643" s="1" t="n">
        <v>46137</v>
      </c>
      <c r="D1643" t="inlineStr">
        <is>
          <t>VÄSTERNORRLANDS LÄN</t>
        </is>
      </c>
      <c r="E1643" t="inlineStr">
        <is>
          <t>ÖRNSKÖLDSVIK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51316-2025</t>
        </is>
      </c>
      <c r="B1644" s="1" t="n">
        <v>45950.38076388889</v>
      </c>
      <c r="C1644" s="1" t="n">
        <v>46137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51530-2025</t>
        </is>
      </c>
      <c r="B1645" s="1" t="n">
        <v>45950.68016203704</v>
      </c>
      <c r="C1645" s="1" t="n">
        <v>46137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28438-2024</t>
        </is>
      </c>
      <c r="B1646" s="1" t="n">
        <v>45477</v>
      </c>
      <c r="C1646" s="1" t="n">
        <v>46137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28462-2024</t>
        </is>
      </c>
      <c r="B1647" s="1" t="n">
        <v>45477.69827546296</v>
      </c>
      <c r="C1647" s="1" t="n">
        <v>46137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29006-2025</t>
        </is>
      </c>
      <c r="B1648" s="1" t="n">
        <v>45821.39673611111</v>
      </c>
      <c r="C1648" s="1" t="n">
        <v>46137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51359-2025</t>
        </is>
      </c>
      <c r="B1649" s="1" t="n">
        <v>45950.44296296296</v>
      </c>
      <c r="C1649" s="1" t="n">
        <v>46137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51740-2025</t>
        </is>
      </c>
      <c r="B1650" s="1" t="n">
        <v>45951.60530092593</v>
      </c>
      <c r="C1650" s="1" t="n">
        <v>46137</v>
      </c>
      <c r="D1650" t="inlineStr">
        <is>
          <t>VÄSTERNORRLANDS LÄN</t>
        </is>
      </c>
      <c r="E1650" t="inlineStr">
        <is>
          <t>ÖRNSKÖLDSVIK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29058-2025</t>
        </is>
      </c>
      <c r="B1651" s="1" t="n">
        <v>45821.48121527778</v>
      </c>
      <c r="C1651" s="1" t="n">
        <v>46137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47190-2023</t>
        </is>
      </c>
      <c r="B1652" s="1" t="n">
        <v>45202</v>
      </c>
      <c r="C1652" s="1" t="n">
        <v>46137</v>
      </c>
      <c r="D1652" t="inlineStr">
        <is>
          <t>VÄSTERNORRLANDS LÄN</t>
        </is>
      </c>
      <c r="E1652" t="inlineStr">
        <is>
          <t>ÖRNSKÖLDSVIK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28769-2025</t>
        </is>
      </c>
      <c r="B1653" s="1" t="n">
        <v>45820.43233796296</v>
      </c>
      <c r="C1653" s="1" t="n">
        <v>46137</v>
      </c>
      <c r="D1653" t="inlineStr">
        <is>
          <t>VÄSTERNORRLANDS LÄN</t>
        </is>
      </c>
      <c r="E1653" t="inlineStr">
        <is>
          <t>ÖRNSKÖLDSVIK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51645-2025</t>
        </is>
      </c>
      <c r="B1654" s="1" t="n">
        <v>45951.44699074074</v>
      </c>
      <c r="C1654" s="1" t="n">
        <v>46137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51490-2025</t>
        </is>
      </c>
      <c r="B1655" s="1" t="n">
        <v>45950.63325231482</v>
      </c>
      <c r="C1655" s="1" t="n">
        <v>46137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51492-2025</t>
        </is>
      </c>
      <c r="B1656" s="1" t="n">
        <v>45950.63407407407</v>
      </c>
      <c r="C1656" s="1" t="n">
        <v>46137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29564-2025</t>
        </is>
      </c>
      <c r="B1657" s="1" t="n">
        <v>45825.365625</v>
      </c>
      <c r="C1657" s="1" t="n">
        <v>46137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32.2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51516-2025</t>
        </is>
      </c>
      <c r="B1658" s="1" t="n">
        <v>45950.65561342592</v>
      </c>
      <c r="C1658" s="1" t="n">
        <v>46137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51752-2025</t>
        </is>
      </c>
      <c r="B1659" s="1" t="n">
        <v>45951</v>
      </c>
      <c r="C1659" s="1" t="n">
        <v>46137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29053-2025</t>
        </is>
      </c>
      <c r="B1660" s="1" t="n">
        <v>45821</v>
      </c>
      <c r="C1660" s="1" t="n">
        <v>46137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59313-2024</t>
        </is>
      </c>
      <c r="B1661" s="1" t="n">
        <v>45637.68454861111</v>
      </c>
      <c r="C1661" s="1" t="n">
        <v>46137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51507-2025</t>
        </is>
      </c>
      <c r="B1662" s="1" t="n">
        <v>45950.64262731482</v>
      </c>
      <c r="C1662" s="1" t="n">
        <v>46137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51658-2025</t>
        </is>
      </c>
      <c r="B1663" s="1" t="n">
        <v>45951.4737962963</v>
      </c>
      <c r="C1663" s="1" t="n">
        <v>46137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52264-2025</t>
        </is>
      </c>
      <c r="B1664" s="1" t="n">
        <v>45953.52818287037</v>
      </c>
      <c r="C1664" s="1" t="n">
        <v>46137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29796-2025</t>
        </is>
      </c>
      <c r="B1665" s="1" t="n">
        <v>45825.67310185185</v>
      </c>
      <c r="C1665" s="1" t="n">
        <v>46137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29405-2025</t>
        </is>
      </c>
      <c r="B1666" s="1" t="n">
        <v>45824.61528935185</v>
      </c>
      <c r="C1666" s="1" t="n">
        <v>46137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52129-2025</t>
        </is>
      </c>
      <c r="B1667" s="1" t="n">
        <v>45952</v>
      </c>
      <c r="C1667" s="1" t="n">
        <v>46137</v>
      </c>
      <c r="D1667" t="inlineStr">
        <is>
          <t>VÄSTERNORRLANDS LÄN</t>
        </is>
      </c>
      <c r="E1667" t="inlineStr">
        <is>
          <t>ÖRNSKÖLDSVIK</t>
        </is>
      </c>
      <c r="G1667" t="n">
        <v>22.6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29268-2025</t>
        </is>
      </c>
      <c r="B1668" s="1" t="n">
        <v>45824.4028125</v>
      </c>
      <c r="C1668" s="1" t="n">
        <v>46137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34152-2024</t>
        </is>
      </c>
      <c r="B1669" s="1" t="n">
        <v>45524.38238425926</v>
      </c>
      <c r="C1669" s="1" t="n">
        <v>46137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52068-2025</t>
        </is>
      </c>
      <c r="B1670" s="1" t="n">
        <v>45952.64356481482</v>
      </c>
      <c r="C1670" s="1" t="n">
        <v>46137</v>
      </c>
      <c r="D1670" t="inlineStr">
        <is>
          <t>VÄSTERNORRLANDS LÄN</t>
        </is>
      </c>
      <c r="E1670" t="inlineStr">
        <is>
          <t>ÖRNSKÖLDSVIK</t>
        </is>
      </c>
      <c r="G1670" t="n">
        <v>48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52071-2025</t>
        </is>
      </c>
      <c r="B1671" s="1" t="n">
        <v>45952.64829861111</v>
      </c>
      <c r="C1671" s="1" t="n">
        <v>46137</v>
      </c>
      <c r="D1671" t="inlineStr">
        <is>
          <t>VÄSTERNORRLANDS LÄN</t>
        </is>
      </c>
      <c r="E1671" t="inlineStr">
        <is>
          <t>ÖRNSKÖLDSVIK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52160-2025</t>
        </is>
      </c>
      <c r="B1672" s="1" t="n">
        <v>45953.35965277778</v>
      </c>
      <c r="C1672" s="1" t="n">
        <v>46137</v>
      </c>
      <c r="D1672" t="inlineStr">
        <is>
          <t>VÄSTERNORRLANDS LÄN</t>
        </is>
      </c>
      <c r="E1672" t="inlineStr">
        <is>
          <t>ÖRNSKÖLDSVIK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29457-2025</t>
        </is>
      </c>
      <c r="B1673" s="1" t="n">
        <v>45824.69251157407</v>
      </c>
      <c r="C1673" s="1" t="n">
        <v>46137</v>
      </c>
      <c r="D1673" t="inlineStr">
        <is>
          <t>VÄSTERNORRLANDS LÄN</t>
        </is>
      </c>
      <c r="E1673" t="inlineStr">
        <is>
          <t>ÖRNSKÖLDSVIK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52193-2025</t>
        </is>
      </c>
      <c r="B1674" s="1" t="n">
        <v>45953.38885416667</v>
      </c>
      <c r="C1674" s="1" t="n">
        <v>46137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54000-2024</t>
        </is>
      </c>
      <c r="B1675" s="1" t="n">
        <v>45616.36349537037</v>
      </c>
      <c r="C1675" s="1" t="n">
        <v>46137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34221-2024</t>
        </is>
      </c>
      <c r="B1676" s="1" t="n">
        <v>45524</v>
      </c>
      <c r="C1676" s="1" t="n">
        <v>46137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52338-2025</t>
        </is>
      </c>
      <c r="B1677" s="1" t="n">
        <v>45953.69459490741</v>
      </c>
      <c r="C1677" s="1" t="n">
        <v>46137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52142-2025</t>
        </is>
      </c>
      <c r="B1678" s="1" t="n">
        <v>45953.32988425926</v>
      </c>
      <c r="C1678" s="1" t="n">
        <v>46137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52196-2025</t>
        </is>
      </c>
      <c r="B1679" s="1" t="n">
        <v>45953.39898148148</v>
      </c>
      <c r="C1679" s="1" t="n">
        <v>46137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42744-2021</t>
        </is>
      </c>
      <c r="B1680" s="1" t="n">
        <v>44428</v>
      </c>
      <c r="C1680" s="1" t="n">
        <v>46137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52255-2025</t>
        </is>
      </c>
      <c r="B1681" s="1" t="n">
        <v>45953.50049768519</v>
      </c>
      <c r="C1681" s="1" t="n">
        <v>46137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51834-2025</t>
        </is>
      </c>
      <c r="B1682" s="1" t="n">
        <v>45952.33072916666</v>
      </c>
      <c r="C1682" s="1" t="n">
        <v>46137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51856-2025</t>
        </is>
      </c>
      <c r="B1683" s="1" t="n">
        <v>45952.3637962963</v>
      </c>
      <c r="C1683" s="1" t="n">
        <v>46137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29223-2025</t>
        </is>
      </c>
      <c r="B1684" s="1" t="n">
        <v>45824.33246527778</v>
      </c>
      <c r="C1684" s="1" t="n">
        <v>46137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52081-2025</t>
        </is>
      </c>
      <c r="B1685" s="1" t="n">
        <v>45952.66413194445</v>
      </c>
      <c r="C1685" s="1" t="n">
        <v>46137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52137-2025</t>
        </is>
      </c>
      <c r="B1686" s="1" t="n">
        <v>45953.26305555556</v>
      </c>
      <c r="C1686" s="1" t="n">
        <v>46137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52144-2025</t>
        </is>
      </c>
      <c r="B1687" s="1" t="n">
        <v>45953.34181712963</v>
      </c>
      <c r="C1687" s="1" t="n">
        <v>46137</v>
      </c>
      <c r="D1687" t="inlineStr">
        <is>
          <t>VÄSTERNORRLANDS LÄN</t>
        </is>
      </c>
      <c r="E1687" t="inlineStr">
        <is>
          <t>ÖRNSKÖLDSVIK</t>
        </is>
      </c>
      <c r="G1687" t="n">
        <v>17.9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29291-2025</t>
        </is>
      </c>
      <c r="B1688" s="1" t="n">
        <v>45824.4409837963</v>
      </c>
      <c r="C1688" s="1" t="n">
        <v>46137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52055-2025</t>
        </is>
      </c>
      <c r="B1689" s="1" t="n">
        <v>45952.63206018518</v>
      </c>
      <c r="C1689" s="1" t="n">
        <v>46137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52140-2025</t>
        </is>
      </c>
      <c r="B1690" s="1" t="n">
        <v>45953.32174768519</v>
      </c>
      <c r="C1690" s="1" t="n">
        <v>46137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52176-2025</t>
        </is>
      </c>
      <c r="B1691" s="1" t="n">
        <v>45953.37601851852</v>
      </c>
      <c r="C1691" s="1" t="n">
        <v>46137</v>
      </c>
      <c r="D1691" t="inlineStr">
        <is>
          <t>VÄSTERNORRLANDS LÄN</t>
        </is>
      </c>
      <c r="E1691" t="inlineStr">
        <is>
          <t>ÖRNSKÖLDSVIK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52145-2025</t>
        </is>
      </c>
      <c r="B1692" s="1" t="n">
        <v>45953.34225694444</v>
      </c>
      <c r="C1692" s="1" t="n">
        <v>46137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29390-2025</t>
        </is>
      </c>
      <c r="B1693" s="1" t="n">
        <v>45824.60396990741</v>
      </c>
      <c r="C1693" s="1" t="n">
        <v>46137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29414-2025</t>
        </is>
      </c>
      <c r="B1694" s="1" t="n">
        <v>45824.62671296296</v>
      </c>
      <c r="C1694" s="1" t="n">
        <v>46137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29677-2025</t>
        </is>
      </c>
      <c r="B1695" s="1" t="n">
        <v>45825.50693287037</v>
      </c>
      <c r="C1695" s="1" t="n">
        <v>46137</v>
      </c>
      <c r="D1695" t="inlineStr">
        <is>
          <t>VÄSTERNORRLANDS LÄN</t>
        </is>
      </c>
      <c r="E1695" t="inlineStr">
        <is>
          <t>ÖRNSKÖLDSVIK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52005-2025</t>
        </is>
      </c>
      <c r="B1696" s="1" t="n">
        <v>45952.59306712963</v>
      </c>
      <c r="C1696" s="1" t="n">
        <v>46137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29559-2025</t>
        </is>
      </c>
      <c r="B1697" s="1" t="n">
        <v>45825.36148148148</v>
      </c>
      <c r="C1697" s="1" t="n">
        <v>46137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29590-2025</t>
        </is>
      </c>
      <c r="B1698" s="1" t="n">
        <v>45825.39894675926</v>
      </c>
      <c r="C1698" s="1" t="n">
        <v>46137</v>
      </c>
      <c r="D1698" t="inlineStr">
        <is>
          <t>VÄSTERNORRLANDS LÄN</t>
        </is>
      </c>
      <c r="E1698" t="inlineStr">
        <is>
          <t>ÖRNSKÖLDSVIK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52047-2025</t>
        </is>
      </c>
      <c r="B1699" s="1" t="n">
        <v>45952.6171412037</v>
      </c>
      <c r="C1699" s="1" t="n">
        <v>46137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52253-2025</t>
        </is>
      </c>
      <c r="B1700" s="1" t="n">
        <v>45953.49253472222</v>
      </c>
      <c r="C1700" s="1" t="n">
        <v>46137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52029-2025</t>
        </is>
      </c>
      <c r="B1701" s="1" t="n">
        <v>45952.6055324074</v>
      </c>
      <c r="C1701" s="1" t="n">
        <v>46137</v>
      </c>
      <c r="D1701" t="inlineStr">
        <is>
          <t>VÄSTERNORRLANDS LÄN</t>
        </is>
      </c>
      <c r="E1701" t="inlineStr">
        <is>
          <t>ÖRNSKÖLDSVIK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47109-2023</t>
        </is>
      </c>
      <c r="B1702" s="1" t="n">
        <v>45201.66905092593</v>
      </c>
      <c r="C1702" s="1" t="n">
        <v>46137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39833-2024</t>
        </is>
      </c>
      <c r="B1703" s="1" t="n">
        <v>45553.413125</v>
      </c>
      <c r="C1703" s="1" t="n">
        <v>46137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34908-2023</t>
        </is>
      </c>
      <c r="B1704" s="1" t="n">
        <v>45142</v>
      </c>
      <c r="C1704" s="1" t="n">
        <v>46137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16.4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52887-2025</t>
        </is>
      </c>
      <c r="B1705" s="1" t="n">
        <v>45957.56839120371</v>
      </c>
      <c r="C1705" s="1" t="n">
        <v>46137</v>
      </c>
      <c r="D1705" t="inlineStr">
        <is>
          <t>VÄSTERNORRLANDS LÄN</t>
        </is>
      </c>
      <c r="E1705" t="inlineStr">
        <is>
          <t>ÖRNSKÖLDSVIK</t>
        </is>
      </c>
      <c r="G1705" t="n">
        <v>10.1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34692-2022</t>
        </is>
      </c>
      <c r="B1706" s="1" t="n">
        <v>44795</v>
      </c>
      <c r="C1706" s="1" t="n">
        <v>46137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27818-2023</t>
        </is>
      </c>
      <c r="B1707" s="1" t="n">
        <v>45098.50498842593</v>
      </c>
      <c r="C1707" s="1" t="n">
        <v>46137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52732-2025</t>
        </is>
      </c>
      <c r="B1708" s="1" t="n">
        <v>45957.36707175926</v>
      </c>
      <c r="C1708" s="1" t="n">
        <v>46137</v>
      </c>
      <c r="D1708" t="inlineStr">
        <is>
          <t>VÄSTERNORRLANDS LÄN</t>
        </is>
      </c>
      <c r="E1708" t="inlineStr">
        <is>
          <t>ÖRNSKÖLDSVIK</t>
        </is>
      </c>
      <c r="G1708" t="n">
        <v>22.6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52936-2025</t>
        </is>
      </c>
      <c r="B1709" s="1" t="n">
        <v>45957.63228009259</v>
      </c>
      <c r="C1709" s="1" t="n">
        <v>46137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30441-2025</t>
        </is>
      </c>
      <c r="B1710" s="1" t="n">
        <v>45827.64503472222</v>
      </c>
      <c r="C1710" s="1" t="n">
        <v>46137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23640-2023</t>
        </is>
      </c>
      <c r="B1711" s="1" t="n">
        <v>45077.52769675926</v>
      </c>
      <c r="C1711" s="1" t="n">
        <v>46137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52522-2025</t>
        </is>
      </c>
      <c r="B1712" s="1" t="n">
        <v>45954.52670138889</v>
      </c>
      <c r="C1712" s="1" t="n">
        <v>46137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30240-2025</t>
        </is>
      </c>
      <c r="B1713" s="1" t="n">
        <v>45827.40489583334</v>
      </c>
      <c r="C1713" s="1" t="n">
        <v>46137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30256-2025</t>
        </is>
      </c>
      <c r="B1714" s="1" t="n">
        <v>45826</v>
      </c>
      <c r="C1714" s="1" t="n">
        <v>46137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52856-2025</t>
        </is>
      </c>
      <c r="B1715" s="1" t="n">
        <v>45957.50234953704</v>
      </c>
      <c r="C1715" s="1" t="n">
        <v>46137</v>
      </c>
      <c r="D1715" t="inlineStr">
        <is>
          <t>VÄSTERNORRLANDS LÄN</t>
        </is>
      </c>
      <c r="E1715" t="inlineStr">
        <is>
          <t>ÖRNSKÖLDSVIK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29969-2025</t>
        </is>
      </c>
      <c r="B1716" s="1" t="n">
        <v>45826.48987268518</v>
      </c>
      <c r="C1716" s="1" t="n">
        <v>46137</v>
      </c>
      <c r="D1716" t="inlineStr">
        <is>
          <t>VÄSTERNORRLANDS LÄN</t>
        </is>
      </c>
      <c r="E1716" t="inlineStr">
        <is>
          <t>ÖRNSKÖLDSVIK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30376-2025</t>
        </is>
      </c>
      <c r="B1717" s="1" t="n">
        <v>45827.5669212963</v>
      </c>
      <c r="C1717" s="1" t="n">
        <v>46137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52569-2025</t>
        </is>
      </c>
      <c r="B1718" s="1" t="n">
        <v>45954</v>
      </c>
      <c r="C1718" s="1" t="n">
        <v>46137</v>
      </c>
      <c r="D1718" t="inlineStr">
        <is>
          <t>VÄSTERNORRLANDS LÄN</t>
        </is>
      </c>
      <c r="E1718" t="inlineStr">
        <is>
          <t>ÖRNSKÖLDSVIK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52573-2025</t>
        </is>
      </c>
      <c r="B1719" s="1" t="n">
        <v>45954.60927083333</v>
      </c>
      <c r="C1719" s="1" t="n">
        <v>46137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30192-2025</t>
        </is>
      </c>
      <c r="B1720" s="1" t="n">
        <v>45827.35144675926</v>
      </c>
      <c r="C1720" s="1" t="n">
        <v>46137</v>
      </c>
      <c r="D1720" t="inlineStr">
        <is>
          <t>VÄSTERNORRLANDS LÄN</t>
        </is>
      </c>
      <c r="E1720" t="inlineStr">
        <is>
          <t>ÖRNSKÖLDSVIK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52821-2025</t>
        </is>
      </c>
      <c r="B1721" s="1" t="n">
        <v>45957.45657407407</v>
      </c>
      <c r="C1721" s="1" t="n">
        <v>46137</v>
      </c>
      <c r="D1721" t="inlineStr">
        <is>
          <t>VÄSTERNORRLANDS LÄN</t>
        </is>
      </c>
      <c r="E1721" t="inlineStr">
        <is>
          <t>ÖRNSKÖLDSVIK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52851-2025</t>
        </is>
      </c>
      <c r="B1722" s="1" t="n">
        <v>45957.49204861111</v>
      </c>
      <c r="C1722" s="1" t="n">
        <v>46137</v>
      </c>
      <c r="D1722" t="inlineStr">
        <is>
          <t>VÄSTERNORRLANDS LÄN</t>
        </is>
      </c>
      <c r="E1722" t="inlineStr">
        <is>
          <t>ÖRNSKÖLDSVIK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52854-2025</t>
        </is>
      </c>
      <c r="B1723" s="1" t="n">
        <v>45957.49766203704</v>
      </c>
      <c r="C1723" s="1" t="n">
        <v>46137</v>
      </c>
      <c r="D1723" t="inlineStr">
        <is>
          <t>VÄSTERNORRLANDS LÄN</t>
        </is>
      </c>
      <c r="E1723" t="inlineStr">
        <is>
          <t>ÖRNSKÖLDSVIK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52824-2025</t>
        </is>
      </c>
      <c r="B1724" s="1" t="n">
        <v>45957.46375</v>
      </c>
      <c r="C1724" s="1" t="n">
        <v>46137</v>
      </c>
      <c r="D1724" t="inlineStr">
        <is>
          <t>VÄSTERNORRLANDS LÄN</t>
        </is>
      </c>
      <c r="E1724" t="inlineStr">
        <is>
          <t>ÖRNSKÖLDSVIK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10763-2024</t>
        </is>
      </c>
      <c r="B1725" s="1" t="n">
        <v>45369</v>
      </c>
      <c r="C1725" s="1" t="n">
        <v>46137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30644-2023</t>
        </is>
      </c>
      <c r="B1726" s="1" t="n">
        <v>45112.47061342592</v>
      </c>
      <c r="C1726" s="1" t="n">
        <v>46137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30235-2025</t>
        </is>
      </c>
      <c r="B1727" s="1" t="n">
        <v>45826</v>
      </c>
      <c r="C1727" s="1" t="n">
        <v>46137</v>
      </c>
      <c r="D1727" t="inlineStr">
        <is>
          <t>VÄSTERNORRLANDS LÄN</t>
        </is>
      </c>
      <c r="E1727" t="inlineStr">
        <is>
          <t>ÖRNSKÖLDSVIK</t>
        </is>
      </c>
      <c r="G1727" t="n">
        <v>13.7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52846-2025</t>
        </is>
      </c>
      <c r="B1728" s="1" t="n">
        <v>45957.48726851852</v>
      </c>
      <c r="C1728" s="1" t="n">
        <v>46137</v>
      </c>
      <c r="D1728" t="inlineStr">
        <is>
          <t>VÄSTERNORRLANDS LÄN</t>
        </is>
      </c>
      <c r="E1728" t="inlineStr">
        <is>
          <t>ÖRNSKÖLDSVIK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29986-2025</t>
        </is>
      </c>
      <c r="B1729" s="1" t="n">
        <v>45826.49689814815</v>
      </c>
      <c r="C1729" s="1" t="n">
        <v>46137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35250-2022</t>
        </is>
      </c>
      <c r="B1730" s="1" t="n">
        <v>44798.33560185185</v>
      </c>
      <c r="C1730" s="1" t="n">
        <v>46137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35266-2022</t>
        </is>
      </c>
      <c r="B1731" s="1" t="n">
        <v>44798</v>
      </c>
      <c r="C1731" s="1" t="n">
        <v>46137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Kyrkan</t>
        </is>
      </c>
      <c r="G1731" t="n">
        <v>13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53193-2025</t>
        </is>
      </c>
      <c r="B1732" s="1" t="n">
        <v>45958.57056712963</v>
      </c>
      <c r="C1732" s="1" t="n">
        <v>46137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53086-2025</t>
        </is>
      </c>
      <c r="B1733" s="1" t="n">
        <v>45958.41050925926</v>
      </c>
      <c r="C1733" s="1" t="n">
        <v>46137</v>
      </c>
      <c r="D1733" t="inlineStr">
        <is>
          <t>VÄSTERNORRLANDS LÄN</t>
        </is>
      </c>
      <c r="E1733" t="inlineStr">
        <is>
          <t>ÖRNSKÖLDSVIK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30168-2025</t>
        </is>
      </c>
      <c r="B1734" s="1" t="n">
        <v>45827.33587962963</v>
      </c>
      <c r="C1734" s="1" t="n">
        <v>46137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29838-2025</t>
        </is>
      </c>
      <c r="B1735" s="1" t="n">
        <v>45826.27421296296</v>
      </c>
      <c r="C1735" s="1" t="n">
        <v>46137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21034-2024</t>
        </is>
      </c>
      <c r="B1736" s="1" t="n">
        <v>45439</v>
      </c>
      <c r="C1736" s="1" t="n">
        <v>46137</v>
      </c>
      <c r="D1736" t="inlineStr">
        <is>
          <t>VÄSTERNORRLANDS LÄN</t>
        </is>
      </c>
      <c r="E1736" t="inlineStr">
        <is>
          <t>ÖRNSKÖLDSVIK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53321-2025</t>
        </is>
      </c>
      <c r="B1737" s="1" t="n">
        <v>45959.35797453704</v>
      </c>
      <c r="C1737" s="1" t="n">
        <v>46137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53374-2025</t>
        </is>
      </c>
      <c r="B1738" s="1" t="n">
        <v>45959.51681712963</v>
      </c>
      <c r="C1738" s="1" t="n">
        <v>46137</v>
      </c>
      <c r="D1738" t="inlineStr">
        <is>
          <t>VÄSTERNORRLANDS LÄN</t>
        </is>
      </c>
      <c r="E1738" t="inlineStr">
        <is>
          <t>ÖRNSKÖLDSVIK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53457-2023</t>
        </is>
      </c>
      <c r="B1739" s="1" t="n">
        <v>45229.96641203704</v>
      </c>
      <c r="C1739" s="1" t="n">
        <v>46137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29981-2025</t>
        </is>
      </c>
      <c r="B1740" s="1" t="n">
        <v>45826.49387731482</v>
      </c>
      <c r="C1740" s="1" t="n">
        <v>46137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31007-2025</t>
        </is>
      </c>
      <c r="B1741" s="1" t="n">
        <v>45831</v>
      </c>
      <c r="C1741" s="1" t="n">
        <v>46137</v>
      </c>
      <c r="D1741" t="inlineStr">
        <is>
          <t>VÄSTERNORRLANDS LÄN</t>
        </is>
      </c>
      <c r="E1741" t="inlineStr">
        <is>
          <t>ÖRNSKÖLDSVIK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30612-2025</t>
        </is>
      </c>
      <c r="B1742" s="1" t="n">
        <v>45831.46497685185</v>
      </c>
      <c r="C1742" s="1" t="n">
        <v>46137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30727-2025</t>
        </is>
      </c>
      <c r="B1743" s="1" t="n">
        <v>45831.57094907408</v>
      </c>
      <c r="C1743" s="1" t="n">
        <v>46137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30806-2025</t>
        </is>
      </c>
      <c r="B1744" s="1" t="n">
        <v>45831.65665509259</v>
      </c>
      <c r="C1744" s="1" t="n">
        <v>46137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34852-2024</t>
        </is>
      </c>
      <c r="B1745" s="1" t="n">
        <v>45527</v>
      </c>
      <c r="C1745" s="1" t="n">
        <v>46137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30693-2025</t>
        </is>
      </c>
      <c r="B1746" s="1" t="n">
        <v>45831.54190972223</v>
      </c>
      <c r="C1746" s="1" t="n">
        <v>46137</v>
      </c>
      <c r="D1746" t="inlineStr">
        <is>
          <t>VÄSTERNORRLANDS LÄN</t>
        </is>
      </c>
      <c r="E1746" t="inlineStr">
        <is>
          <t>ÖRNSKÖLDSVIK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30680-2025</t>
        </is>
      </c>
      <c r="B1747" s="1" t="n">
        <v>45831.52915509259</v>
      </c>
      <c r="C1747" s="1" t="n">
        <v>46137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25449-2021</t>
        </is>
      </c>
      <c r="B1748" s="1" t="n">
        <v>44342.6740162037</v>
      </c>
      <c r="C1748" s="1" t="n">
        <v>46137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30830-2025</t>
        </is>
      </c>
      <c r="B1749" s="1" t="n">
        <v>45831.68704861111</v>
      </c>
      <c r="C1749" s="1" t="n">
        <v>46137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31721-2024</t>
        </is>
      </c>
      <c r="B1750" s="1" t="n">
        <v>45509</v>
      </c>
      <c r="C1750" s="1" t="n">
        <v>46137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53069-2025</t>
        </is>
      </c>
      <c r="B1751" s="1" t="n">
        <v>45958.37827546296</v>
      </c>
      <c r="C1751" s="1" t="n">
        <v>46137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30725-2025</t>
        </is>
      </c>
      <c r="B1752" s="1" t="n">
        <v>45831.569375</v>
      </c>
      <c r="C1752" s="1" t="n">
        <v>46137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7.6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30742-2025</t>
        </is>
      </c>
      <c r="B1753" s="1" t="n">
        <v>45831.57798611111</v>
      </c>
      <c r="C1753" s="1" t="n">
        <v>46137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30713-2025</t>
        </is>
      </c>
      <c r="B1754" s="1" t="n">
        <v>45831.55275462963</v>
      </c>
      <c r="C1754" s="1" t="n">
        <v>46137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47.1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30722-2025</t>
        </is>
      </c>
      <c r="B1755" s="1" t="n">
        <v>45831.56635416667</v>
      </c>
      <c r="C1755" s="1" t="n">
        <v>46137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20856-2024</t>
        </is>
      </c>
      <c r="B1756" s="1" t="n">
        <v>45439.42201388889</v>
      </c>
      <c r="C1756" s="1" t="n">
        <v>46137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48701-2024</t>
        </is>
      </c>
      <c r="B1757" s="1" t="n">
        <v>45593</v>
      </c>
      <c r="C1757" s="1" t="n">
        <v>46137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30678-2025</t>
        </is>
      </c>
      <c r="B1758" s="1" t="n">
        <v>45831.52518518519</v>
      </c>
      <c r="C1758" s="1" t="n">
        <v>46137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30695-2025</t>
        </is>
      </c>
      <c r="B1759" s="1" t="n">
        <v>45831.54216435185</v>
      </c>
      <c r="C1759" s="1" t="n">
        <v>46137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30671-2025</t>
        </is>
      </c>
      <c r="B1760" s="1" t="n">
        <v>45831.51832175926</v>
      </c>
      <c r="C1760" s="1" t="n">
        <v>46137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53653-2025</t>
        </is>
      </c>
      <c r="B1761" s="1" t="n">
        <v>45960.53180555555</v>
      </c>
      <c r="C1761" s="1" t="n">
        <v>46137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31340-2025</t>
        </is>
      </c>
      <c r="B1762" s="1" t="n">
        <v>45833.42797453704</v>
      </c>
      <c r="C1762" s="1" t="n">
        <v>46137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54582-2024</t>
        </is>
      </c>
      <c r="B1763" s="1" t="n">
        <v>45617.65704861111</v>
      </c>
      <c r="C1763" s="1" t="n">
        <v>46137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53902-2025</t>
        </is>
      </c>
      <c r="B1764" s="1" t="n">
        <v>45961.43697916667</v>
      </c>
      <c r="C1764" s="1" t="n">
        <v>46137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23869-2024</t>
        </is>
      </c>
      <c r="B1765" s="1" t="n">
        <v>45455.60939814815</v>
      </c>
      <c r="C1765" s="1" t="n">
        <v>46137</v>
      </c>
      <c r="D1765" t="inlineStr">
        <is>
          <t>VÄSTERNORRLANDS LÄN</t>
        </is>
      </c>
      <c r="E1765" t="inlineStr">
        <is>
          <t>ÖRNSKÖLDSVIK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53537-2025</t>
        </is>
      </c>
      <c r="B1766" s="1" t="n">
        <v>45960.37328703704</v>
      </c>
      <c r="C1766" s="1" t="n">
        <v>46137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53553-2025</t>
        </is>
      </c>
      <c r="B1767" s="1" t="n">
        <v>45960.38935185185</v>
      </c>
      <c r="C1767" s="1" t="n">
        <v>46137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53162-2021</t>
        </is>
      </c>
      <c r="B1768" s="1" t="n">
        <v>44468</v>
      </c>
      <c r="C1768" s="1" t="n">
        <v>46137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9.199999999999999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53659-2025</t>
        </is>
      </c>
      <c r="B1769" s="1" t="n">
        <v>45960.53931712963</v>
      </c>
      <c r="C1769" s="1" t="n">
        <v>46137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30895-2025</t>
        </is>
      </c>
      <c r="B1770" s="1" t="n">
        <v>45832.34824074074</v>
      </c>
      <c r="C1770" s="1" t="n">
        <v>46137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53799-2025</t>
        </is>
      </c>
      <c r="B1771" s="1" t="n">
        <v>45960.77087962963</v>
      </c>
      <c r="C1771" s="1" t="n">
        <v>46137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53922-2025</t>
        </is>
      </c>
      <c r="B1772" s="1" t="n">
        <v>45961.45351851852</v>
      </c>
      <c r="C1772" s="1" t="n">
        <v>46137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44498-2023</t>
        </is>
      </c>
      <c r="B1773" s="1" t="n">
        <v>45189.45719907407</v>
      </c>
      <c r="C1773" s="1" t="n">
        <v>46137</v>
      </c>
      <c r="D1773" t="inlineStr">
        <is>
          <t>VÄSTERNORRLANDS LÄN</t>
        </is>
      </c>
      <c r="E1773" t="inlineStr">
        <is>
          <t>ÖRNSKÖLDSVIK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27847-2023</t>
        </is>
      </c>
      <c r="B1774" s="1" t="n">
        <v>45098.5552662037</v>
      </c>
      <c r="C1774" s="1" t="n">
        <v>46137</v>
      </c>
      <c r="D1774" t="inlineStr">
        <is>
          <t>VÄSTERNORRLANDS LÄN</t>
        </is>
      </c>
      <c r="E1774" t="inlineStr">
        <is>
          <t>ÖRNSKÖLDSVIK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31098-2025</t>
        </is>
      </c>
      <c r="B1775" s="1" t="n">
        <v>45832.59832175926</v>
      </c>
      <c r="C1775" s="1" t="n">
        <v>46137</v>
      </c>
      <c r="D1775" t="inlineStr">
        <is>
          <t>VÄSTERNORRLANDS LÄN</t>
        </is>
      </c>
      <c r="E1775" t="inlineStr">
        <is>
          <t>ÖRNSKÖLDSVIK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53528-2025</t>
        </is>
      </c>
      <c r="B1776" s="1" t="n">
        <v>45960.36251157407</v>
      </c>
      <c r="C1776" s="1" t="n">
        <v>46137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53675-2025</t>
        </is>
      </c>
      <c r="B1777" s="1" t="n">
        <v>45960.55678240741</v>
      </c>
      <c r="C1777" s="1" t="n">
        <v>46137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53949-2025</t>
        </is>
      </c>
      <c r="B1778" s="1" t="n">
        <v>45961.50123842592</v>
      </c>
      <c r="C1778" s="1" t="n">
        <v>46137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53956-2025</t>
        </is>
      </c>
      <c r="B1779" s="1" t="n">
        <v>45961.52731481481</v>
      </c>
      <c r="C1779" s="1" t="n">
        <v>46137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31156-2025</t>
        </is>
      </c>
      <c r="B1780" s="1" t="n">
        <v>45832.65130787037</v>
      </c>
      <c r="C1780" s="1" t="n">
        <v>46137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31193-2025</t>
        </is>
      </c>
      <c r="B1781" s="1" t="n">
        <v>45832.68313657407</v>
      </c>
      <c r="C1781" s="1" t="n">
        <v>46137</v>
      </c>
      <c r="D1781" t="inlineStr">
        <is>
          <t>VÄSTERNORRLANDS LÄN</t>
        </is>
      </c>
      <c r="E1781" t="inlineStr">
        <is>
          <t>ÖRNSKÖLDSVIK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698-2024</t>
        </is>
      </c>
      <c r="B1782" s="1" t="n">
        <v>45300.38689814815</v>
      </c>
      <c r="C1782" s="1" t="n">
        <v>46137</v>
      </c>
      <c r="D1782" t="inlineStr">
        <is>
          <t>VÄSTERNORRLANDS LÄN</t>
        </is>
      </c>
      <c r="E1782" t="inlineStr">
        <is>
          <t>ÖRNSKÖLDSVIK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53733-2025</t>
        </is>
      </c>
      <c r="B1783" s="1" t="n">
        <v>45960.6437037037</v>
      </c>
      <c r="C1783" s="1" t="n">
        <v>46137</v>
      </c>
      <c r="D1783" t="inlineStr">
        <is>
          <t>VÄSTERNORRLANDS LÄN</t>
        </is>
      </c>
      <c r="E1783" t="inlineStr">
        <is>
          <t>ÖRNSKÖLDSVIK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53740-2025</t>
        </is>
      </c>
      <c r="B1784" s="1" t="n">
        <v>45960</v>
      </c>
      <c r="C1784" s="1" t="n">
        <v>46137</v>
      </c>
      <c r="D1784" t="inlineStr">
        <is>
          <t>VÄSTERNORRLANDS LÄN</t>
        </is>
      </c>
      <c r="E1784" t="inlineStr">
        <is>
          <t>ÖRNSKÖLDSVIK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53926-2025</t>
        </is>
      </c>
      <c r="B1785" s="1" t="n">
        <v>45961.46501157407</v>
      </c>
      <c r="C1785" s="1" t="n">
        <v>46137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50402-2024</t>
        </is>
      </c>
      <c r="B1786" s="1" t="n">
        <v>45601.35136574074</v>
      </c>
      <c r="C1786" s="1" t="n">
        <v>46137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51297-2025</t>
        </is>
      </c>
      <c r="B1787" s="1" t="n">
        <v>45950.35905092592</v>
      </c>
      <c r="C1787" s="1" t="n">
        <v>46137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31272-2025</t>
        </is>
      </c>
      <c r="B1788" s="1" t="n">
        <v>45833.33877314815</v>
      </c>
      <c r="C1788" s="1" t="n">
        <v>46137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61121-2024</t>
        </is>
      </c>
      <c r="B1789" s="1" t="n">
        <v>45645.57063657408</v>
      </c>
      <c r="C1789" s="1" t="n">
        <v>46137</v>
      </c>
      <c r="D1789" t="inlineStr">
        <is>
          <t>VÄSTERNORRLANDS LÄN</t>
        </is>
      </c>
      <c r="E1789" t="inlineStr">
        <is>
          <t>ÖRNSKÖLDSVIK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61148-2024</t>
        </is>
      </c>
      <c r="B1790" s="1" t="n">
        <v>45645.58738425926</v>
      </c>
      <c r="C1790" s="1" t="n">
        <v>46137</v>
      </c>
      <c r="D1790" t="inlineStr">
        <is>
          <t>VÄSTERNORRLANDS LÄN</t>
        </is>
      </c>
      <c r="E1790" t="inlineStr">
        <is>
          <t>ÖRNSKÖLDSVIK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39637-2024</t>
        </is>
      </c>
      <c r="B1791" s="1" t="n">
        <v>45552.44851851852</v>
      </c>
      <c r="C1791" s="1" t="n">
        <v>46137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31089-2025</t>
        </is>
      </c>
      <c r="B1792" s="1" t="n">
        <v>45832.59292824074</v>
      </c>
      <c r="C1792" s="1" t="n">
        <v>46137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53934-2025</t>
        </is>
      </c>
      <c r="B1793" s="1" t="n">
        <v>45961.47958333333</v>
      </c>
      <c r="C1793" s="1" t="n">
        <v>46137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31348-2025</t>
        </is>
      </c>
      <c r="B1794" s="1" t="n">
        <v>45833.42907407408</v>
      </c>
      <c r="C1794" s="1" t="n">
        <v>46137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31350-2025</t>
        </is>
      </c>
      <c r="B1795" s="1" t="n">
        <v>45833.429375</v>
      </c>
      <c r="C1795" s="1" t="n">
        <v>46137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53640-2025</t>
        </is>
      </c>
      <c r="B1796" s="1" t="n">
        <v>45960.51094907407</v>
      </c>
      <c r="C1796" s="1" t="n">
        <v>46137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31118-2025</t>
        </is>
      </c>
      <c r="B1797" s="1" t="n">
        <v>45832.62104166667</v>
      </c>
      <c r="C1797" s="1" t="n">
        <v>46137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31121-2025</t>
        </is>
      </c>
      <c r="B1798" s="1" t="n">
        <v>45832.62521990741</v>
      </c>
      <c r="C1798" s="1" t="n">
        <v>46137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31542-2025</t>
        </is>
      </c>
      <c r="B1799" s="1" t="n">
        <v>45833</v>
      </c>
      <c r="C1799" s="1" t="n">
        <v>46137</v>
      </c>
      <c r="D1799" t="inlineStr">
        <is>
          <t>VÄSTERNORRLANDS LÄN</t>
        </is>
      </c>
      <c r="E1799" t="inlineStr">
        <is>
          <t>ÖRNSKÖLDSVIK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53997-2025</t>
        </is>
      </c>
      <c r="B1800" s="1" t="n">
        <v>45961</v>
      </c>
      <c r="C1800" s="1" t="n">
        <v>46137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54026-2025</t>
        </is>
      </c>
      <c r="B1801" s="1" t="n">
        <v>45961.91059027778</v>
      </c>
      <c r="C1801" s="1" t="n">
        <v>46137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31120-2025</t>
        </is>
      </c>
      <c r="B1802" s="1" t="n">
        <v>45832.62326388889</v>
      </c>
      <c r="C1802" s="1" t="n">
        <v>46137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54387-2025</t>
        </is>
      </c>
      <c r="B1803" s="1" t="n">
        <v>45965.43760416667</v>
      </c>
      <c r="C1803" s="1" t="n">
        <v>46137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31789-2025</t>
        </is>
      </c>
      <c r="B1804" s="1" t="n">
        <v>45834.53637731481</v>
      </c>
      <c r="C1804" s="1" t="n">
        <v>46137</v>
      </c>
      <c r="D1804" t="inlineStr">
        <is>
          <t>VÄSTERNORRLANDS LÄN</t>
        </is>
      </c>
      <c r="E1804" t="inlineStr">
        <is>
          <t>ÖRNSKÖLDSVIK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32273-2025</t>
        </is>
      </c>
      <c r="B1805" s="1" t="n">
        <v>45835.65793981482</v>
      </c>
      <c r="C1805" s="1" t="n">
        <v>46137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54042-2025</t>
        </is>
      </c>
      <c r="B1806" s="1" t="n">
        <v>45963.78603009259</v>
      </c>
      <c r="C1806" s="1" t="n">
        <v>46137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31550-2025</t>
        </is>
      </c>
      <c r="B1807" s="1" t="n">
        <v>45834</v>
      </c>
      <c r="C1807" s="1" t="n">
        <v>46137</v>
      </c>
      <c r="D1807" t="inlineStr">
        <is>
          <t>VÄSTERNORRLANDS LÄN</t>
        </is>
      </c>
      <c r="E1807" t="inlineStr">
        <is>
          <t>ÖRNSKÖLDSVIK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32164-2025</t>
        </is>
      </c>
      <c r="B1808" s="1" t="n">
        <v>45835.54541666667</v>
      </c>
      <c r="C1808" s="1" t="n">
        <v>46137</v>
      </c>
      <c r="D1808" t="inlineStr">
        <is>
          <t>VÄSTERNORRLANDS LÄN</t>
        </is>
      </c>
      <c r="E1808" t="inlineStr">
        <is>
          <t>ÖRNSKÖLDSVIK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32168-2025</t>
        </is>
      </c>
      <c r="B1809" s="1" t="n">
        <v>45835.54908564815</v>
      </c>
      <c r="C1809" s="1" t="n">
        <v>46137</v>
      </c>
      <c r="D1809" t="inlineStr">
        <is>
          <t>VÄSTERNORRLANDS LÄN</t>
        </is>
      </c>
      <c r="E1809" t="inlineStr">
        <is>
          <t>ÖRNSKÖLDSVIK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54539-2025</t>
        </is>
      </c>
      <c r="B1810" s="1" t="n">
        <v>45965.64638888889</v>
      </c>
      <c r="C1810" s="1" t="n">
        <v>46137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32302-2025</t>
        </is>
      </c>
      <c r="B1811" s="1" t="n">
        <v>45835.71877314815</v>
      </c>
      <c r="C1811" s="1" t="n">
        <v>46137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54226-2025</t>
        </is>
      </c>
      <c r="B1812" s="1" t="n">
        <v>45964.61069444445</v>
      </c>
      <c r="C1812" s="1" t="n">
        <v>46137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54349-2025</t>
        </is>
      </c>
      <c r="B1813" s="1" t="n">
        <v>45965.37119212963</v>
      </c>
      <c r="C1813" s="1" t="n">
        <v>46137</v>
      </c>
      <c r="D1813" t="inlineStr">
        <is>
          <t>VÄSTERNORRLANDS LÄN</t>
        </is>
      </c>
      <c r="E1813" t="inlineStr">
        <is>
          <t>ÖRNSKÖLDSVIK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31681-2025</t>
        </is>
      </c>
      <c r="B1814" s="1" t="n">
        <v>45834.38430555556</v>
      </c>
      <c r="C1814" s="1" t="n">
        <v>46137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54484-2025</t>
        </is>
      </c>
      <c r="B1815" s="1" t="n">
        <v>45965</v>
      </c>
      <c r="C1815" s="1" t="n">
        <v>46137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54500-2025</t>
        </is>
      </c>
      <c r="B1816" s="1" t="n">
        <v>45965</v>
      </c>
      <c r="C1816" s="1" t="n">
        <v>46137</v>
      </c>
      <c r="D1816" t="inlineStr">
        <is>
          <t>VÄSTERNORRLANDS LÄN</t>
        </is>
      </c>
      <c r="E1816" t="inlineStr">
        <is>
          <t>ÖRNSKÖLDSVIK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32220-2025</t>
        </is>
      </c>
      <c r="B1817" s="1" t="n">
        <v>45835.58945601852</v>
      </c>
      <c r="C1817" s="1" t="n">
        <v>46137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32247-2025</t>
        </is>
      </c>
      <c r="B1818" s="1" t="n">
        <v>45835.61738425926</v>
      </c>
      <c r="C1818" s="1" t="n">
        <v>46137</v>
      </c>
      <c r="D1818" t="inlineStr">
        <is>
          <t>VÄSTERNORRLANDS LÄN</t>
        </is>
      </c>
      <c r="E1818" t="inlineStr">
        <is>
          <t>ÖRNSKÖLDSVIK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32251-2025</t>
        </is>
      </c>
      <c r="B1819" s="1" t="n">
        <v>45835.62701388889</v>
      </c>
      <c r="C1819" s="1" t="n">
        <v>46137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54411-2025</t>
        </is>
      </c>
      <c r="B1820" s="1" t="n">
        <v>45965.45954861111</v>
      </c>
      <c r="C1820" s="1" t="n">
        <v>46137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54025-2025</t>
        </is>
      </c>
      <c r="B1821" s="1" t="n">
        <v>45961.83200231481</v>
      </c>
      <c r="C1821" s="1" t="n">
        <v>46137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54511-2025</t>
        </is>
      </c>
      <c r="B1822" s="1" t="n">
        <v>45965.62</v>
      </c>
      <c r="C1822" s="1" t="n">
        <v>46137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31675-2025</t>
        </is>
      </c>
      <c r="B1823" s="1" t="n">
        <v>45834.37387731481</v>
      </c>
      <c r="C1823" s="1" t="n">
        <v>46137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54024-2025</t>
        </is>
      </c>
      <c r="B1824" s="1" t="n">
        <v>45961.79054398148</v>
      </c>
      <c r="C1824" s="1" t="n">
        <v>46137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31982-2025</t>
        </is>
      </c>
      <c r="B1825" s="1" t="n">
        <v>45835.35870370371</v>
      </c>
      <c r="C1825" s="1" t="n">
        <v>46137</v>
      </c>
      <c r="D1825" t="inlineStr">
        <is>
          <t>VÄSTERNORRLANDS LÄN</t>
        </is>
      </c>
      <c r="E1825" t="inlineStr">
        <is>
          <t>ÖRNSKÖLDSVIK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32053-2025</t>
        </is>
      </c>
      <c r="B1826" s="1" t="n">
        <v>45835.44299768518</v>
      </c>
      <c r="C1826" s="1" t="n">
        <v>46137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33906-2023</t>
        </is>
      </c>
      <c r="B1827" s="1" t="n">
        <v>45134.40055555556</v>
      </c>
      <c r="C1827" s="1" t="n">
        <v>46137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31898-2025</t>
        </is>
      </c>
      <c r="B1828" s="1" t="n">
        <v>45834.67975694445</v>
      </c>
      <c r="C1828" s="1" t="n">
        <v>46137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38386-2023</t>
        </is>
      </c>
      <c r="B1829" s="1" t="n">
        <v>45162.28376157407</v>
      </c>
      <c r="C1829" s="1" t="n">
        <v>46137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55006-2025</t>
        </is>
      </c>
      <c r="B1830" s="1" t="n">
        <v>45967.61280092593</v>
      </c>
      <c r="C1830" s="1" t="n">
        <v>46137</v>
      </c>
      <c r="D1830" t="inlineStr">
        <is>
          <t>VÄSTERNORRLANDS LÄN</t>
        </is>
      </c>
      <c r="E1830" t="inlineStr">
        <is>
          <t>ÖRNSKÖLDSVIK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32192-2025</t>
        </is>
      </c>
      <c r="B1831" s="1" t="n">
        <v>45835.57108796296</v>
      </c>
      <c r="C1831" s="1" t="n">
        <v>46137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53924-2023</t>
        </is>
      </c>
      <c r="B1832" s="1" t="n">
        <v>45231.57295138889</v>
      </c>
      <c r="C1832" s="1" t="n">
        <v>46137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6274-2024</t>
        </is>
      </c>
      <c r="B1833" s="1" t="n">
        <v>45337.95461805556</v>
      </c>
      <c r="C1833" s="1" t="n">
        <v>46137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32135-2025</t>
        </is>
      </c>
      <c r="B1834" s="1" t="n">
        <v>45835.51079861111</v>
      </c>
      <c r="C1834" s="1" t="n">
        <v>46137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31893-2025</t>
        </is>
      </c>
      <c r="B1835" s="1" t="n">
        <v>45834.66746527778</v>
      </c>
      <c r="C1835" s="1" t="n">
        <v>46137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8.199999999999999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31972-2025</t>
        </is>
      </c>
      <c r="B1836" s="1" t="n">
        <v>45835.34949074074</v>
      </c>
      <c r="C1836" s="1" t="n">
        <v>46137</v>
      </c>
      <c r="D1836" t="inlineStr">
        <is>
          <t>VÄSTERNORRLANDS LÄN</t>
        </is>
      </c>
      <c r="E1836" t="inlineStr">
        <is>
          <t>ÖRNSKÖLDSVIK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54939-2025</t>
        </is>
      </c>
      <c r="B1837" s="1" t="n">
        <v>45967.43951388889</v>
      </c>
      <c r="C1837" s="1" t="n">
        <v>46137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41979-2023</t>
        </is>
      </c>
      <c r="B1838" s="1" t="n">
        <v>45177.39858796296</v>
      </c>
      <c r="C1838" s="1" t="n">
        <v>46137</v>
      </c>
      <c r="D1838" t="inlineStr">
        <is>
          <t>VÄSTERNORRLANDS LÄN</t>
        </is>
      </c>
      <c r="E1838" t="inlineStr">
        <is>
          <t>ÖRNSKÖLDSVIK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54708-2025</t>
        </is>
      </c>
      <c r="B1839" s="1" t="n">
        <v>45966.49259259259</v>
      </c>
      <c r="C1839" s="1" t="n">
        <v>46137</v>
      </c>
      <c r="D1839" t="inlineStr">
        <is>
          <t>VÄSTERNORRLANDS LÄN</t>
        </is>
      </c>
      <c r="E1839" t="inlineStr">
        <is>
          <t>ÖRNSKÖLDSVIK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19441-2025</t>
        </is>
      </c>
      <c r="B1840" s="1" t="n">
        <v>45770.30892361111</v>
      </c>
      <c r="C1840" s="1" t="n">
        <v>46137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Kommuner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54709-2025</t>
        </is>
      </c>
      <c r="B1841" s="1" t="n">
        <v>45966.49469907407</v>
      </c>
      <c r="C1841" s="1" t="n">
        <v>46137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58287-2024</t>
        </is>
      </c>
      <c r="B1842" s="1" t="n">
        <v>45632.5887037037</v>
      </c>
      <c r="C1842" s="1" t="n">
        <v>46137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32876-2025</t>
        </is>
      </c>
      <c r="B1843" s="1" t="n">
        <v>45839.59461805555</v>
      </c>
      <c r="C1843" s="1" t="n">
        <v>46137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60773-2023</t>
        </is>
      </c>
      <c r="B1844" s="1" t="n">
        <v>45260</v>
      </c>
      <c r="C1844" s="1" t="n">
        <v>46137</v>
      </c>
      <c r="D1844" t="inlineStr">
        <is>
          <t>VÄSTERNORRLANDS LÄN</t>
        </is>
      </c>
      <c r="E1844" t="inlineStr">
        <is>
          <t>ÖRNSKÖLDSVIK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32414-2025</t>
        </is>
      </c>
      <c r="B1845" s="1" t="n">
        <v>45838.34001157407</v>
      </c>
      <c r="C1845" s="1" t="n">
        <v>46137</v>
      </c>
      <c r="D1845" t="inlineStr">
        <is>
          <t>VÄSTERNORRLANDS LÄN</t>
        </is>
      </c>
      <c r="E1845" t="inlineStr">
        <is>
          <t>ÖRNSKÖLDSVIK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54633-2025</t>
        </is>
      </c>
      <c r="B1846" s="1" t="n">
        <v>45966.35143518518</v>
      </c>
      <c r="C1846" s="1" t="n">
        <v>46137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54620-2025</t>
        </is>
      </c>
      <c r="B1847" s="1" t="n">
        <v>45966.34483796296</v>
      </c>
      <c r="C1847" s="1" t="n">
        <v>46137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54696-2025</t>
        </is>
      </c>
      <c r="B1848" s="1" t="n">
        <v>45966.47189814815</v>
      </c>
      <c r="C1848" s="1" t="n">
        <v>46137</v>
      </c>
      <c r="D1848" t="inlineStr">
        <is>
          <t>VÄSTERNORRLANDS LÄN</t>
        </is>
      </c>
      <c r="E1848" t="inlineStr">
        <is>
          <t>ÖRNSKÖLDSVIK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39317-2024</t>
        </is>
      </c>
      <c r="B1849" s="1" t="n">
        <v>45551.40878472223</v>
      </c>
      <c r="C1849" s="1" t="n">
        <v>46137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32557-2025</t>
        </is>
      </c>
      <c r="B1850" s="1" t="n">
        <v>45838.56710648148</v>
      </c>
      <c r="C1850" s="1" t="n">
        <v>46137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9455-2025</t>
        </is>
      </c>
      <c r="B1851" s="1" t="n">
        <v>45715.43388888889</v>
      </c>
      <c r="C1851" s="1" t="n">
        <v>46137</v>
      </c>
      <c r="D1851" t="inlineStr">
        <is>
          <t>VÄSTERNORRLANDS LÄN</t>
        </is>
      </c>
      <c r="E1851" t="inlineStr">
        <is>
          <t>ÖRNSKÖLDSVIK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25001-2024</t>
        </is>
      </c>
      <c r="B1852" s="1" t="n">
        <v>45461.78337962963</v>
      </c>
      <c r="C1852" s="1" t="n">
        <v>46137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55326-2025</t>
        </is>
      </c>
      <c r="B1853" s="1" t="n">
        <v>45971.33721064815</v>
      </c>
      <c r="C1853" s="1" t="n">
        <v>46137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55093-2025</t>
        </is>
      </c>
      <c r="B1854" s="1" t="n">
        <v>45968.34474537037</v>
      </c>
      <c r="C1854" s="1" t="n">
        <v>46137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55387-2025</t>
        </is>
      </c>
      <c r="B1855" s="1" t="n">
        <v>45971.43796296296</v>
      </c>
      <c r="C1855" s="1" t="n">
        <v>46137</v>
      </c>
      <c r="D1855" t="inlineStr">
        <is>
          <t>VÄSTERNORRLANDS LÄN</t>
        </is>
      </c>
      <c r="E1855" t="inlineStr">
        <is>
          <t>ÖRNSKÖLDSVIK</t>
        </is>
      </c>
      <c r="G1855" t="n">
        <v>8.800000000000001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55483-2025</t>
        </is>
      </c>
      <c r="B1856" s="1" t="n">
        <v>45971.56918981481</v>
      </c>
      <c r="C1856" s="1" t="n">
        <v>46137</v>
      </c>
      <c r="D1856" t="inlineStr">
        <is>
          <t>VÄSTERNORRLANDS LÄN</t>
        </is>
      </c>
      <c r="E1856" t="inlineStr">
        <is>
          <t>ÖRNSKÖLDSVIK</t>
        </is>
      </c>
      <c r="G1856" t="n">
        <v>9.199999999999999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9053-2025</t>
        </is>
      </c>
      <c r="B1857" s="1" t="n">
        <v>45713.63590277778</v>
      </c>
      <c r="C1857" s="1" t="n">
        <v>46137</v>
      </c>
      <c r="D1857" t="inlineStr">
        <is>
          <t>VÄSTERNORRLANDS LÄN</t>
        </is>
      </c>
      <c r="E1857" t="inlineStr">
        <is>
          <t>ÖRNSKÖLDSVIK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38714-2024</t>
        </is>
      </c>
      <c r="B1858" s="1" t="n">
        <v>45547.38568287037</v>
      </c>
      <c r="C1858" s="1" t="n">
        <v>46137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55408-2025</t>
        </is>
      </c>
      <c r="B1859" s="1" t="n">
        <v>45971.45810185185</v>
      </c>
      <c r="C1859" s="1" t="n">
        <v>46137</v>
      </c>
      <c r="D1859" t="inlineStr">
        <is>
          <t>VÄSTERNORRLANDS LÄN</t>
        </is>
      </c>
      <c r="E1859" t="inlineStr">
        <is>
          <t>ÖRNSKÖLDSVIK</t>
        </is>
      </c>
      <c r="G1859" t="n">
        <v>6.2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55103-2025</t>
        </is>
      </c>
      <c r="B1860" s="1" t="n">
        <v>45968.3553125</v>
      </c>
      <c r="C1860" s="1" t="n">
        <v>46137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55507-2025</t>
        </is>
      </c>
      <c r="B1861" s="1" t="n">
        <v>45971.59289351852</v>
      </c>
      <c r="C1861" s="1" t="n">
        <v>46137</v>
      </c>
      <c r="D1861" t="inlineStr">
        <is>
          <t>VÄSTERNORRLANDS LÄN</t>
        </is>
      </c>
      <c r="E1861" t="inlineStr">
        <is>
          <t>ÖRNSKÖLDSVIK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55402-2025</t>
        </is>
      </c>
      <c r="B1862" s="1" t="n">
        <v>45971.45252314815</v>
      </c>
      <c r="C1862" s="1" t="n">
        <v>46137</v>
      </c>
      <c r="D1862" t="inlineStr">
        <is>
          <t>VÄSTERNORRLANDS LÄN</t>
        </is>
      </c>
      <c r="E1862" t="inlineStr">
        <is>
          <t>ÖRNSKÖLDSVIK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55091-2025</t>
        </is>
      </c>
      <c r="B1863" s="1" t="n">
        <v>45968.34451388889</v>
      </c>
      <c r="C1863" s="1" t="n">
        <v>46137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55212-2025</t>
        </is>
      </c>
      <c r="B1864" s="1" t="n">
        <v>45968.58164351852</v>
      </c>
      <c r="C1864" s="1" t="n">
        <v>46137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55213-2025</t>
        </is>
      </c>
      <c r="B1865" s="1" t="n">
        <v>45968.5834837963</v>
      </c>
      <c r="C1865" s="1" t="n">
        <v>46137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55214-2025</t>
        </is>
      </c>
      <c r="B1866" s="1" t="n">
        <v>45968.58409722222</v>
      </c>
      <c r="C1866" s="1" t="n">
        <v>46137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55219-2025</t>
        </is>
      </c>
      <c r="B1867" s="1" t="n">
        <v>45968.58971064815</v>
      </c>
      <c r="C1867" s="1" t="n">
        <v>46137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55244-2025</t>
        </is>
      </c>
      <c r="B1868" s="1" t="n">
        <v>45968.6209375</v>
      </c>
      <c r="C1868" s="1" t="n">
        <v>46137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33191-2024</t>
        </is>
      </c>
      <c r="B1869" s="1" t="n">
        <v>45518</v>
      </c>
      <c r="C1869" s="1" t="n">
        <v>46137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18274-2025</t>
        </is>
      </c>
      <c r="B1870" s="1" t="n">
        <v>45762.37736111111</v>
      </c>
      <c r="C1870" s="1" t="n">
        <v>46137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55580-2025</t>
        </is>
      </c>
      <c r="B1871" s="1" t="n">
        <v>45971.67268518519</v>
      </c>
      <c r="C1871" s="1" t="n">
        <v>46137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35941-2024</t>
        </is>
      </c>
      <c r="B1872" s="1" t="n">
        <v>45533</v>
      </c>
      <c r="C1872" s="1" t="n">
        <v>46137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55533-2025</t>
        </is>
      </c>
      <c r="B1873" s="1" t="n">
        <v>45971.62730324074</v>
      </c>
      <c r="C1873" s="1" t="n">
        <v>46137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55348-2025</t>
        </is>
      </c>
      <c r="B1874" s="1" t="n">
        <v>45971.3566087963</v>
      </c>
      <c r="C1874" s="1" t="n">
        <v>46137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55351-2025</t>
        </is>
      </c>
      <c r="B1875" s="1" t="n">
        <v>45971.36251157407</v>
      </c>
      <c r="C1875" s="1" t="n">
        <v>46137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32549-2025</t>
        </is>
      </c>
      <c r="B1876" s="1" t="n">
        <v>45838.5425462963</v>
      </c>
      <c r="C1876" s="1" t="n">
        <v>46137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55449-2025</t>
        </is>
      </c>
      <c r="B1877" s="1" t="n">
        <v>45971.50532407407</v>
      </c>
      <c r="C1877" s="1" t="n">
        <v>46137</v>
      </c>
      <c r="D1877" t="inlineStr">
        <is>
          <t>VÄSTERNORRLANDS LÄN</t>
        </is>
      </c>
      <c r="E1877" t="inlineStr">
        <is>
          <t>ÖRNSKÖLDSVIK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55482-2025</t>
        </is>
      </c>
      <c r="B1878" s="1" t="n">
        <v>45971.56703703704</v>
      </c>
      <c r="C1878" s="1" t="n">
        <v>46137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55204-2025</t>
        </is>
      </c>
      <c r="B1879" s="1" t="n">
        <v>45968.56802083334</v>
      </c>
      <c r="C1879" s="1" t="n">
        <v>46137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33557-2025</t>
        </is>
      </c>
      <c r="B1880" s="1" t="n">
        <v>45841.57519675926</v>
      </c>
      <c r="C1880" s="1" t="n">
        <v>46137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33563-2025</t>
        </is>
      </c>
      <c r="B1881" s="1" t="n">
        <v>45841.57833333333</v>
      </c>
      <c r="C1881" s="1" t="n">
        <v>46137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58702-2023</t>
        </is>
      </c>
      <c r="B1882" s="1" t="n">
        <v>45251.68495370371</v>
      </c>
      <c r="C1882" s="1" t="n">
        <v>46137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34462-2024</t>
        </is>
      </c>
      <c r="B1883" s="1" t="n">
        <v>45525</v>
      </c>
      <c r="C1883" s="1" t="n">
        <v>46137</v>
      </c>
      <c r="D1883" t="inlineStr">
        <is>
          <t>VÄSTERNORRLANDS LÄN</t>
        </is>
      </c>
      <c r="E1883" t="inlineStr">
        <is>
          <t>ÖRNSKÖLDSVIK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33177-2025</t>
        </is>
      </c>
      <c r="B1884" s="1" t="n">
        <v>45840.58792824074</v>
      </c>
      <c r="C1884" s="1" t="n">
        <v>46137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55397-2025</t>
        </is>
      </c>
      <c r="B1885" s="1" t="n">
        <v>45971.4491550926</v>
      </c>
      <c r="C1885" s="1" t="n">
        <v>46137</v>
      </c>
      <c r="D1885" t="inlineStr">
        <is>
          <t>VÄSTERNORRLANDS LÄN</t>
        </is>
      </c>
      <c r="E1885" t="inlineStr">
        <is>
          <t>ÖRNSKÖLDSVIK</t>
        </is>
      </c>
      <c r="G1885" t="n">
        <v>8.4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55466-2025</t>
        </is>
      </c>
      <c r="B1886" s="1" t="n">
        <v>45971.52743055556</v>
      </c>
      <c r="C1886" s="1" t="n">
        <v>46137</v>
      </c>
      <c r="D1886" t="inlineStr">
        <is>
          <t>VÄSTERNORRLANDS LÄN</t>
        </is>
      </c>
      <c r="E1886" t="inlineStr">
        <is>
          <t>ÖRNSKÖLDSVIK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33568-2025</t>
        </is>
      </c>
      <c r="B1887" s="1" t="n">
        <v>45841.58291666667</v>
      </c>
      <c r="C1887" s="1" t="n">
        <v>46137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55193-2025</t>
        </is>
      </c>
      <c r="B1888" s="1" t="n">
        <v>45968.54936342593</v>
      </c>
      <c r="C1888" s="1" t="n">
        <v>46137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33357-2025</t>
        </is>
      </c>
      <c r="B1889" s="1" t="n">
        <v>45841</v>
      </c>
      <c r="C1889" s="1" t="n">
        <v>46137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33359-2025</t>
        </is>
      </c>
      <c r="B1890" s="1" t="n">
        <v>45841.38116898148</v>
      </c>
      <c r="C1890" s="1" t="n">
        <v>46137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55710-2025</t>
        </is>
      </c>
      <c r="B1891" s="1" t="n">
        <v>45972.47881944444</v>
      </c>
      <c r="C1891" s="1" t="n">
        <v>46137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55865-2025</t>
        </is>
      </c>
      <c r="B1892" s="1" t="n">
        <v>45973.34901620371</v>
      </c>
      <c r="C1892" s="1" t="n">
        <v>46137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55749-2025</t>
        </is>
      </c>
      <c r="B1893" s="1" t="n">
        <v>45972.58099537037</v>
      </c>
      <c r="C1893" s="1" t="n">
        <v>46137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21737-2023</t>
        </is>
      </c>
      <c r="B1894" s="1" t="n">
        <v>45065</v>
      </c>
      <c r="C1894" s="1" t="n">
        <v>46137</v>
      </c>
      <c r="D1894" t="inlineStr">
        <is>
          <t>VÄSTERNORRLANDS LÄN</t>
        </is>
      </c>
      <c r="E1894" t="inlineStr">
        <is>
          <t>ÖRNSKÖLDSVIK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33662-2025</t>
        </is>
      </c>
      <c r="B1895" s="1" t="n">
        <v>45841</v>
      </c>
      <c r="C1895" s="1" t="n">
        <v>46137</v>
      </c>
      <c r="D1895" t="inlineStr">
        <is>
          <t>VÄSTERNORRLANDS LÄN</t>
        </is>
      </c>
      <c r="E1895" t="inlineStr">
        <is>
          <t>ÖRNSKÖLDSVIK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55747-2025</t>
        </is>
      </c>
      <c r="B1896" s="1" t="n">
        <v>45972.57777777778</v>
      </c>
      <c r="C1896" s="1" t="n">
        <v>46137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55988-2025</t>
        </is>
      </c>
      <c r="B1897" s="1" t="n">
        <v>45973.55482638889</v>
      </c>
      <c r="C1897" s="1" t="n">
        <v>46137</v>
      </c>
      <c r="D1897" t="inlineStr">
        <is>
          <t>VÄSTERNORRLANDS LÄN</t>
        </is>
      </c>
      <c r="E1897" t="inlineStr">
        <is>
          <t>ÖRNSKÖLDSVIK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55891-2025</t>
        </is>
      </c>
      <c r="B1898" s="1" t="n">
        <v>45973.37886574074</v>
      </c>
      <c r="C1898" s="1" t="n">
        <v>46137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8.5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56013-2025</t>
        </is>
      </c>
      <c r="B1899" s="1" t="n">
        <v>45973.58887731482</v>
      </c>
      <c r="C1899" s="1" t="n">
        <v>46137</v>
      </c>
      <c r="D1899" t="inlineStr">
        <is>
          <t>VÄSTERNORRLANDS LÄN</t>
        </is>
      </c>
      <c r="E1899" t="inlineStr">
        <is>
          <t>ÖRNSKÖLDSVIK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56034-2025</t>
        </is>
      </c>
      <c r="B1900" s="1" t="n">
        <v>45973.6072337963</v>
      </c>
      <c r="C1900" s="1" t="n">
        <v>46137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6510-2025</t>
        </is>
      </c>
      <c r="B1901" s="1" t="n">
        <v>45699</v>
      </c>
      <c r="C1901" s="1" t="n">
        <v>46137</v>
      </c>
      <c r="D1901" t="inlineStr">
        <is>
          <t>VÄSTERNORRLANDS LÄN</t>
        </is>
      </c>
      <c r="E1901" t="inlineStr">
        <is>
          <t>ÖRNSKÖLDSVIK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33558-2025</t>
        </is>
      </c>
      <c r="B1902" s="1" t="n">
        <v>45841.57547453704</v>
      </c>
      <c r="C1902" s="1" t="n">
        <v>46137</v>
      </c>
      <c r="D1902" t="inlineStr">
        <is>
          <t>VÄSTERNORRLANDS LÄN</t>
        </is>
      </c>
      <c r="E1902" t="inlineStr">
        <is>
          <t>ÖRNSKÖLDSVIK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8019-2025</t>
        </is>
      </c>
      <c r="B1903" s="1" t="n">
        <v>45707</v>
      </c>
      <c r="C1903" s="1" t="n">
        <v>46137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8068-2025</t>
        </is>
      </c>
      <c r="B1904" s="1" t="n">
        <v>45707.64283564815</v>
      </c>
      <c r="C1904" s="1" t="n">
        <v>46137</v>
      </c>
      <c r="D1904" t="inlineStr">
        <is>
          <t>VÄSTERNORRLANDS LÄN</t>
        </is>
      </c>
      <c r="E1904" t="inlineStr">
        <is>
          <t>ÖRNSKÖLDSVIK</t>
        </is>
      </c>
      <c r="G1904" t="n">
        <v>12.6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20177-2025</t>
        </is>
      </c>
      <c r="B1905" s="1" t="n">
        <v>45772</v>
      </c>
      <c r="C1905" s="1" t="n">
        <v>46137</v>
      </c>
      <c r="D1905" t="inlineStr">
        <is>
          <t>VÄSTERNORRLANDS LÄN</t>
        </is>
      </c>
      <c r="E1905" t="inlineStr">
        <is>
          <t>ÖRNSKÖLDSVIK</t>
        </is>
      </c>
      <c r="G1905" t="n">
        <v>9.4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33588-2025</t>
        </is>
      </c>
      <c r="B1906" s="1" t="n">
        <v>45841.59636574074</v>
      </c>
      <c r="C1906" s="1" t="n">
        <v>46137</v>
      </c>
      <c r="D1906" t="inlineStr">
        <is>
          <t>VÄSTERNORRLANDS LÄN</t>
        </is>
      </c>
      <c r="E1906" t="inlineStr">
        <is>
          <t>ÖRNSKÖLDSVIK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61212-2024</t>
        </is>
      </c>
      <c r="B1907" s="1" t="n">
        <v>45645.65394675926</v>
      </c>
      <c r="C1907" s="1" t="n">
        <v>46137</v>
      </c>
      <c r="D1907" t="inlineStr">
        <is>
          <t>VÄSTERNORRLANDS LÄN</t>
        </is>
      </c>
      <c r="E1907" t="inlineStr">
        <is>
          <t>ÖRNSKÖLDSVIK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55954-2025</t>
        </is>
      </c>
      <c r="B1908" s="1" t="n">
        <v>45973.47315972222</v>
      </c>
      <c r="C1908" s="1" t="n">
        <v>46137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55960-2025</t>
        </is>
      </c>
      <c r="B1909" s="1" t="n">
        <v>45973.47875</v>
      </c>
      <c r="C1909" s="1" t="n">
        <v>46137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55994-2025</t>
        </is>
      </c>
      <c r="B1910" s="1" t="n">
        <v>45973.56327546296</v>
      </c>
      <c r="C1910" s="1" t="n">
        <v>46137</v>
      </c>
      <c r="D1910" t="inlineStr">
        <is>
          <t>VÄSTERNORRLANDS LÄN</t>
        </is>
      </c>
      <c r="E1910" t="inlineStr">
        <is>
          <t>ÖRNSKÖLDSVIK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30118-2024</t>
        </is>
      </c>
      <c r="B1911" s="1" t="n">
        <v>45489.47517361111</v>
      </c>
      <c r="C1911" s="1" t="n">
        <v>46137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55937-2025</t>
        </is>
      </c>
      <c r="B1912" s="1" t="n">
        <v>45973.44518518518</v>
      </c>
      <c r="C1912" s="1" t="n">
        <v>46137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33471-2025</t>
        </is>
      </c>
      <c r="B1913" s="1" t="n">
        <v>45841.48929398148</v>
      </c>
      <c r="C1913" s="1" t="n">
        <v>46137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33324-2025</t>
        </is>
      </c>
      <c r="B1914" s="1" t="n">
        <v>45841.34554398148</v>
      </c>
      <c r="C1914" s="1" t="n">
        <v>46137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12.4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33620-2025</t>
        </is>
      </c>
      <c r="B1915" s="1" t="n">
        <v>45841</v>
      </c>
      <c r="C1915" s="1" t="n">
        <v>46137</v>
      </c>
      <c r="D1915" t="inlineStr">
        <is>
          <t>VÄSTERNORRLANDS LÄN</t>
        </is>
      </c>
      <c r="E1915" t="inlineStr">
        <is>
          <t>ÖRNSKÖLDSVIK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31410-2024</t>
        </is>
      </c>
      <c r="B1916" s="1" t="n">
        <v>45505.60340277778</v>
      </c>
      <c r="C1916" s="1" t="n">
        <v>46137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55657-2025</t>
        </is>
      </c>
      <c r="B1917" s="1" t="n">
        <v>45972.39055555555</v>
      </c>
      <c r="C1917" s="1" t="n">
        <v>46137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33047-2025</t>
        </is>
      </c>
      <c r="B1918" s="1" t="n">
        <v>45840.41137731481</v>
      </c>
      <c r="C1918" s="1" t="n">
        <v>46137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56053-2025</t>
        </is>
      </c>
      <c r="B1919" s="1" t="n">
        <v>45973.63196759259</v>
      </c>
      <c r="C1919" s="1" t="n">
        <v>46137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33587-2025</t>
        </is>
      </c>
      <c r="B1920" s="1" t="n">
        <v>45841</v>
      </c>
      <c r="C1920" s="1" t="n">
        <v>46137</v>
      </c>
      <c r="D1920" t="inlineStr">
        <is>
          <t>VÄSTERNORRLANDS LÄN</t>
        </is>
      </c>
      <c r="E1920" t="inlineStr">
        <is>
          <t>ÖRNSKÖLDSVIK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55779-2025</t>
        </is>
      </c>
      <c r="B1921" s="1" t="n">
        <v>45972.62805555556</v>
      </c>
      <c r="C1921" s="1" t="n">
        <v>46137</v>
      </c>
      <c r="D1921" t="inlineStr">
        <is>
          <t>VÄSTERNORRLANDS LÄN</t>
        </is>
      </c>
      <c r="E1921" t="inlineStr">
        <is>
          <t>ÖRNSKÖLDSVIK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55655-2025</t>
        </is>
      </c>
      <c r="B1922" s="1" t="n">
        <v>45972.38774305556</v>
      </c>
      <c r="C1922" s="1" t="n">
        <v>46137</v>
      </c>
      <c r="D1922" t="inlineStr">
        <is>
          <t>VÄSTERNORRLANDS LÄN</t>
        </is>
      </c>
      <c r="E1922" t="inlineStr">
        <is>
          <t>ÖRNSKÖLDSVIK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55659-2025</t>
        </is>
      </c>
      <c r="B1923" s="1" t="n">
        <v>45972.39212962963</v>
      </c>
      <c r="C1923" s="1" t="n">
        <v>46137</v>
      </c>
      <c r="D1923" t="inlineStr">
        <is>
          <t>VÄSTERNORRLANDS LÄN</t>
        </is>
      </c>
      <c r="E1923" t="inlineStr">
        <is>
          <t>ÖRNSKÖLDSVIK</t>
        </is>
      </c>
      <c r="G1923" t="n">
        <v>5.5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55933-2025</t>
        </is>
      </c>
      <c r="B1924" s="1" t="n">
        <v>45973.4406712963</v>
      </c>
      <c r="C1924" s="1" t="n">
        <v>46137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55935-2025</t>
        </is>
      </c>
      <c r="B1925" s="1" t="n">
        <v>45973.44372685185</v>
      </c>
      <c r="C1925" s="1" t="n">
        <v>46137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33633-2025</t>
        </is>
      </c>
      <c r="B1926" s="1" t="n">
        <v>45841.64363425926</v>
      </c>
      <c r="C1926" s="1" t="n">
        <v>46137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33634-2025</t>
        </is>
      </c>
      <c r="B1927" s="1" t="n">
        <v>45841.64438657407</v>
      </c>
      <c r="C1927" s="1" t="n">
        <v>46137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1745-2025</t>
        </is>
      </c>
      <c r="B1928" s="1" t="n">
        <v>45671.40597222222</v>
      </c>
      <c r="C1928" s="1" t="n">
        <v>46137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55862-2025</t>
        </is>
      </c>
      <c r="B1929" s="1" t="n">
        <v>45973.34611111111</v>
      </c>
      <c r="C1929" s="1" t="n">
        <v>46137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55904-2025</t>
        </is>
      </c>
      <c r="B1930" s="1" t="n">
        <v>45973.39056712963</v>
      </c>
      <c r="C1930" s="1" t="n">
        <v>46137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55663-2025</t>
        </is>
      </c>
      <c r="B1931" s="1" t="n">
        <v>45972.3959837963</v>
      </c>
      <c r="C1931" s="1" t="n">
        <v>46137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55667-2025</t>
        </is>
      </c>
      <c r="B1932" s="1" t="n">
        <v>45972.40171296296</v>
      </c>
      <c r="C1932" s="1" t="n">
        <v>46137</v>
      </c>
      <c r="D1932" t="inlineStr">
        <is>
          <t>VÄSTERNORRLANDS LÄN</t>
        </is>
      </c>
      <c r="E1932" t="inlineStr">
        <is>
          <t>ÖRNSKÖLDSVIK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56313-2025</t>
        </is>
      </c>
      <c r="B1933" s="1" t="n">
        <v>45974.62903935185</v>
      </c>
      <c r="C1933" s="1" t="n">
        <v>46137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33596-2025</t>
        </is>
      </c>
      <c r="B1934" s="1" t="n">
        <v>45841.6034375</v>
      </c>
      <c r="C1934" s="1" t="n">
        <v>46137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33656-2025</t>
        </is>
      </c>
      <c r="B1935" s="1" t="n">
        <v>45841.65966435185</v>
      </c>
      <c r="C1935" s="1" t="n">
        <v>46137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8.1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33652-2025</t>
        </is>
      </c>
      <c r="B1936" s="1" t="n">
        <v>45841.65756944445</v>
      </c>
      <c r="C1936" s="1" t="n">
        <v>46137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33480-2025</t>
        </is>
      </c>
      <c r="B1937" s="1" t="n">
        <v>45841.49800925926</v>
      </c>
      <c r="C1937" s="1" t="n">
        <v>46137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13585-2025</t>
        </is>
      </c>
      <c r="B1938" s="1" t="n">
        <v>45736.59268518518</v>
      </c>
      <c r="C1938" s="1" t="n">
        <v>46137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47164-2023</t>
        </is>
      </c>
      <c r="B1939" s="1" t="n">
        <v>45201</v>
      </c>
      <c r="C1939" s="1" t="n">
        <v>46137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56462-2025</t>
        </is>
      </c>
      <c r="B1940" s="1" t="n">
        <v>45975.37075231481</v>
      </c>
      <c r="C1940" s="1" t="n">
        <v>46137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33401-2025</t>
        </is>
      </c>
      <c r="B1941" s="1" t="n">
        <v>45841.42359953704</v>
      </c>
      <c r="C1941" s="1" t="n">
        <v>46137</v>
      </c>
      <c r="D1941" t="inlineStr">
        <is>
          <t>VÄSTERNORRLANDS LÄN</t>
        </is>
      </c>
      <c r="E1941" t="inlineStr">
        <is>
          <t>ÖRNSKÖLDSVIK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33847-2025</t>
        </is>
      </c>
      <c r="B1942" s="1" t="n">
        <v>45842.49149305555</v>
      </c>
      <c r="C1942" s="1" t="n">
        <v>46137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56496-2025</t>
        </is>
      </c>
      <c r="B1943" s="1" t="n">
        <v>45975.42769675926</v>
      </c>
      <c r="C1943" s="1" t="n">
        <v>46137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56222-2025</t>
        </is>
      </c>
      <c r="B1944" s="1" t="n">
        <v>45974.50135416666</v>
      </c>
      <c r="C1944" s="1" t="n">
        <v>46137</v>
      </c>
      <c r="D1944" t="inlineStr">
        <is>
          <t>VÄSTERNORRLANDS LÄN</t>
        </is>
      </c>
      <c r="E1944" t="inlineStr">
        <is>
          <t>ÖRNSKÖLDSVIK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34074-2025</t>
        </is>
      </c>
      <c r="B1945" s="1" t="n">
        <v>45845.44815972223</v>
      </c>
      <c r="C1945" s="1" t="n">
        <v>46137</v>
      </c>
      <c r="D1945" t="inlineStr">
        <is>
          <t>VÄSTERNORRLANDS LÄN</t>
        </is>
      </c>
      <c r="E1945" t="inlineStr">
        <is>
          <t>ÖRNSKÖLDSVIK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48913-2023</t>
        </is>
      </c>
      <c r="B1946" s="1" t="n">
        <v>45204</v>
      </c>
      <c r="C1946" s="1" t="n">
        <v>46137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33911-2025</t>
        </is>
      </c>
      <c r="B1947" s="1" t="n">
        <v>45842.60388888889</v>
      </c>
      <c r="C1947" s="1" t="n">
        <v>46137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56153-2025</t>
        </is>
      </c>
      <c r="B1948" s="1" t="n">
        <v>45974.36501157407</v>
      </c>
      <c r="C1948" s="1" t="n">
        <v>46137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56450-2025</t>
        </is>
      </c>
      <c r="B1949" s="1" t="n">
        <v>45975.35300925926</v>
      </c>
      <c r="C1949" s="1" t="n">
        <v>46137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34422-2025</t>
        </is>
      </c>
      <c r="B1950" s="1" t="n">
        <v>45845</v>
      </c>
      <c r="C1950" s="1" t="n">
        <v>46137</v>
      </c>
      <c r="D1950" t="inlineStr">
        <is>
          <t>VÄSTERNORRLANDS LÄN</t>
        </is>
      </c>
      <c r="E1950" t="inlineStr">
        <is>
          <t>ÖRNSKÖLDSVIK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33727-2025</t>
        </is>
      </c>
      <c r="B1951" s="1" t="n">
        <v>45842.28965277778</v>
      </c>
      <c r="C1951" s="1" t="n">
        <v>46137</v>
      </c>
      <c r="D1951" t="inlineStr">
        <is>
          <t>VÄSTERNORRLANDS LÄN</t>
        </is>
      </c>
      <c r="E1951" t="inlineStr">
        <is>
          <t>ÖRNSKÖLDSVIK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34445-2025</t>
        </is>
      </c>
      <c r="B1952" s="1" t="n">
        <v>45845</v>
      </c>
      <c r="C1952" s="1" t="n">
        <v>46137</v>
      </c>
      <c r="D1952" t="inlineStr">
        <is>
          <t>VÄSTERNORRLANDS LÄN</t>
        </is>
      </c>
      <c r="E1952" t="inlineStr">
        <is>
          <t>ÖRNSKÖLDSVIK</t>
        </is>
      </c>
      <c r="G1952" t="n">
        <v>24.6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33751-2025</t>
        </is>
      </c>
      <c r="B1953" s="1" t="n">
        <v>45842.3641087963</v>
      </c>
      <c r="C1953" s="1" t="n">
        <v>46137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56160-2025</t>
        </is>
      </c>
      <c r="B1954" s="1" t="n">
        <v>45974.37546296296</v>
      </c>
      <c r="C1954" s="1" t="n">
        <v>46137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56164-2025</t>
        </is>
      </c>
      <c r="B1955" s="1" t="n">
        <v>45974.38157407408</v>
      </c>
      <c r="C1955" s="1" t="n">
        <v>46137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56482-2025</t>
        </is>
      </c>
      <c r="B1956" s="1" t="n">
        <v>45975.40417824074</v>
      </c>
      <c r="C1956" s="1" t="n">
        <v>46137</v>
      </c>
      <c r="D1956" t="inlineStr">
        <is>
          <t>VÄSTERNORRLANDS LÄN</t>
        </is>
      </c>
      <c r="E1956" t="inlineStr">
        <is>
          <t>ÖRNSKÖLDSVIK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26590-2024</t>
        </is>
      </c>
      <c r="B1957" s="1" t="n">
        <v>45469.68261574074</v>
      </c>
      <c r="C1957" s="1" t="n">
        <v>46137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34259-2025</t>
        </is>
      </c>
      <c r="B1958" s="1" t="n">
        <v>45845.71927083333</v>
      </c>
      <c r="C1958" s="1" t="n">
        <v>46137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33734-2025</t>
        </is>
      </c>
      <c r="B1959" s="1" t="n">
        <v>45842.32634259259</v>
      </c>
      <c r="C1959" s="1" t="n">
        <v>46137</v>
      </c>
      <c r="D1959" t="inlineStr">
        <is>
          <t>VÄSTERNORRLANDS LÄN</t>
        </is>
      </c>
      <c r="E1959" t="inlineStr">
        <is>
          <t>ÖRNSKÖLDSVIK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33735-2025</t>
        </is>
      </c>
      <c r="B1960" s="1" t="n">
        <v>45842.33105324074</v>
      </c>
      <c r="C1960" s="1" t="n">
        <v>46137</v>
      </c>
      <c r="D1960" t="inlineStr">
        <is>
          <t>VÄSTERNORRLANDS LÄN</t>
        </is>
      </c>
      <c r="E1960" t="inlineStr">
        <is>
          <t>ÖRNSKÖLDSVIK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33739-2025</t>
        </is>
      </c>
      <c r="B1961" s="1" t="n">
        <v>45842.34015046297</v>
      </c>
      <c r="C1961" s="1" t="n">
        <v>46137</v>
      </c>
      <c r="D1961" t="inlineStr">
        <is>
          <t>VÄSTERNORRLANDS LÄN</t>
        </is>
      </c>
      <c r="E1961" t="inlineStr">
        <is>
          <t>ÖRNSKÖLDSVIK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34431-2025</t>
        </is>
      </c>
      <c r="B1962" s="1" t="n">
        <v>45845</v>
      </c>
      <c r="C1962" s="1" t="n">
        <v>46137</v>
      </c>
      <c r="D1962" t="inlineStr">
        <is>
          <t>VÄSTERNORRLANDS LÄN</t>
        </is>
      </c>
      <c r="E1962" t="inlineStr">
        <is>
          <t>ÖRNSKÖLDSVIK</t>
        </is>
      </c>
      <c r="G1962" t="n">
        <v>7.4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34432-2025</t>
        </is>
      </c>
      <c r="B1963" s="1" t="n">
        <v>45845</v>
      </c>
      <c r="C1963" s="1" t="n">
        <v>46137</v>
      </c>
      <c r="D1963" t="inlineStr">
        <is>
          <t>VÄSTERNORRLANDS LÄN</t>
        </is>
      </c>
      <c r="E1963" t="inlineStr">
        <is>
          <t>ÖRNSKÖLDSVIK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56223-2025</t>
        </is>
      </c>
      <c r="B1964" s="1" t="n">
        <v>45974.50142361111</v>
      </c>
      <c r="C1964" s="1" t="n">
        <v>46137</v>
      </c>
      <c r="D1964" t="inlineStr">
        <is>
          <t>VÄSTERNORRLANDS LÄN</t>
        </is>
      </c>
      <c r="E1964" t="inlineStr">
        <is>
          <t>ÖRNSKÖLDSVIK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33886-2025</t>
        </is>
      </c>
      <c r="B1965" s="1" t="n">
        <v>45842.57224537037</v>
      </c>
      <c r="C1965" s="1" t="n">
        <v>46137</v>
      </c>
      <c r="D1965" t="inlineStr">
        <is>
          <t>VÄSTERNORRLANDS LÄN</t>
        </is>
      </c>
      <c r="E1965" t="inlineStr">
        <is>
          <t>ÖRNSKÖLDSVIK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34428-2025</t>
        </is>
      </c>
      <c r="B1966" s="1" t="n">
        <v>45845</v>
      </c>
      <c r="C1966" s="1" t="n">
        <v>46137</v>
      </c>
      <c r="D1966" t="inlineStr">
        <is>
          <t>VÄSTERNORRLANDS LÄN</t>
        </is>
      </c>
      <c r="E1966" t="inlineStr">
        <is>
          <t>ÖRNSKÖLDSVIK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34447-2025</t>
        </is>
      </c>
      <c r="B1967" s="1" t="n">
        <v>45845</v>
      </c>
      <c r="C1967" s="1" t="n">
        <v>46137</v>
      </c>
      <c r="D1967" t="inlineStr">
        <is>
          <t>VÄSTERNORRLANDS LÄN</t>
        </is>
      </c>
      <c r="E1967" t="inlineStr">
        <is>
          <t>ÖRNSKÖLDSVIK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56992-2025</t>
        </is>
      </c>
      <c r="B1968" s="1" t="n">
        <v>45978.72902777778</v>
      </c>
      <c r="C1968" s="1" t="n">
        <v>46137</v>
      </c>
      <c r="D1968" t="inlineStr">
        <is>
          <t>VÄSTERNORRLANDS LÄN</t>
        </is>
      </c>
      <c r="E1968" t="inlineStr">
        <is>
          <t>ÖRNSKÖLDSVIK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56764-2025</t>
        </is>
      </c>
      <c r="B1969" s="1" t="n">
        <v>45978.38006944444</v>
      </c>
      <c r="C1969" s="1" t="n">
        <v>46137</v>
      </c>
      <c r="D1969" t="inlineStr">
        <is>
          <t>VÄSTERNORRLANDS LÄN</t>
        </is>
      </c>
      <c r="E1969" t="inlineStr">
        <is>
          <t>ÖRNSKÖLDSVIK</t>
        </is>
      </c>
      <c r="G1969" t="n">
        <v>6.8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42396-2023</t>
        </is>
      </c>
      <c r="B1970" s="1" t="n">
        <v>45175</v>
      </c>
      <c r="C1970" s="1" t="n">
        <v>46137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56838-2025</t>
        </is>
      </c>
      <c r="B1971" s="1" t="n">
        <v>45978.48047453703</v>
      </c>
      <c r="C1971" s="1" t="n">
        <v>46137</v>
      </c>
      <c r="D1971" t="inlineStr">
        <is>
          <t>VÄSTERNORRLANDS LÄN</t>
        </is>
      </c>
      <c r="E1971" t="inlineStr">
        <is>
          <t>ÖRNSKÖLDSVIK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34063-2025</t>
        </is>
      </c>
      <c r="B1972" s="1" t="n">
        <v>45845.42737268518</v>
      </c>
      <c r="C1972" s="1" t="n">
        <v>46137</v>
      </c>
      <c r="D1972" t="inlineStr">
        <is>
          <t>VÄSTERNORRLANDS LÄN</t>
        </is>
      </c>
      <c r="E1972" t="inlineStr">
        <is>
          <t>ÖRNSKÖLDSVIK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34448-2025</t>
        </is>
      </c>
      <c r="B1973" s="1" t="n">
        <v>45845</v>
      </c>
      <c r="C1973" s="1" t="n">
        <v>46137</v>
      </c>
      <c r="D1973" t="inlineStr">
        <is>
          <t>VÄSTERNORRLANDS LÄN</t>
        </is>
      </c>
      <c r="E1973" t="inlineStr">
        <is>
          <t>ÖRNSKÖLDSVIK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34449-2025</t>
        </is>
      </c>
      <c r="B1974" s="1" t="n">
        <v>45845</v>
      </c>
      <c r="C1974" s="1" t="n">
        <v>46137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56995-2025</t>
        </is>
      </c>
      <c r="B1975" s="1" t="n">
        <v>45978.73090277778</v>
      </c>
      <c r="C1975" s="1" t="n">
        <v>46137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57056-2025</t>
        </is>
      </c>
      <c r="B1976" s="1" t="n">
        <v>45979.36449074074</v>
      </c>
      <c r="C1976" s="1" t="n">
        <v>46137</v>
      </c>
      <c r="D1976" t="inlineStr">
        <is>
          <t>VÄSTERNORRLANDS LÄN</t>
        </is>
      </c>
      <c r="E1976" t="inlineStr">
        <is>
          <t>ÖRNSKÖLDSVIK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57091-2025</t>
        </is>
      </c>
      <c r="B1977" s="1" t="n">
        <v>45979.42734953704</v>
      </c>
      <c r="C1977" s="1" t="n">
        <v>46137</v>
      </c>
      <c r="D1977" t="inlineStr">
        <is>
          <t>VÄSTERNORRLANDS LÄN</t>
        </is>
      </c>
      <c r="E1977" t="inlineStr">
        <is>
          <t>ÖRNSKÖLDSVIK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57112-2025</t>
        </is>
      </c>
      <c r="B1978" s="1" t="n">
        <v>45979.4540625</v>
      </c>
      <c r="C1978" s="1" t="n">
        <v>46137</v>
      </c>
      <c r="D1978" t="inlineStr">
        <is>
          <t>VÄSTERNORRLANDS LÄN</t>
        </is>
      </c>
      <c r="E1978" t="inlineStr">
        <is>
          <t>ÖRNSKÖLDSVIK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57199-2025</t>
        </is>
      </c>
      <c r="B1979" s="1" t="n">
        <v>45979.58260416667</v>
      </c>
      <c r="C1979" s="1" t="n">
        <v>46137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34420-2025</t>
        </is>
      </c>
      <c r="B1980" s="1" t="n">
        <v>45846.66490740741</v>
      </c>
      <c r="C1980" s="1" t="n">
        <v>46137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34494-2025</t>
        </is>
      </c>
      <c r="B1981" s="1" t="n">
        <v>45847.42627314815</v>
      </c>
      <c r="C1981" s="1" t="n">
        <v>46137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34506-2025</t>
        </is>
      </c>
      <c r="B1982" s="1" t="n">
        <v>45847.44273148148</v>
      </c>
      <c r="C1982" s="1" t="n">
        <v>46137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57177-2025</t>
        </is>
      </c>
      <c r="B1983" s="1" t="n">
        <v>45979.55256944444</v>
      </c>
      <c r="C1983" s="1" t="n">
        <v>46137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34487-2025</t>
        </is>
      </c>
      <c r="B1984" s="1" t="n">
        <v>45847.40361111111</v>
      </c>
      <c r="C1984" s="1" t="n">
        <v>46137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54500-2021</t>
        </is>
      </c>
      <c r="B1985" s="1" t="n">
        <v>44473.50857638889</v>
      </c>
      <c r="C1985" s="1" t="n">
        <v>46137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34551-2025</t>
        </is>
      </c>
      <c r="B1986" s="1" t="n">
        <v>45847.56693287037</v>
      </c>
      <c r="C1986" s="1" t="n">
        <v>46137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56842-2025</t>
        </is>
      </c>
      <c r="B1987" s="1" t="n">
        <v>45978.48265046296</v>
      </c>
      <c r="C1987" s="1" t="n">
        <v>46137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34427-2025</t>
        </is>
      </c>
      <c r="B1988" s="1" t="n">
        <v>45846.67054398148</v>
      </c>
      <c r="C1988" s="1" t="n">
        <v>46137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56836-2025</t>
        </is>
      </c>
      <c r="B1989" s="1" t="n">
        <v>45978.47797453704</v>
      </c>
      <c r="C1989" s="1" t="n">
        <v>46137</v>
      </c>
      <c r="D1989" t="inlineStr">
        <is>
          <t>VÄSTERNORRLANDS LÄN</t>
        </is>
      </c>
      <c r="E1989" t="inlineStr">
        <is>
          <t>ÖRNSKÖLDSVIK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45943-2023</t>
        </is>
      </c>
      <c r="B1990" s="1" t="n">
        <v>45195</v>
      </c>
      <c r="C1990" s="1" t="n">
        <v>46137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56933-2025</t>
        </is>
      </c>
      <c r="B1991" s="1" t="n">
        <v>45978.6121412037</v>
      </c>
      <c r="C1991" s="1" t="n">
        <v>46137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9.300000000000001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56961-2025</t>
        </is>
      </c>
      <c r="B1992" s="1" t="n">
        <v>45978.65909722223</v>
      </c>
      <c r="C1992" s="1" t="n">
        <v>46137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34599-2025</t>
        </is>
      </c>
      <c r="B1993" s="1" t="n">
        <v>45846</v>
      </c>
      <c r="C1993" s="1" t="n">
        <v>46137</v>
      </c>
      <c r="D1993" t="inlineStr">
        <is>
          <t>VÄSTERNORRLANDS LÄN</t>
        </is>
      </c>
      <c r="E1993" t="inlineStr">
        <is>
          <t>ÖRNSKÖLDSVIK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34483-2025</t>
        </is>
      </c>
      <c r="B1994" s="1" t="n">
        <v>45847.38934027778</v>
      </c>
      <c r="C1994" s="1" t="n">
        <v>46137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42354-2021</t>
        </is>
      </c>
      <c r="B1995" s="1" t="n">
        <v>44427.44137731481</v>
      </c>
      <c r="C1995" s="1" t="n">
        <v>46137</v>
      </c>
      <c r="D1995" t="inlineStr">
        <is>
          <t>VÄSTERNORRLANDS LÄN</t>
        </is>
      </c>
      <c r="E1995" t="inlineStr">
        <is>
          <t>ÖRNSKÖLDSVIK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11925-2024</t>
        </is>
      </c>
      <c r="B1996" s="1" t="n">
        <v>45376.64160879629</v>
      </c>
      <c r="C1996" s="1" t="n">
        <v>46137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34594-2025</t>
        </is>
      </c>
      <c r="B1997" s="1" t="n">
        <v>45846</v>
      </c>
      <c r="C1997" s="1" t="n">
        <v>46137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57680-2025</t>
        </is>
      </c>
      <c r="B1998" s="1" t="n">
        <v>45980.30439814815</v>
      </c>
      <c r="C1998" s="1" t="n">
        <v>46137</v>
      </c>
      <c r="D1998" t="inlineStr">
        <is>
          <t>VÄSTERNORRLANDS LÄN</t>
        </is>
      </c>
      <c r="E1998" t="inlineStr">
        <is>
          <t>ÖRNSKÖLDSVIK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57573-2025</t>
        </is>
      </c>
      <c r="B1999" s="1" t="n">
        <v>45980.83989583333</v>
      </c>
      <c r="C1999" s="1" t="n">
        <v>46137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57389-2025</t>
        </is>
      </c>
      <c r="B2000" s="1" t="n">
        <v>45980.41826388889</v>
      </c>
      <c r="C2000" s="1" t="n">
        <v>46137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57432-2025</t>
        </is>
      </c>
      <c r="B2001" s="1" t="n">
        <v>45980.47539351852</v>
      </c>
      <c r="C2001" s="1" t="n">
        <v>46137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57438-2025</t>
        </is>
      </c>
      <c r="B2002" s="1" t="n">
        <v>45980.48119212963</v>
      </c>
      <c r="C2002" s="1" t="n">
        <v>46137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60867-2021</t>
        </is>
      </c>
      <c r="B2003" s="1" t="n">
        <v>44497</v>
      </c>
      <c r="C2003" s="1" t="n">
        <v>46137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21322-2024</t>
        </is>
      </c>
      <c r="B2004" s="1" t="n">
        <v>45440.74586805556</v>
      </c>
      <c r="C2004" s="1" t="n">
        <v>46137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34704-2025</t>
        </is>
      </c>
      <c r="B2005" s="1" t="n">
        <v>45848.48954861111</v>
      </c>
      <c r="C2005" s="1" t="n">
        <v>46137</v>
      </c>
      <c r="D2005" t="inlineStr">
        <is>
          <t>VÄSTERNORRLANDS LÄN</t>
        </is>
      </c>
      <c r="E2005" t="inlineStr">
        <is>
          <t>ÖRNSKÖLDSVIK</t>
        </is>
      </c>
      <c r="G2005" t="n">
        <v>12.2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57568-2025</t>
        </is>
      </c>
      <c r="B2006" s="1" t="n">
        <v>45980</v>
      </c>
      <c r="C2006" s="1" t="n">
        <v>46137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34820-2025</t>
        </is>
      </c>
      <c r="B2007" s="1" t="n">
        <v>45849</v>
      </c>
      <c r="C2007" s="1" t="n">
        <v>46137</v>
      </c>
      <c r="D2007" t="inlineStr">
        <is>
          <t>VÄSTERNORRLANDS LÄN</t>
        </is>
      </c>
      <c r="E2007" t="inlineStr">
        <is>
          <t>ÖRNSKÖLDSVIK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40134-2023</t>
        </is>
      </c>
      <c r="B2008" s="1" t="n">
        <v>45169.33306712963</v>
      </c>
      <c r="C2008" s="1" t="n">
        <v>46137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34606-2025</t>
        </is>
      </c>
      <c r="B2009" s="1" t="n">
        <v>45846</v>
      </c>
      <c r="C2009" s="1" t="n">
        <v>46137</v>
      </c>
      <c r="D2009" t="inlineStr">
        <is>
          <t>VÄSTERNORRLANDS LÄN</t>
        </is>
      </c>
      <c r="E2009" t="inlineStr">
        <is>
          <t>ÖRNSKÖLDSVIK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34731-2025</t>
        </is>
      </c>
      <c r="B2010" s="1" t="n">
        <v>45848</v>
      </c>
      <c r="C2010" s="1" t="n">
        <v>46137</v>
      </c>
      <c r="D2010" t="inlineStr">
        <is>
          <t>VÄSTERNORRLANDS LÄN</t>
        </is>
      </c>
      <c r="E2010" t="inlineStr">
        <is>
          <t>ÖRNSKÖLDSVIK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58117-2025</t>
        </is>
      </c>
      <c r="B2011" s="1" t="n">
        <v>45981</v>
      </c>
      <c r="C2011" s="1" t="n">
        <v>46137</v>
      </c>
      <c r="D2011" t="inlineStr">
        <is>
          <t>VÄSTERNORRLANDS LÄN</t>
        </is>
      </c>
      <c r="E2011" t="inlineStr">
        <is>
          <t>ÖRNSKÖLDSVIK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57375-2025</t>
        </is>
      </c>
      <c r="B2012" s="1" t="n">
        <v>45980.39178240741</v>
      </c>
      <c r="C2012" s="1" t="n">
        <v>46137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57866-2025</t>
        </is>
      </c>
      <c r="B2013" s="1" t="n">
        <v>45981.65011574074</v>
      </c>
      <c r="C2013" s="1" t="n">
        <v>46137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57619-2025</t>
        </is>
      </c>
      <c r="B2014" s="1" t="n">
        <v>45981.34528935186</v>
      </c>
      <c r="C2014" s="1" t="n">
        <v>46137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57798-2025</t>
        </is>
      </c>
      <c r="B2015" s="1" t="n">
        <v>45981.58322916667</v>
      </c>
      <c r="C2015" s="1" t="n">
        <v>46137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48323-2023</t>
        </is>
      </c>
      <c r="B2016" s="1" t="n">
        <v>45201</v>
      </c>
      <c r="C2016" s="1" t="n">
        <v>46137</v>
      </c>
      <c r="D2016" t="inlineStr">
        <is>
          <t>VÄSTERNORRLANDS LÄN</t>
        </is>
      </c>
      <c r="E2016" t="inlineStr">
        <is>
          <t>ÖRNSKÖLDSVIK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57570-2025</t>
        </is>
      </c>
      <c r="B2017" s="1" t="n">
        <v>45980.78699074074</v>
      </c>
      <c r="C2017" s="1" t="n">
        <v>46137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57470-2025</t>
        </is>
      </c>
      <c r="B2018" s="1" t="n">
        <v>45980.56049768518</v>
      </c>
      <c r="C2018" s="1" t="n">
        <v>46137</v>
      </c>
      <c r="D2018" t="inlineStr">
        <is>
          <t>VÄSTERNORRLANDS LÄN</t>
        </is>
      </c>
      <c r="E2018" t="inlineStr">
        <is>
          <t>ÖRNSKÖLDSVIK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57507-2025</t>
        </is>
      </c>
      <c r="B2019" s="1" t="n">
        <v>45980.59819444444</v>
      </c>
      <c r="C2019" s="1" t="n">
        <v>46137</v>
      </c>
      <c r="D2019" t="inlineStr">
        <is>
          <t>VÄSTERNORRLANDS LÄN</t>
        </is>
      </c>
      <c r="E2019" t="inlineStr">
        <is>
          <t>ÖRNSKÖLDSVIK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57574-2025</t>
        </is>
      </c>
      <c r="B2020" s="1" t="n">
        <v>45980.84548611111</v>
      </c>
      <c r="C2020" s="1" t="n">
        <v>46137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57475-2025</t>
        </is>
      </c>
      <c r="B2021" s="1" t="n">
        <v>45980.56775462963</v>
      </c>
      <c r="C2021" s="1" t="n">
        <v>46137</v>
      </c>
      <c r="D2021" t="inlineStr">
        <is>
          <t>VÄSTERNORRLANDS LÄN</t>
        </is>
      </c>
      <c r="E2021" t="inlineStr">
        <is>
          <t>ÖRNSKÖLDSVIK</t>
        </is>
      </c>
      <c r="G2021" t="n">
        <v>6.5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57941-2025</t>
        </is>
      </c>
      <c r="B2022" s="1" t="n">
        <v>45982.30282407408</v>
      </c>
      <c r="C2022" s="1" t="n">
        <v>46137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57951-2025</t>
        </is>
      </c>
      <c r="B2023" s="1" t="n">
        <v>45982</v>
      </c>
      <c r="C2023" s="1" t="n">
        <v>46137</v>
      </c>
      <c r="D2023" t="inlineStr">
        <is>
          <t>VÄSTERNORRLANDS LÄN</t>
        </is>
      </c>
      <c r="E2023" t="inlineStr">
        <is>
          <t>ÖRNSKÖLDSVIK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35166-2025</t>
        </is>
      </c>
      <c r="B2024" s="1" t="n">
        <v>45852</v>
      </c>
      <c r="C2024" s="1" t="n">
        <v>46137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58400-2025</t>
        </is>
      </c>
      <c r="B2025" s="1" t="n">
        <v>45985.56395833333</v>
      </c>
      <c r="C2025" s="1" t="n">
        <v>46137</v>
      </c>
      <c r="D2025" t="inlineStr">
        <is>
          <t>VÄSTERNORRLANDS LÄN</t>
        </is>
      </c>
      <c r="E2025" t="inlineStr">
        <is>
          <t>ÖRNSKÖLDSVIK</t>
        </is>
      </c>
      <c r="G2025" t="n">
        <v>9.6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35246-2025</t>
        </is>
      </c>
      <c r="B2026" s="1" t="n">
        <v>45853.64482638889</v>
      </c>
      <c r="C2026" s="1" t="n">
        <v>46137</v>
      </c>
      <c r="D2026" t="inlineStr">
        <is>
          <t>VÄSTERNORRLANDS LÄN</t>
        </is>
      </c>
      <c r="E2026" t="inlineStr">
        <is>
          <t>ÖRNSKÖLDSVIK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35005-2025</t>
        </is>
      </c>
      <c r="B2027" s="1" t="n">
        <v>45850.736875</v>
      </c>
      <c r="C2027" s="1" t="n">
        <v>46137</v>
      </c>
      <c r="D2027" t="inlineStr">
        <is>
          <t>VÄSTERNORRLANDS LÄN</t>
        </is>
      </c>
      <c r="E2027" t="inlineStr">
        <is>
          <t>ÖRNSKÖLDSVIK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27952-2023</t>
        </is>
      </c>
      <c r="B2028" s="1" t="n">
        <v>45098.6758912037</v>
      </c>
      <c r="C2028" s="1" t="n">
        <v>46137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1595-2025</t>
        </is>
      </c>
      <c r="B2029" s="1" t="n">
        <v>45667</v>
      </c>
      <c r="C2029" s="1" t="n">
        <v>46137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51479-2024</t>
        </is>
      </c>
      <c r="B2030" s="1" t="n">
        <v>45604.51273148148</v>
      </c>
      <c r="C2030" s="1" t="n">
        <v>46137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58124-2025</t>
        </is>
      </c>
      <c r="B2031" s="1" t="n">
        <v>45982.61363425926</v>
      </c>
      <c r="C2031" s="1" t="n">
        <v>46137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58037-2025</t>
        </is>
      </c>
      <c r="B2032" s="1" t="n">
        <v>45982.49216435185</v>
      </c>
      <c r="C2032" s="1" t="n">
        <v>46137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58195-2025</t>
        </is>
      </c>
      <c r="B2033" s="1" t="n">
        <v>45983.86991898148</v>
      </c>
      <c r="C2033" s="1" t="n">
        <v>46137</v>
      </c>
      <c r="D2033" t="inlineStr">
        <is>
          <t>VÄSTERNORRLANDS LÄN</t>
        </is>
      </c>
      <c r="E2033" t="inlineStr">
        <is>
          <t>ÖRNSKÖLDSVIK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56022-2023</t>
        </is>
      </c>
      <c r="B2034" s="1" t="n">
        <v>45233</v>
      </c>
      <c r="C2034" s="1" t="n">
        <v>46137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374-2025</t>
        </is>
      </c>
      <c r="B2035" s="1" t="n">
        <v>45661.64950231482</v>
      </c>
      <c r="C2035" s="1" t="n">
        <v>46137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22263-2023</t>
        </is>
      </c>
      <c r="B2036" s="1" t="n">
        <v>45068</v>
      </c>
      <c r="C2036" s="1" t="n">
        <v>46137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10784-2023</t>
        </is>
      </c>
      <c r="B2037" s="1" t="n">
        <v>44988</v>
      </c>
      <c r="C2037" s="1" t="n">
        <v>46137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58735-2025</t>
        </is>
      </c>
      <c r="B2038" s="1" t="n">
        <v>45986.62780092593</v>
      </c>
      <c r="C2038" s="1" t="n">
        <v>46137</v>
      </c>
      <c r="D2038" t="inlineStr">
        <is>
          <t>VÄSTERNORRLANDS LÄN</t>
        </is>
      </c>
      <c r="E2038" t="inlineStr">
        <is>
          <t>ÖRNSKÖLDSVIK</t>
        </is>
      </c>
      <c r="G2038" t="n">
        <v>10.4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58670-2025</t>
        </is>
      </c>
      <c r="B2039" s="1" t="n">
        <v>45986.55179398148</v>
      </c>
      <c r="C2039" s="1" t="n">
        <v>46137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58830-2025</t>
        </is>
      </c>
      <c r="B2040" s="1" t="n">
        <v>45987.35271990741</v>
      </c>
      <c r="C2040" s="1" t="n">
        <v>46137</v>
      </c>
      <c r="D2040" t="inlineStr">
        <is>
          <t>VÄSTERNORRLANDS LÄN</t>
        </is>
      </c>
      <c r="E2040" t="inlineStr">
        <is>
          <t>ÖRNSKÖLDSVIK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27938-2025</t>
        </is>
      </c>
      <c r="B2041" s="1" t="n">
        <v>45817</v>
      </c>
      <c r="C2041" s="1" t="n">
        <v>46137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35653-2025</t>
        </is>
      </c>
      <c r="B2042" s="1" t="n">
        <v>45859.54060185186</v>
      </c>
      <c r="C2042" s="1" t="n">
        <v>46137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58715-2025</t>
        </is>
      </c>
      <c r="B2043" s="1" t="n">
        <v>45986.61331018519</v>
      </c>
      <c r="C2043" s="1" t="n">
        <v>46137</v>
      </c>
      <c r="D2043" t="inlineStr">
        <is>
          <t>VÄSTERNORRLANDS LÄN</t>
        </is>
      </c>
      <c r="E2043" t="inlineStr">
        <is>
          <t>ÖRNSKÖLDSVIK</t>
        </is>
      </c>
      <c r="G2043" t="n">
        <v>10.4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29181-2025</t>
        </is>
      </c>
      <c r="B2044" s="1" t="n">
        <v>45821</v>
      </c>
      <c r="C2044" s="1" t="n">
        <v>46137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58758-2025</t>
        </is>
      </c>
      <c r="B2045" s="1" t="n">
        <v>45986.6512962963</v>
      </c>
      <c r="C2045" s="1" t="n">
        <v>46137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58950-2025</t>
        </is>
      </c>
      <c r="B2046" s="1" t="n">
        <v>45987.58756944445</v>
      </c>
      <c r="C2046" s="1" t="n">
        <v>46137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6210-2025</t>
        </is>
      </c>
      <c r="B2047" s="1" t="n">
        <v>45698.49699074074</v>
      </c>
      <c r="C2047" s="1" t="n">
        <v>46137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26263-2024</t>
        </is>
      </c>
      <c r="B2048" s="1" t="n">
        <v>45468</v>
      </c>
      <c r="C2048" s="1" t="n">
        <v>46137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25213-2025</t>
        </is>
      </c>
      <c r="B2049" s="1" t="n">
        <v>45800</v>
      </c>
      <c r="C2049" s="1" t="n">
        <v>46137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35692-2025</t>
        </is>
      </c>
      <c r="B2050" s="1" t="n">
        <v>45860.34452546296</v>
      </c>
      <c r="C2050" s="1" t="n">
        <v>46137</v>
      </c>
      <c r="D2050" t="inlineStr">
        <is>
          <t>VÄSTERNORRLANDS LÄN</t>
        </is>
      </c>
      <c r="E2050" t="inlineStr">
        <is>
          <t>ÖRNSKÖLDSVIK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35696-2025</t>
        </is>
      </c>
      <c r="B2051" s="1" t="n">
        <v>45860.34473379629</v>
      </c>
      <c r="C2051" s="1" t="n">
        <v>46137</v>
      </c>
      <c r="D2051" t="inlineStr">
        <is>
          <t>VÄSTERNORRLANDS LÄN</t>
        </is>
      </c>
      <c r="E2051" t="inlineStr">
        <is>
          <t>ÖRNSKÖLDSVIK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58764-2025</t>
        </is>
      </c>
      <c r="B2052" s="1" t="n">
        <v>45986.65909722223</v>
      </c>
      <c r="C2052" s="1" t="n">
        <v>46137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58774-2025</t>
        </is>
      </c>
      <c r="B2053" s="1" t="n">
        <v>45986.69744212963</v>
      </c>
      <c r="C2053" s="1" t="n">
        <v>46137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58810-2025</t>
        </is>
      </c>
      <c r="B2054" s="1" t="n">
        <v>45987.31358796296</v>
      </c>
      <c r="C2054" s="1" t="n">
        <v>46137</v>
      </c>
      <c r="D2054" t="inlineStr">
        <is>
          <t>VÄSTERNORRLANDS LÄN</t>
        </is>
      </c>
      <c r="E2054" t="inlineStr">
        <is>
          <t>ÖRNSKÖLDSVIK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35738-2025</t>
        </is>
      </c>
      <c r="B2055" s="1" t="n">
        <v>45860.51138888889</v>
      </c>
      <c r="C2055" s="1" t="n">
        <v>46137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9.699999999999999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17301-2025</t>
        </is>
      </c>
      <c r="B2056" s="1" t="n">
        <v>45756</v>
      </c>
      <c r="C2056" s="1" t="n">
        <v>46137</v>
      </c>
      <c r="D2056" t="inlineStr">
        <is>
          <t>VÄSTERNORRLANDS LÄN</t>
        </is>
      </c>
      <c r="E2056" t="inlineStr">
        <is>
          <t>ÖRNSKÖLDSVIK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35828-2025</t>
        </is>
      </c>
      <c r="B2057" s="1" t="n">
        <v>45861.49105324074</v>
      </c>
      <c r="C2057" s="1" t="n">
        <v>46137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35777-2025</t>
        </is>
      </c>
      <c r="B2058" s="1" t="n">
        <v>45860.69244212963</v>
      </c>
      <c r="C2058" s="1" t="n">
        <v>46137</v>
      </c>
      <c r="D2058" t="inlineStr">
        <is>
          <t>VÄSTERNORRLANDS LÄN</t>
        </is>
      </c>
      <c r="E2058" t="inlineStr">
        <is>
          <t>ÖRNSKÖLDSVIK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35824-2025</t>
        </is>
      </c>
      <c r="B2059" s="1" t="n">
        <v>45861.4843287037</v>
      </c>
      <c r="C2059" s="1" t="n">
        <v>46137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18586-2023</t>
        </is>
      </c>
      <c r="B2060" s="1" t="n">
        <v>45043</v>
      </c>
      <c r="C2060" s="1" t="n">
        <v>46137</v>
      </c>
      <c r="D2060" t="inlineStr">
        <is>
          <t>VÄSTERNORRLANDS LÄN</t>
        </is>
      </c>
      <c r="E2060" t="inlineStr">
        <is>
          <t>ÖRNSKÖLDSVIK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58737-2025</t>
        </is>
      </c>
      <c r="B2061" s="1" t="n">
        <v>45986.6312962963</v>
      </c>
      <c r="C2061" s="1" t="n">
        <v>46137</v>
      </c>
      <c r="D2061" t="inlineStr">
        <is>
          <t>VÄSTERNORRLANDS LÄN</t>
        </is>
      </c>
      <c r="E2061" t="inlineStr">
        <is>
          <t>ÖRNSKÖLDSVIK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58789-2025</t>
        </is>
      </c>
      <c r="B2062" s="1" t="n">
        <v>45986.78791666667</v>
      </c>
      <c r="C2062" s="1" t="n">
        <v>46137</v>
      </c>
      <c r="D2062" t="inlineStr">
        <is>
          <t>VÄSTERNORRLANDS LÄN</t>
        </is>
      </c>
      <c r="E2062" t="inlineStr">
        <is>
          <t>ÖRNSKÖLDSVIK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58815-2025</t>
        </is>
      </c>
      <c r="B2063" s="1" t="n">
        <v>45987.33359953704</v>
      </c>
      <c r="C2063" s="1" t="n">
        <v>46137</v>
      </c>
      <c r="D2063" t="inlineStr">
        <is>
          <t>VÄSTERNORRLANDS LÄN</t>
        </is>
      </c>
      <c r="E2063" t="inlineStr">
        <is>
          <t>ÖRNSKÖLDSVIK</t>
        </is>
      </c>
      <c r="G2063" t="n">
        <v>5.5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58820-2025</t>
        </is>
      </c>
      <c r="B2064" s="1" t="n">
        <v>45987.34405092592</v>
      </c>
      <c r="C2064" s="1" t="n">
        <v>46137</v>
      </c>
      <c r="D2064" t="inlineStr">
        <is>
          <t>VÄSTERNORRLANDS LÄN</t>
        </is>
      </c>
      <c r="E2064" t="inlineStr">
        <is>
          <t>ÖRNSKÖLDSVIK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59050-2025</t>
        </is>
      </c>
      <c r="B2065" s="1" t="n">
        <v>45988.38444444445</v>
      </c>
      <c r="C2065" s="1" t="n">
        <v>46137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59056-2025</t>
        </is>
      </c>
      <c r="B2066" s="1" t="n">
        <v>45988.38972222222</v>
      </c>
      <c r="C2066" s="1" t="n">
        <v>46137</v>
      </c>
      <c r="D2066" t="inlineStr">
        <is>
          <t>VÄSTERNORRLANDS LÄN</t>
        </is>
      </c>
      <c r="E2066" t="inlineStr">
        <is>
          <t>ÖRNSKÖLDSVIK</t>
        </is>
      </c>
      <c r="G2066" t="n">
        <v>8.6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59438-2025</t>
        </is>
      </c>
      <c r="B2067" s="1" t="n">
        <v>45989.5579050926</v>
      </c>
      <c r="C2067" s="1" t="n">
        <v>46137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59162-2025</t>
        </is>
      </c>
      <c r="B2068" s="1" t="n">
        <v>45988.55383101852</v>
      </c>
      <c r="C2068" s="1" t="n">
        <v>46137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59368-2025</t>
        </is>
      </c>
      <c r="B2069" s="1" t="n">
        <v>45989.44824074074</v>
      </c>
      <c r="C2069" s="1" t="n">
        <v>46137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59442-2025</t>
        </is>
      </c>
      <c r="B2070" s="1" t="n">
        <v>45989.56134259259</v>
      </c>
      <c r="C2070" s="1" t="n">
        <v>46137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59374-2025</t>
        </is>
      </c>
      <c r="B2071" s="1" t="n">
        <v>45989.449375</v>
      </c>
      <c r="C2071" s="1" t="n">
        <v>46137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59434-2025</t>
        </is>
      </c>
      <c r="B2072" s="1" t="n">
        <v>45989.55391203704</v>
      </c>
      <c r="C2072" s="1" t="n">
        <v>46137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59461-2025</t>
        </is>
      </c>
      <c r="B2073" s="1" t="n">
        <v>45989.57855324074</v>
      </c>
      <c r="C2073" s="1" t="n">
        <v>46137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59654-2024</t>
        </is>
      </c>
      <c r="B2074" s="1" t="n">
        <v>45639.34680555556</v>
      </c>
      <c r="C2074" s="1" t="n">
        <v>46137</v>
      </c>
      <c r="D2074" t="inlineStr">
        <is>
          <t>VÄSTERNORRLANDS LÄN</t>
        </is>
      </c>
      <c r="E2074" t="inlineStr">
        <is>
          <t>ÖRNSKÖLDSVIK</t>
        </is>
      </c>
      <c r="G2074" t="n">
        <v>6.5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40244-2021</t>
        </is>
      </c>
      <c r="B2075" s="1" t="n">
        <v>44419</v>
      </c>
      <c r="C2075" s="1" t="n">
        <v>46137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59450-2025</t>
        </is>
      </c>
      <c r="B2076" s="1" t="n">
        <v>45989.57114583333</v>
      </c>
      <c r="C2076" s="1" t="n">
        <v>46137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36057-2025</t>
        </is>
      </c>
      <c r="B2077" s="1" t="n">
        <v>45866.39201388889</v>
      </c>
      <c r="C2077" s="1" t="n">
        <v>46137</v>
      </c>
      <c r="D2077" t="inlineStr">
        <is>
          <t>VÄSTERNORRLANDS LÄN</t>
        </is>
      </c>
      <c r="E2077" t="inlineStr">
        <is>
          <t>ÖRNSKÖLDSVIK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59131-2025</t>
        </is>
      </c>
      <c r="B2078" s="1" t="n">
        <v>45988.49668981481</v>
      </c>
      <c r="C2078" s="1" t="n">
        <v>46137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59135-2025</t>
        </is>
      </c>
      <c r="B2079" s="1" t="n">
        <v>45988.49862268518</v>
      </c>
      <c r="C2079" s="1" t="n">
        <v>46137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59136-2025</t>
        </is>
      </c>
      <c r="B2080" s="1" t="n">
        <v>45988.5002662037</v>
      </c>
      <c r="C2080" s="1" t="n">
        <v>46137</v>
      </c>
      <c r="D2080" t="inlineStr">
        <is>
          <t>VÄSTERNORRLANDS LÄN</t>
        </is>
      </c>
      <c r="E2080" t="inlineStr">
        <is>
          <t>ÖRNSKÖLDSVIK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59184-2025</t>
        </is>
      </c>
      <c r="B2081" s="1" t="n">
        <v>45988.57538194444</v>
      </c>
      <c r="C2081" s="1" t="n">
        <v>46137</v>
      </c>
      <c r="D2081" t="inlineStr">
        <is>
          <t>VÄSTERNORRLANDS LÄN</t>
        </is>
      </c>
      <c r="E2081" t="inlineStr">
        <is>
          <t>ÖRNSKÖLDSVIK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59265-2025</t>
        </is>
      </c>
      <c r="B2082" s="1" t="n">
        <v>45988.66099537037</v>
      </c>
      <c r="C2082" s="1" t="n">
        <v>46137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59057-2025</t>
        </is>
      </c>
      <c r="B2083" s="1" t="n">
        <v>45988.39986111111</v>
      </c>
      <c r="C2083" s="1" t="n">
        <v>46137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7687-2025</t>
        </is>
      </c>
      <c r="B2084" s="1" t="n">
        <v>45706</v>
      </c>
      <c r="C2084" s="1" t="n">
        <v>46137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59138-2025</t>
        </is>
      </c>
      <c r="B2085" s="1" t="n">
        <v>45988.50180555556</v>
      </c>
      <c r="C2085" s="1" t="n">
        <v>46137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59191-2025</t>
        </is>
      </c>
      <c r="B2086" s="1" t="n">
        <v>45988.59023148148</v>
      </c>
      <c r="C2086" s="1" t="n">
        <v>46137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59330-2025</t>
        </is>
      </c>
      <c r="B2087" s="1" t="n">
        <v>45989.35884259259</v>
      </c>
      <c r="C2087" s="1" t="n">
        <v>46137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41238-2024</t>
        </is>
      </c>
      <c r="B2088" s="1" t="n">
        <v>45558</v>
      </c>
      <c r="C2088" s="1" t="n">
        <v>46137</v>
      </c>
      <c r="D2088" t="inlineStr">
        <is>
          <t>VÄSTERNORRLANDS LÄN</t>
        </is>
      </c>
      <c r="E2088" t="inlineStr">
        <is>
          <t>ÖRNSKÖLDSVIK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59475-2025</t>
        </is>
      </c>
      <c r="B2089" s="1" t="n">
        <v>45989.58521990741</v>
      </c>
      <c r="C2089" s="1" t="n">
        <v>46137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59614-2025</t>
        </is>
      </c>
      <c r="B2090" s="1" t="n">
        <v>45992.37185185185</v>
      </c>
      <c r="C2090" s="1" t="n">
        <v>46137</v>
      </c>
      <c r="D2090" t="inlineStr">
        <is>
          <t>VÄSTERNORRLANDS LÄN</t>
        </is>
      </c>
      <c r="E2090" t="inlineStr">
        <is>
          <t>ÖRNSKÖLDSVIK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16489-2023</t>
        </is>
      </c>
      <c r="B2091" s="1" t="n">
        <v>45027</v>
      </c>
      <c r="C2091" s="1" t="n">
        <v>46137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59689-2025</t>
        </is>
      </c>
      <c r="B2092" s="1" t="n">
        <v>45992.48307870371</v>
      </c>
      <c r="C2092" s="1" t="n">
        <v>46137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60013-2025</t>
        </is>
      </c>
      <c r="B2093" s="1" t="n">
        <v>45993.59806712963</v>
      </c>
      <c r="C2093" s="1" t="n">
        <v>46137</v>
      </c>
      <c r="D2093" t="inlineStr">
        <is>
          <t>VÄSTERNORRLANDS LÄN</t>
        </is>
      </c>
      <c r="E2093" t="inlineStr">
        <is>
          <t>ÖRNSKÖLDSVIK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16060-2022</t>
        </is>
      </c>
      <c r="B2094" s="1" t="n">
        <v>44665</v>
      </c>
      <c r="C2094" s="1" t="n">
        <v>46137</v>
      </c>
      <c r="D2094" t="inlineStr">
        <is>
          <t>VÄSTERNORRLANDS LÄN</t>
        </is>
      </c>
      <c r="E2094" t="inlineStr">
        <is>
          <t>ÖRNSKÖLDSVIK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27562-2024</t>
        </is>
      </c>
      <c r="B2095" s="1" t="n">
        <v>45474</v>
      </c>
      <c r="C2095" s="1" t="n">
        <v>46137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36156-2025</t>
        </is>
      </c>
      <c r="B2096" s="1" t="n">
        <v>45867</v>
      </c>
      <c r="C2096" s="1" t="n">
        <v>46137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48133-2024</t>
        </is>
      </c>
      <c r="B2097" s="1" t="n">
        <v>45589.65221064815</v>
      </c>
      <c r="C2097" s="1" t="n">
        <v>46137</v>
      </c>
      <c r="D2097" t="inlineStr">
        <is>
          <t>VÄSTERNORRLANDS LÄN</t>
        </is>
      </c>
      <c r="E2097" t="inlineStr">
        <is>
          <t>ÖRNSKÖLDSVIK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43176-2022</t>
        </is>
      </c>
      <c r="B2098" s="1" t="n">
        <v>44834</v>
      </c>
      <c r="C2098" s="1" t="n">
        <v>46137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19.8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36401-2025</t>
        </is>
      </c>
      <c r="B2099" s="1" t="n">
        <v>45868.64728009259</v>
      </c>
      <c r="C2099" s="1" t="n">
        <v>46137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13494-2023</t>
        </is>
      </c>
      <c r="B2100" s="1" t="n">
        <v>45005.93950231482</v>
      </c>
      <c r="C2100" s="1" t="n">
        <v>46137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36524-2024</t>
        </is>
      </c>
      <c r="B2101" s="1" t="n">
        <v>45537</v>
      </c>
      <c r="C2101" s="1" t="n">
        <v>46137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30349-2024</t>
        </is>
      </c>
      <c r="B2102" s="1" t="n">
        <v>45490.95533564815</v>
      </c>
      <c r="C2102" s="1" t="n">
        <v>46137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39435-2023</t>
        </is>
      </c>
      <c r="B2103" s="1" t="n">
        <v>45163</v>
      </c>
      <c r="C2103" s="1" t="n">
        <v>46137</v>
      </c>
      <c r="D2103" t="inlineStr">
        <is>
          <t>VÄSTERNORRLANDS LÄN</t>
        </is>
      </c>
      <c r="E2103" t="inlineStr">
        <is>
          <t>ÖRNSKÖLDSVIK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59761-2025</t>
        </is>
      </c>
      <c r="B2104" s="1" t="n">
        <v>45992</v>
      </c>
      <c r="C2104" s="1" t="n">
        <v>46137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59594-2025</t>
        </is>
      </c>
      <c r="B2105" s="1" t="n">
        <v>45992</v>
      </c>
      <c r="C2105" s="1" t="n">
        <v>46137</v>
      </c>
      <c r="D2105" t="inlineStr">
        <is>
          <t>VÄSTERNORRLANDS LÄN</t>
        </is>
      </c>
      <c r="E2105" t="inlineStr">
        <is>
          <t>ÖRNSKÖLDSVIK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62593-2023</t>
        </is>
      </c>
      <c r="B2106" s="1" t="n">
        <v>45271.22373842593</v>
      </c>
      <c r="C2106" s="1" t="n">
        <v>46137</v>
      </c>
      <c r="D2106" t="inlineStr">
        <is>
          <t>VÄSTERNORRLANDS LÄN</t>
        </is>
      </c>
      <c r="E2106" t="inlineStr">
        <is>
          <t>ÖRNSKÖLDSVIK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59551-2025</t>
        </is>
      </c>
      <c r="B2107" s="1" t="n">
        <v>45990.45982638889</v>
      </c>
      <c r="C2107" s="1" t="n">
        <v>46137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36673-2025</t>
        </is>
      </c>
      <c r="B2108" s="1" t="n">
        <v>45873.39258101852</v>
      </c>
      <c r="C2108" s="1" t="n">
        <v>46137</v>
      </c>
      <c r="D2108" t="inlineStr">
        <is>
          <t>VÄSTERNORRLANDS LÄN</t>
        </is>
      </c>
      <c r="E2108" t="inlineStr">
        <is>
          <t>ÖRNSKÖLDSVIK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59747-2025</t>
        </is>
      </c>
      <c r="B2109" s="1" t="n">
        <v>45992.58003472222</v>
      </c>
      <c r="C2109" s="1" t="n">
        <v>46137</v>
      </c>
      <c r="D2109" t="inlineStr">
        <is>
          <t>VÄSTERNORRLANDS LÄN</t>
        </is>
      </c>
      <c r="E2109" t="inlineStr">
        <is>
          <t>ÖRNSKÖLDSVIK</t>
        </is>
      </c>
      <c r="G2109" t="n">
        <v>6.3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27765-2024</t>
        </is>
      </c>
      <c r="B2110" s="1" t="n">
        <v>45475.51532407408</v>
      </c>
      <c r="C2110" s="1" t="n">
        <v>46137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59853-2025</t>
        </is>
      </c>
      <c r="B2111" s="1" t="n">
        <v>45992.71846064815</v>
      </c>
      <c r="C2111" s="1" t="n">
        <v>46137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Kommuner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59560-2025</t>
        </is>
      </c>
      <c r="B2112" s="1" t="n">
        <v>45991</v>
      </c>
      <c r="C2112" s="1" t="n">
        <v>46137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59589-2025</t>
        </is>
      </c>
      <c r="B2113" s="1" t="n">
        <v>45992</v>
      </c>
      <c r="C2113" s="1" t="n">
        <v>46137</v>
      </c>
      <c r="D2113" t="inlineStr">
        <is>
          <t>VÄSTERNORRLANDS LÄN</t>
        </is>
      </c>
      <c r="E2113" t="inlineStr">
        <is>
          <t>ÖRNSKÖLDSVIK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59549-2025</t>
        </is>
      </c>
      <c r="B2114" s="1" t="n">
        <v>45990.41214120371</v>
      </c>
      <c r="C2114" s="1" t="n">
        <v>46137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59556-2025</t>
        </is>
      </c>
      <c r="B2115" s="1" t="n">
        <v>45991.40039351852</v>
      </c>
      <c r="C2115" s="1" t="n">
        <v>46137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59550-2025</t>
        </is>
      </c>
      <c r="B2116" s="1" t="n">
        <v>45990.43803240741</v>
      </c>
      <c r="C2116" s="1" t="n">
        <v>46137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27092-2023</t>
        </is>
      </c>
      <c r="B2117" s="1" t="n">
        <v>45096</v>
      </c>
      <c r="C2117" s="1" t="n">
        <v>46137</v>
      </c>
      <c r="D2117" t="inlineStr">
        <is>
          <t>VÄSTERNORRLANDS LÄN</t>
        </is>
      </c>
      <c r="E2117" t="inlineStr">
        <is>
          <t>ÖRNSKÖLDSVIK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16937-2025</t>
        </is>
      </c>
      <c r="B2118" s="1" t="n">
        <v>45754</v>
      </c>
      <c r="C2118" s="1" t="n">
        <v>46137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59548-2025</t>
        </is>
      </c>
      <c r="B2119" s="1" t="n">
        <v>45990.37614583333</v>
      </c>
      <c r="C2119" s="1" t="n">
        <v>46137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59691-2025</t>
        </is>
      </c>
      <c r="B2120" s="1" t="n">
        <v>45992.48664351852</v>
      </c>
      <c r="C2120" s="1" t="n">
        <v>46137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59699-2025</t>
        </is>
      </c>
      <c r="B2121" s="1" t="n">
        <v>45992.49478009259</v>
      </c>
      <c r="C2121" s="1" t="n">
        <v>46137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59657-2025</t>
        </is>
      </c>
      <c r="B2122" s="1" t="n">
        <v>45992.44315972222</v>
      </c>
      <c r="C2122" s="1" t="n">
        <v>46137</v>
      </c>
      <c r="D2122" t="inlineStr">
        <is>
          <t>VÄSTERNORRLANDS LÄN</t>
        </is>
      </c>
      <c r="E2122" t="inlineStr">
        <is>
          <t>ÖRNSKÖLDSVIK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59658-2025</t>
        </is>
      </c>
      <c r="B2123" s="1" t="n">
        <v>45992.44605324074</v>
      </c>
      <c r="C2123" s="1" t="n">
        <v>46137</v>
      </c>
      <c r="D2123" t="inlineStr">
        <is>
          <t>VÄSTERNORRLANDS LÄN</t>
        </is>
      </c>
      <c r="E2123" t="inlineStr">
        <is>
          <t>ÖRNSKÖLDSVIK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59609-2025</t>
        </is>
      </c>
      <c r="B2124" s="1" t="n">
        <v>45992.36618055555</v>
      </c>
      <c r="C2124" s="1" t="n">
        <v>46137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59863-2025</t>
        </is>
      </c>
      <c r="B2125" s="1" t="n">
        <v>45992.8128125</v>
      </c>
      <c r="C2125" s="1" t="n">
        <v>46137</v>
      </c>
      <c r="D2125" t="inlineStr">
        <is>
          <t>VÄSTERNORRLANDS LÄN</t>
        </is>
      </c>
      <c r="E2125" t="inlineStr">
        <is>
          <t>ÖRNSKÖLDSVIK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36811-2025</t>
        </is>
      </c>
      <c r="B2126" s="1" t="n">
        <v>45873</v>
      </c>
      <c r="C2126" s="1" t="n">
        <v>46137</v>
      </c>
      <c r="D2126" t="inlineStr">
        <is>
          <t>VÄSTERNORRLANDS LÄN</t>
        </is>
      </c>
      <c r="E2126" t="inlineStr">
        <is>
          <t>ÖRNSKÖLDSVIK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279-2025</t>
        </is>
      </c>
      <c r="B2127" s="1" t="n">
        <v>45660.49368055556</v>
      </c>
      <c r="C2127" s="1" t="n">
        <v>46137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59851-2025</t>
        </is>
      </c>
      <c r="B2128" s="1" t="n">
        <v>45992.71282407407</v>
      </c>
      <c r="C2128" s="1" t="n">
        <v>46137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Kommuner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59557-2025</t>
        </is>
      </c>
      <c r="B2129" s="1" t="n">
        <v>45991</v>
      </c>
      <c r="C2129" s="1" t="n">
        <v>46137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59558-2025</t>
        </is>
      </c>
      <c r="B2130" s="1" t="n">
        <v>45991</v>
      </c>
      <c r="C2130" s="1" t="n">
        <v>46137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60257-2025</t>
        </is>
      </c>
      <c r="B2131" s="1" t="n">
        <v>45994.60502314815</v>
      </c>
      <c r="C2131" s="1" t="n">
        <v>46137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60475-2025</t>
        </is>
      </c>
      <c r="B2132" s="1" t="n">
        <v>45995.58141203703</v>
      </c>
      <c r="C2132" s="1" t="n">
        <v>46137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60350-2025</t>
        </is>
      </c>
      <c r="B2133" s="1" t="n">
        <v>45995.29032407407</v>
      </c>
      <c r="C2133" s="1" t="n">
        <v>46137</v>
      </c>
      <c r="D2133" t="inlineStr">
        <is>
          <t>VÄSTERNORRLANDS LÄN</t>
        </is>
      </c>
      <c r="E2133" t="inlineStr">
        <is>
          <t>ÖRNSKÖLDSVIK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60448-2025</t>
        </is>
      </c>
      <c r="B2134" s="1" t="n">
        <v>45995.50024305555</v>
      </c>
      <c r="C2134" s="1" t="n">
        <v>46137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60457-2025</t>
        </is>
      </c>
      <c r="B2135" s="1" t="n">
        <v>45995.53137731482</v>
      </c>
      <c r="C2135" s="1" t="n">
        <v>46137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60483-2025</t>
        </is>
      </c>
      <c r="B2136" s="1" t="n">
        <v>45995.59846064815</v>
      </c>
      <c r="C2136" s="1" t="n">
        <v>46137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60525-2025</t>
        </is>
      </c>
      <c r="B2137" s="1" t="n">
        <v>45995</v>
      </c>
      <c r="C2137" s="1" t="n">
        <v>46137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60526-2025</t>
        </is>
      </c>
      <c r="B2138" s="1" t="n">
        <v>45995.64572916667</v>
      </c>
      <c r="C2138" s="1" t="n">
        <v>46137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60383-2025</t>
        </is>
      </c>
      <c r="B2139" s="1" t="n">
        <v>45995.37831018519</v>
      </c>
      <c r="C2139" s="1" t="n">
        <v>46137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31088-2025</t>
        </is>
      </c>
      <c r="B2140" s="1" t="n">
        <v>45832.59282407408</v>
      </c>
      <c r="C2140" s="1" t="n">
        <v>46137</v>
      </c>
      <c r="D2140" t="inlineStr">
        <is>
          <t>VÄSTERNORRLANDS LÄN</t>
        </is>
      </c>
      <c r="E2140" t="inlineStr">
        <is>
          <t>ÖRNSKÖLDSVIK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60492-2025</t>
        </is>
      </c>
      <c r="B2141" s="1" t="n">
        <v>45995</v>
      </c>
      <c r="C2141" s="1" t="n">
        <v>46137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60496-2025</t>
        </is>
      </c>
      <c r="B2142" s="1" t="n">
        <v>45995</v>
      </c>
      <c r="C2142" s="1" t="n">
        <v>46137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60191-2025</t>
        </is>
      </c>
      <c r="B2143" s="1" t="n">
        <v>45994.48371527778</v>
      </c>
      <c r="C2143" s="1" t="n">
        <v>46137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Övriga Aktiebolag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60552-2025</t>
        </is>
      </c>
      <c r="B2144" s="1" t="n">
        <v>45995.72509259259</v>
      </c>
      <c r="C2144" s="1" t="n">
        <v>46137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60523-2025</t>
        </is>
      </c>
      <c r="B2145" s="1" t="n">
        <v>45995</v>
      </c>
      <c r="C2145" s="1" t="n">
        <v>46137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60510-2025</t>
        </is>
      </c>
      <c r="B2146" s="1" t="n">
        <v>45995</v>
      </c>
      <c r="C2146" s="1" t="n">
        <v>46137</v>
      </c>
      <c r="D2146" t="inlineStr">
        <is>
          <t>VÄSTERNORRLANDS LÄN</t>
        </is>
      </c>
      <c r="E2146" t="inlineStr">
        <is>
          <t>ÖRNSKÖLDSVIK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27874-2023</t>
        </is>
      </c>
      <c r="B2147" s="1" t="n">
        <v>45098.5915625</v>
      </c>
      <c r="C2147" s="1" t="n">
        <v>46137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60748-2025</t>
        </is>
      </c>
      <c r="B2148" s="1" t="n">
        <v>45999.38032407407</v>
      </c>
      <c r="C2148" s="1" t="n">
        <v>46137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60637-2025</t>
        </is>
      </c>
      <c r="B2149" s="1" t="n">
        <v>45996.43682870371</v>
      </c>
      <c r="C2149" s="1" t="n">
        <v>46137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60882-2025</t>
        </is>
      </c>
      <c r="B2150" s="1" t="n">
        <v>45999.56179398148</v>
      </c>
      <c r="C2150" s="1" t="n">
        <v>46137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60750-2025</t>
        </is>
      </c>
      <c r="B2151" s="1" t="n">
        <v>45999.38076388889</v>
      </c>
      <c r="C2151" s="1" t="n">
        <v>46137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60782-2025</t>
        </is>
      </c>
      <c r="B2152" s="1" t="n">
        <v>45999.39840277778</v>
      </c>
      <c r="C2152" s="1" t="n">
        <v>46137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19.5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37104-2025</t>
        </is>
      </c>
      <c r="B2153" s="1" t="n">
        <v>45875.47746527778</v>
      </c>
      <c r="C2153" s="1" t="n">
        <v>46137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60608-2025</t>
        </is>
      </c>
      <c r="B2154" s="1" t="n">
        <v>45996.36469907407</v>
      </c>
      <c r="C2154" s="1" t="n">
        <v>46137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37194-2025</t>
        </is>
      </c>
      <c r="B2155" s="1" t="n">
        <v>45875.65592592592</v>
      </c>
      <c r="C2155" s="1" t="n">
        <v>46137</v>
      </c>
      <c r="D2155" t="inlineStr">
        <is>
          <t>VÄSTERNORRLANDS LÄN</t>
        </is>
      </c>
      <c r="E2155" t="inlineStr">
        <is>
          <t>ÖRNSKÖLDSVIK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60765-2025</t>
        </is>
      </c>
      <c r="B2156" s="1" t="n">
        <v>45999.38672453703</v>
      </c>
      <c r="C2156" s="1" t="n">
        <v>46137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5.5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60888-2025</t>
        </is>
      </c>
      <c r="B2157" s="1" t="n">
        <v>45999</v>
      </c>
      <c r="C2157" s="1" t="n">
        <v>46137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60895-2025</t>
        </is>
      </c>
      <c r="B2158" s="1" t="n">
        <v>45999.57681712963</v>
      </c>
      <c r="C2158" s="1" t="n">
        <v>46137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60901-2025</t>
        </is>
      </c>
      <c r="B2159" s="1" t="n">
        <v>45999</v>
      </c>
      <c r="C2159" s="1" t="n">
        <v>46137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29671-2023</t>
        </is>
      </c>
      <c r="B2160" s="1" t="n">
        <v>45107</v>
      </c>
      <c r="C2160" s="1" t="n">
        <v>46137</v>
      </c>
      <c r="D2160" t="inlineStr">
        <is>
          <t>VÄSTERNORRLANDS LÄN</t>
        </is>
      </c>
      <c r="E2160" t="inlineStr">
        <is>
          <t>ÖRNSKÖLDSVIK</t>
        </is>
      </c>
      <c r="G2160" t="n">
        <v>7.9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60914-2025</t>
        </is>
      </c>
      <c r="B2161" s="1" t="n">
        <v>45999.60865740741</v>
      </c>
      <c r="C2161" s="1" t="n">
        <v>46137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Kommuner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60938-2025</t>
        </is>
      </c>
      <c r="B2162" s="1" t="n">
        <v>45996</v>
      </c>
      <c r="C2162" s="1" t="n">
        <v>46137</v>
      </c>
      <c r="D2162" t="inlineStr">
        <is>
          <t>VÄSTERNORRLANDS LÄN</t>
        </is>
      </c>
      <c r="E2162" t="inlineStr">
        <is>
          <t>ÖRNSKÖLDSVIK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42561-2023</t>
        </is>
      </c>
      <c r="B2163" s="1" t="n">
        <v>45181</v>
      </c>
      <c r="C2163" s="1" t="n">
        <v>46137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36825-2025</t>
        </is>
      </c>
      <c r="B2164" s="1" t="n">
        <v>45874.30641203704</v>
      </c>
      <c r="C2164" s="1" t="n">
        <v>46137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62107-2022</t>
        </is>
      </c>
      <c r="B2165" s="1" t="n">
        <v>44920</v>
      </c>
      <c r="C2165" s="1" t="n">
        <v>46137</v>
      </c>
      <c r="D2165" t="inlineStr">
        <is>
          <t>VÄSTERNORRLANDS LÄN</t>
        </is>
      </c>
      <c r="E2165" t="inlineStr">
        <is>
          <t>ÖRNSKÖLDSVIK</t>
        </is>
      </c>
      <c r="G2165" t="n">
        <v>26.3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60578-2025</t>
        </is>
      </c>
      <c r="B2166" s="1" t="n">
        <v>45996.32152777778</v>
      </c>
      <c r="C2166" s="1" t="n">
        <v>46137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19472-2025</t>
        </is>
      </c>
      <c r="B2167" s="1" t="n">
        <v>45770</v>
      </c>
      <c r="C2167" s="1" t="n">
        <v>46137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60574-2025</t>
        </is>
      </c>
      <c r="B2168" s="1" t="n">
        <v>45996.25484953704</v>
      </c>
      <c r="C2168" s="1" t="n">
        <v>46137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60579-2025</t>
        </is>
      </c>
      <c r="B2169" s="1" t="n">
        <v>45996.32737268518</v>
      </c>
      <c r="C2169" s="1" t="n">
        <v>46137</v>
      </c>
      <c r="D2169" t="inlineStr">
        <is>
          <t>VÄSTERNORRLANDS LÄN</t>
        </is>
      </c>
      <c r="E2169" t="inlineStr">
        <is>
          <t>ÖRNSKÖLDSVIK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60839-2025</t>
        </is>
      </c>
      <c r="B2170" s="1" t="n">
        <v>45999.48539351852</v>
      </c>
      <c r="C2170" s="1" t="n">
        <v>46137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19965-2025</t>
        </is>
      </c>
      <c r="B2171" s="1" t="n">
        <v>45771</v>
      </c>
      <c r="C2171" s="1" t="n">
        <v>46137</v>
      </c>
      <c r="D2171" t="inlineStr">
        <is>
          <t>VÄSTERNORRLANDS LÄN</t>
        </is>
      </c>
      <c r="E2171" t="inlineStr">
        <is>
          <t>ÖRNSKÖLDSVIK</t>
        </is>
      </c>
      <c r="G2171" t="n">
        <v>15.9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52763-2024</t>
        </is>
      </c>
      <c r="B2172" s="1" t="n">
        <v>45610.5115625</v>
      </c>
      <c r="C2172" s="1" t="n">
        <v>46137</v>
      </c>
      <c r="D2172" t="inlineStr">
        <is>
          <t>VÄSTERNORRLANDS LÄN</t>
        </is>
      </c>
      <c r="E2172" t="inlineStr">
        <is>
          <t>ÖRNSKÖLDSVIK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61661-2022</t>
        </is>
      </c>
      <c r="B2173" s="1" t="n">
        <v>44916</v>
      </c>
      <c r="C2173" s="1" t="n">
        <v>46137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61513-2023</t>
        </is>
      </c>
      <c r="B2174" s="1" t="n">
        <v>45265</v>
      </c>
      <c r="C2174" s="1" t="n">
        <v>46137</v>
      </c>
      <c r="D2174" t="inlineStr">
        <is>
          <t>VÄSTERNORRLANDS LÄN</t>
        </is>
      </c>
      <c r="E2174" t="inlineStr">
        <is>
          <t>ÖRNSKÖLDSVIK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37467-2025</t>
        </is>
      </c>
      <c r="B2175" s="1" t="n">
        <v>45877.57797453704</v>
      </c>
      <c r="C2175" s="1" t="n">
        <v>46137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37234-2025</t>
        </is>
      </c>
      <c r="B2176" s="1" t="n">
        <v>45876.35302083333</v>
      </c>
      <c r="C2176" s="1" t="n">
        <v>46137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37227-2025</t>
        </is>
      </c>
      <c r="B2177" s="1" t="n">
        <v>45876.29931712963</v>
      </c>
      <c r="C2177" s="1" t="n">
        <v>46137</v>
      </c>
      <c r="D2177" t="inlineStr">
        <is>
          <t>VÄSTERNORRLANDS LÄN</t>
        </is>
      </c>
      <c r="E2177" t="inlineStr">
        <is>
          <t>ÖRNSKÖLDSVIK</t>
        </is>
      </c>
      <c r="G2177" t="n">
        <v>9.699999999999999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63738-2023</t>
        </is>
      </c>
      <c r="B2178" s="1" t="n">
        <v>45277.79240740741</v>
      </c>
      <c r="C2178" s="1" t="n">
        <v>46137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Övriga Aktiebolag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63744-2023</t>
        </is>
      </c>
      <c r="B2179" s="1" t="n">
        <v>45277</v>
      </c>
      <c r="C2179" s="1" t="n">
        <v>46137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61375-2025</t>
        </is>
      </c>
      <c r="B2180" s="1" t="n">
        <v>46001.4408912037</v>
      </c>
      <c r="C2180" s="1" t="n">
        <v>46137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61401-2025</t>
        </is>
      </c>
      <c r="B2181" s="1" t="n">
        <v>46001.48276620371</v>
      </c>
      <c r="C2181" s="1" t="n">
        <v>46137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1686-2023</t>
        </is>
      </c>
      <c r="B2182" s="1" t="n">
        <v>44936</v>
      </c>
      <c r="C2182" s="1" t="n">
        <v>46137</v>
      </c>
      <c r="D2182" t="inlineStr">
        <is>
          <t>VÄSTERNORRLANDS LÄN</t>
        </is>
      </c>
      <c r="E2182" t="inlineStr">
        <is>
          <t>ÖRNSKÖLDSVIK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1689-2023</t>
        </is>
      </c>
      <c r="B2183" s="1" t="n">
        <v>44936</v>
      </c>
      <c r="C2183" s="1" t="n">
        <v>46137</v>
      </c>
      <c r="D2183" t="inlineStr">
        <is>
          <t>VÄSTERNORRLANDS LÄN</t>
        </is>
      </c>
      <c r="E2183" t="inlineStr">
        <is>
          <t>ÖRNSKÖLDSVIK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61468-2025</t>
        </is>
      </c>
      <c r="B2184" s="1" t="n">
        <v>46001.60657407407</v>
      </c>
      <c r="C2184" s="1" t="n">
        <v>46137</v>
      </c>
      <c r="D2184" t="inlineStr">
        <is>
          <t>VÄSTERNORRLANDS LÄN</t>
        </is>
      </c>
      <c r="E2184" t="inlineStr">
        <is>
          <t>ÖRNSKÖLDSVIK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37471-2025</t>
        </is>
      </c>
      <c r="B2185" s="1" t="n">
        <v>45877.58614583333</v>
      </c>
      <c r="C2185" s="1" t="n">
        <v>46137</v>
      </c>
      <c r="D2185" t="inlineStr">
        <is>
          <t>VÄSTERNORRLANDS LÄN</t>
        </is>
      </c>
      <c r="E2185" t="inlineStr">
        <is>
          <t>ÖRNSKÖLDSVIK</t>
        </is>
      </c>
      <c r="G2185" t="n">
        <v>8.9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37480-2025</t>
        </is>
      </c>
      <c r="B2186" s="1" t="n">
        <v>45877.61545138889</v>
      </c>
      <c r="C2186" s="1" t="n">
        <v>46137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39318-2023</t>
        </is>
      </c>
      <c r="B2187" s="1" t="n">
        <v>45166.58703703704</v>
      </c>
      <c r="C2187" s="1" t="n">
        <v>46137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37435-2025</t>
        </is>
      </c>
      <c r="B2188" s="1" t="n">
        <v>45877.52358796296</v>
      </c>
      <c r="C2188" s="1" t="n">
        <v>46137</v>
      </c>
      <c r="D2188" t="inlineStr">
        <is>
          <t>VÄSTERNORRLANDS LÄN</t>
        </is>
      </c>
      <c r="E2188" t="inlineStr">
        <is>
          <t>ÖRNSKÖLDSVIK</t>
        </is>
      </c>
      <c r="G2188" t="n">
        <v>14.1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37753-2025</t>
        </is>
      </c>
      <c r="B2189" s="1" t="n">
        <v>45880.67625</v>
      </c>
      <c r="C2189" s="1" t="n">
        <v>46137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37658-2025</t>
        </is>
      </c>
      <c r="B2190" s="1" t="n">
        <v>45880.49670138889</v>
      </c>
      <c r="C2190" s="1" t="n">
        <v>46137</v>
      </c>
      <c r="D2190" t="inlineStr">
        <is>
          <t>VÄSTERNORRLANDS LÄN</t>
        </is>
      </c>
      <c r="E2190" t="inlineStr">
        <is>
          <t>ÖRNSKÖLDSVIK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37792-2025</t>
        </is>
      </c>
      <c r="B2191" s="1" t="n">
        <v>45881.31625</v>
      </c>
      <c r="C2191" s="1" t="n">
        <v>46137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37799-2025</t>
        </is>
      </c>
      <c r="B2192" s="1" t="n">
        <v>45881.34387731482</v>
      </c>
      <c r="C2192" s="1" t="n">
        <v>46137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58850-2024</t>
        </is>
      </c>
      <c r="B2193" s="1" t="n">
        <v>45636.38758101852</v>
      </c>
      <c r="C2193" s="1" t="n">
        <v>46137</v>
      </c>
      <c r="D2193" t="inlineStr">
        <is>
          <t>VÄSTERNORRLANDS LÄN</t>
        </is>
      </c>
      <c r="E2193" t="inlineStr">
        <is>
          <t>ÖRNSKÖLDSVIK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21258-2022</t>
        </is>
      </c>
      <c r="B2194" s="1" t="n">
        <v>44706</v>
      </c>
      <c r="C2194" s="1" t="n">
        <v>46137</v>
      </c>
      <c r="D2194" t="inlineStr">
        <is>
          <t>VÄSTERNORRLANDS LÄN</t>
        </is>
      </c>
      <c r="E2194" t="inlineStr">
        <is>
          <t>ÖRNSKÖLDSVIK</t>
        </is>
      </c>
      <c r="G2194" t="n">
        <v>9.6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37861-2025</t>
        </is>
      </c>
      <c r="B2195" s="1" t="n">
        <v>45881.46341435185</v>
      </c>
      <c r="C2195" s="1" t="n">
        <v>46137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37885-2025</t>
        </is>
      </c>
      <c r="B2196" s="1" t="n">
        <v>45881.50678240741</v>
      </c>
      <c r="C2196" s="1" t="n">
        <v>46137</v>
      </c>
      <c r="D2196" t="inlineStr">
        <is>
          <t>VÄSTERNORRLANDS LÄN</t>
        </is>
      </c>
      <c r="E2196" t="inlineStr">
        <is>
          <t>ÖRNSKÖLDSVIK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28716-2025</t>
        </is>
      </c>
      <c r="B2197" s="1" t="n">
        <v>45820.34417824074</v>
      </c>
      <c r="C2197" s="1" t="n">
        <v>46137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37584-2025</t>
        </is>
      </c>
      <c r="B2198" s="1" t="n">
        <v>45880.39467592593</v>
      </c>
      <c r="C2198" s="1" t="n">
        <v>46137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37762-2025</t>
        </is>
      </c>
      <c r="B2199" s="1" t="n">
        <v>45880</v>
      </c>
      <c r="C2199" s="1" t="n">
        <v>46137</v>
      </c>
      <c r="D2199" t="inlineStr">
        <is>
          <t>VÄSTERNORRLANDS LÄN</t>
        </is>
      </c>
      <c r="E2199" t="inlineStr">
        <is>
          <t>ÖRNSKÖLDSVIK</t>
        </is>
      </c>
      <c r="G2199" t="n">
        <v>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61232-2025</t>
        </is>
      </c>
      <c r="B2200" s="1" t="n">
        <v>46000.63325231482</v>
      </c>
      <c r="C2200" s="1" t="n">
        <v>46137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37795-2025</t>
        </is>
      </c>
      <c r="B2201" s="1" t="n">
        <v>45881</v>
      </c>
      <c r="C2201" s="1" t="n">
        <v>46137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21022-2025</t>
        </is>
      </c>
      <c r="B2202" s="1" t="n">
        <v>45777.51106481482</v>
      </c>
      <c r="C2202" s="1" t="n">
        <v>46137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37600-2025</t>
        </is>
      </c>
      <c r="B2203" s="1" t="n">
        <v>45880.42237268519</v>
      </c>
      <c r="C2203" s="1" t="n">
        <v>46137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27501-2025</t>
        </is>
      </c>
      <c r="B2204" s="1" t="n">
        <v>45813.40934027778</v>
      </c>
      <c r="C2204" s="1" t="n">
        <v>46137</v>
      </c>
      <c r="D2204" t="inlineStr">
        <is>
          <t>VÄSTERNORRLANDS LÄN</t>
        </is>
      </c>
      <c r="E2204" t="inlineStr">
        <is>
          <t>ÖRNSKÖLDSVIK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37761-2025</t>
        </is>
      </c>
      <c r="B2205" s="1" t="n">
        <v>45880.68714120371</v>
      </c>
      <c r="C2205" s="1" t="n">
        <v>46137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55555-2025</t>
        </is>
      </c>
      <c r="B2206" s="1" t="n">
        <v>45971</v>
      </c>
      <c r="C2206" s="1" t="n">
        <v>46137</v>
      </c>
      <c r="D2206" t="inlineStr">
        <is>
          <t>VÄSTERNORRLANDS LÄN</t>
        </is>
      </c>
      <c r="E2206" t="inlineStr">
        <is>
          <t>ÖRNSKÖLDSVIK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37982-2025</t>
        </is>
      </c>
      <c r="B2207" s="1" t="n">
        <v>45881</v>
      </c>
      <c r="C2207" s="1" t="n">
        <v>46137</v>
      </c>
      <c r="D2207" t="inlineStr">
        <is>
          <t>VÄSTERNORRLANDS LÄN</t>
        </is>
      </c>
      <c r="E2207" t="inlineStr">
        <is>
          <t>ÖRNSKÖLDSVIK</t>
        </is>
      </c>
      <c r="G2207" t="n">
        <v>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37579-2025</t>
        </is>
      </c>
      <c r="B2208" s="1" t="n">
        <v>45880.38383101852</v>
      </c>
      <c r="C2208" s="1" t="n">
        <v>46137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61865-2025</t>
        </is>
      </c>
      <c r="B2209" s="1" t="n">
        <v>46003.38758101852</v>
      </c>
      <c r="C2209" s="1" t="n">
        <v>46137</v>
      </c>
      <c r="D2209" t="inlineStr">
        <is>
          <t>VÄSTERNORRLANDS LÄN</t>
        </is>
      </c>
      <c r="E2209" t="inlineStr">
        <is>
          <t>ÖRNSKÖLDSVIK</t>
        </is>
      </c>
      <c r="G2209" t="n">
        <v>23.1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8265-2025</t>
        </is>
      </c>
      <c r="B2210" s="1" t="n">
        <v>45708.510625</v>
      </c>
      <c r="C2210" s="1" t="n">
        <v>46137</v>
      </c>
      <c r="D2210" t="inlineStr">
        <is>
          <t>VÄSTERNORRLANDS LÄN</t>
        </is>
      </c>
      <c r="E2210" t="inlineStr">
        <is>
          <t>ÖRNSKÖLDSVIK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61869-2025</t>
        </is>
      </c>
      <c r="B2211" s="1" t="n">
        <v>46003.39366898148</v>
      </c>
      <c r="C2211" s="1" t="n">
        <v>46137</v>
      </c>
      <c r="D2211" t="inlineStr">
        <is>
          <t>VÄSTERNORRLANDS LÄN</t>
        </is>
      </c>
      <c r="E2211" t="inlineStr">
        <is>
          <t>ÖRNSKÖLDSVIK</t>
        </is>
      </c>
      <c r="G2211" t="n">
        <v>10.9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37755-2025</t>
        </is>
      </c>
      <c r="B2212" s="1" t="n">
        <v>45880.67763888889</v>
      </c>
      <c r="C2212" s="1" t="n">
        <v>46137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16067-2025</t>
        </is>
      </c>
      <c r="B2213" s="1" t="n">
        <v>45749.66819444444</v>
      </c>
      <c r="C2213" s="1" t="n">
        <v>46137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61847-2025</t>
        </is>
      </c>
      <c r="B2214" s="1" t="n">
        <v>46003.3777662037</v>
      </c>
      <c r="C2214" s="1" t="n">
        <v>46137</v>
      </c>
      <c r="D2214" t="inlineStr">
        <is>
          <t>VÄSTERNORRLANDS LÄN</t>
        </is>
      </c>
      <c r="E2214" t="inlineStr">
        <is>
          <t>ÖRNSKÖLDSVIK</t>
        </is>
      </c>
      <c r="G2214" t="n">
        <v>8.300000000000001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37890-2025</t>
        </is>
      </c>
      <c r="B2215" s="1" t="n">
        <v>45881.52633101852</v>
      </c>
      <c r="C2215" s="1" t="n">
        <v>46137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37986-2025</t>
        </is>
      </c>
      <c r="B2216" s="1" t="n">
        <v>45881</v>
      </c>
      <c r="C2216" s="1" t="n">
        <v>46137</v>
      </c>
      <c r="D2216" t="inlineStr">
        <is>
          <t>VÄSTERNORRLANDS LÄN</t>
        </is>
      </c>
      <c r="E2216" t="inlineStr">
        <is>
          <t>ÖRNSKÖLDSVIK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39294-2023</t>
        </is>
      </c>
      <c r="B2217" s="1" t="n">
        <v>45162</v>
      </c>
      <c r="C2217" s="1" t="n">
        <v>46137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11252-2024</t>
        </is>
      </c>
      <c r="B2218" s="1" t="n">
        <v>45371</v>
      </c>
      <c r="C2218" s="1" t="n">
        <v>46137</v>
      </c>
      <c r="D2218" t="inlineStr">
        <is>
          <t>VÄSTERNORRLANDS LÄN</t>
        </is>
      </c>
      <c r="E2218" t="inlineStr">
        <is>
          <t>ÖRNSKÖLDSVIK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37569-2025</t>
        </is>
      </c>
      <c r="B2219" s="1" t="n">
        <v>45880.36773148148</v>
      </c>
      <c r="C2219" s="1" t="n">
        <v>46137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62200-2025</t>
        </is>
      </c>
      <c r="B2220" s="1" t="n">
        <v>46003</v>
      </c>
      <c r="C2220" s="1" t="n">
        <v>46137</v>
      </c>
      <c r="D2220" t="inlineStr">
        <is>
          <t>VÄSTERNORRLANDS LÄN</t>
        </is>
      </c>
      <c r="E2220" t="inlineStr">
        <is>
          <t>ÖRNSKÖLDSVIK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55537-2025</t>
        </is>
      </c>
      <c r="B2221" s="1" t="n">
        <v>45971</v>
      </c>
      <c r="C2221" s="1" t="n">
        <v>46137</v>
      </c>
      <c r="D2221" t="inlineStr">
        <is>
          <t>VÄSTERNORRLANDS LÄN</t>
        </is>
      </c>
      <c r="E2221" t="inlineStr">
        <is>
          <t>ÖRNSKÖLDSVIK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61918-2025</t>
        </is>
      </c>
      <c r="B2222" s="1" t="n">
        <v>46003.50512731481</v>
      </c>
      <c r="C2222" s="1" t="n">
        <v>46137</v>
      </c>
      <c r="D2222" t="inlineStr">
        <is>
          <t>VÄSTERNORRLANDS LÄN</t>
        </is>
      </c>
      <c r="E2222" t="inlineStr">
        <is>
          <t>ÖRNSKÖLDSVIK</t>
        </is>
      </c>
      <c r="G2222" t="n">
        <v>6.1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61943-2025</t>
        </is>
      </c>
      <c r="B2223" s="1" t="n">
        <v>46003</v>
      </c>
      <c r="C2223" s="1" t="n">
        <v>46137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37883-2025</t>
        </is>
      </c>
      <c r="B2224" s="1" t="n">
        <v>45881.50258101852</v>
      </c>
      <c r="C2224" s="1" t="n">
        <v>46137</v>
      </c>
      <c r="D2224" t="inlineStr">
        <is>
          <t>VÄSTERNORRLANDS LÄN</t>
        </is>
      </c>
      <c r="E2224" t="inlineStr">
        <is>
          <t>ÖRNSKÖLDSVIK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19889-2024</t>
        </is>
      </c>
      <c r="B2225" s="1" t="n">
        <v>45433.49839120371</v>
      </c>
      <c r="C2225" s="1" t="n">
        <v>46137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61688-2025</t>
        </is>
      </c>
      <c r="B2226" s="1" t="n">
        <v>46002.51072916666</v>
      </c>
      <c r="C2226" s="1" t="n">
        <v>46137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37810-2025</t>
        </is>
      </c>
      <c r="B2227" s="1" t="n">
        <v>45881.36994212963</v>
      </c>
      <c r="C2227" s="1" t="n">
        <v>46137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39808-2024</t>
        </is>
      </c>
      <c r="B2228" s="1" t="n">
        <v>45553.37101851852</v>
      </c>
      <c r="C2228" s="1" t="n">
        <v>46137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38362-2025</t>
        </is>
      </c>
      <c r="B2229" s="1" t="n">
        <v>45883.53739583334</v>
      </c>
      <c r="C2229" s="1" t="n">
        <v>46137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38364-2025</t>
        </is>
      </c>
      <c r="B2230" s="1" t="n">
        <v>45883.54486111111</v>
      </c>
      <c r="C2230" s="1" t="n">
        <v>46137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38421-2025</t>
        </is>
      </c>
      <c r="B2231" s="1" t="n">
        <v>45883.63168981481</v>
      </c>
      <c r="C2231" s="1" t="n">
        <v>46137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38436-2025</t>
        </is>
      </c>
      <c r="B2232" s="1" t="n">
        <v>45883.6427662037</v>
      </c>
      <c r="C2232" s="1" t="n">
        <v>46137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59458-2024</t>
        </is>
      </c>
      <c r="B2233" s="1" t="n">
        <v>45638.4766087963</v>
      </c>
      <c r="C2233" s="1" t="n">
        <v>46137</v>
      </c>
      <c r="D2233" t="inlineStr">
        <is>
          <t>VÄSTERNORRLANDS LÄN</t>
        </is>
      </c>
      <c r="E2233" t="inlineStr">
        <is>
          <t>ÖRNSKÖLDSVIK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38053-2025</t>
        </is>
      </c>
      <c r="B2234" s="1" t="n">
        <v>45882.40902777778</v>
      </c>
      <c r="C2234" s="1" t="n">
        <v>46137</v>
      </c>
      <c r="D2234" t="inlineStr">
        <is>
          <t>VÄSTERNORRLANDS LÄN</t>
        </is>
      </c>
      <c r="E2234" t="inlineStr">
        <is>
          <t>ÖRNSKÖLDSVIK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38395-2025</t>
        </is>
      </c>
      <c r="B2235" s="1" t="n">
        <v>45883.5769212963</v>
      </c>
      <c r="C2235" s="1" t="n">
        <v>46137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38038-2025</t>
        </is>
      </c>
      <c r="B2236" s="1" t="n">
        <v>45882.37533564815</v>
      </c>
      <c r="C2236" s="1" t="n">
        <v>46137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61658-2025</t>
        </is>
      </c>
      <c r="B2237" s="1" t="n">
        <v>46002</v>
      </c>
      <c r="C2237" s="1" t="n">
        <v>46137</v>
      </c>
      <c r="D2237" t="inlineStr">
        <is>
          <t>VÄSTERNORRLANDS LÄN</t>
        </is>
      </c>
      <c r="E2237" t="inlineStr">
        <is>
          <t>ÖRNSKÖLDSVIK</t>
        </is>
      </c>
      <c r="G2237" t="n">
        <v>6.3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38284-2025</t>
        </is>
      </c>
      <c r="B2238" s="1" t="n">
        <v>45883.4275</v>
      </c>
      <c r="C2238" s="1" t="n">
        <v>46137</v>
      </c>
      <c r="D2238" t="inlineStr">
        <is>
          <t>VÄSTERNORRLANDS LÄN</t>
        </is>
      </c>
      <c r="E2238" t="inlineStr">
        <is>
          <t>ÖRNSKÖLDSVIK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59787-2022</t>
        </is>
      </c>
      <c r="B2239" s="1" t="n">
        <v>44908</v>
      </c>
      <c r="C2239" s="1" t="n">
        <v>46137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20885-2021</t>
        </is>
      </c>
      <c r="B2240" s="1" t="n">
        <v>44319</v>
      </c>
      <c r="C2240" s="1" t="n">
        <v>46137</v>
      </c>
      <c r="D2240" t="inlineStr">
        <is>
          <t>VÄSTERNORRLANDS LÄN</t>
        </is>
      </c>
      <c r="E2240" t="inlineStr">
        <is>
          <t>ÖRNSKÖLDSVIK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19983-2023</t>
        </is>
      </c>
      <c r="B2241" s="1" t="n">
        <v>45054.60201388889</v>
      </c>
      <c r="C2241" s="1" t="n">
        <v>46137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54853-2023</t>
        </is>
      </c>
      <c r="B2242" s="1" t="n">
        <v>45236</v>
      </c>
      <c r="C2242" s="1" t="n">
        <v>46137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62308-2025</t>
        </is>
      </c>
      <c r="B2243" s="1" t="n">
        <v>46006.67209490741</v>
      </c>
      <c r="C2243" s="1" t="n">
        <v>46137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62338-2025</t>
        </is>
      </c>
      <c r="B2244" s="1" t="n">
        <v>46006</v>
      </c>
      <c r="C2244" s="1" t="n">
        <v>46137</v>
      </c>
      <c r="D2244" t="inlineStr">
        <is>
          <t>VÄSTERNORRLANDS LÄN</t>
        </is>
      </c>
      <c r="E2244" t="inlineStr">
        <is>
          <t>ÖRNSKÖLDSVIK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62136-2025</t>
        </is>
      </c>
      <c r="B2245" s="1" t="n">
        <v>46006.45936342593</v>
      </c>
      <c r="C2245" s="1" t="n">
        <v>46137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38419-2025</t>
        </is>
      </c>
      <c r="B2246" s="1" t="n">
        <v>45883.6212962963</v>
      </c>
      <c r="C2246" s="1" t="n">
        <v>46137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38438-2025</t>
        </is>
      </c>
      <c r="B2247" s="1" t="n">
        <v>45883</v>
      </c>
      <c r="C2247" s="1" t="n">
        <v>46137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38254-2025</t>
        </is>
      </c>
      <c r="B2248" s="1" t="n">
        <v>45883.37956018518</v>
      </c>
      <c r="C2248" s="1" t="n">
        <v>46137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61265-2024</t>
        </is>
      </c>
      <c r="B2249" s="1" t="n">
        <v>45644</v>
      </c>
      <c r="C2249" s="1" t="n">
        <v>46137</v>
      </c>
      <c r="D2249" t="inlineStr">
        <is>
          <t>VÄSTERNORRLANDS LÄN</t>
        </is>
      </c>
      <c r="E2249" t="inlineStr">
        <is>
          <t>ÖRNSKÖLDSVIK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62076-2025</t>
        </is>
      </c>
      <c r="B2250" s="1" t="n">
        <v>46006.36489583334</v>
      </c>
      <c r="C2250" s="1" t="n">
        <v>46137</v>
      </c>
      <c r="D2250" t="inlineStr">
        <is>
          <t>VÄSTERNORRLANDS LÄN</t>
        </is>
      </c>
      <c r="E2250" t="inlineStr">
        <is>
          <t>ÖRNSKÖLDSVIK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38150-2025</t>
        </is>
      </c>
      <c r="B2251" s="1" t="n">
        <v>45882.59444444445</v>
      </c>
      <c r="C2251" s="1" t="n">
        <v>46137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38039-2025</t>
        </is>
      </c>
      <c r="B2252" s="1" t="n">
        <v>45882.3791087963</v>
      </c>
      <c r="C2252" s="1" t="n">
        <v>46137</v>
      </c>
      <c r="D2252" t="inlineStr">
        <is>
          <t>VÄSTERNORRLANDS LÄN</t>
        </is>
      </c>
      <c r="E2252" t="inlineStr">
        <is>
          <t>ÖRNSKÖLDSVIK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62204-2025</t>
        </is>
      </c>
      <c r="B2253" s="1" t="n">
        <v>46006.55872685185</v>
      </c>
      <c r="C2253" s="1" t="n">
        <v>46137</v>
      </c>
      <c r="D2253" t="inlineStr">
        <is>
          <t>VÄSTERNORRLANDS LÄN</t>
        </is>
      </c>
      <c r="E2253" t="inlineStr">
        <is>
          <t>ÖRNSKÖLDSVIK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20099-2024</t>
        </is>
      </c>
      <c r="B2254" s="1" t="n">
        <v>45434</v>
      </c>
      <c r="C2254" s="1" t="n">
        <v>46137</v>
      </c>
      <c r="D2254" t="inlineStr">
        <is>
          <t>VÄSTERNORRLANDS LÄN</t>
        </is>
      </c>
      <c r="E2254" t="inlineStr">
        <is>
          <t>ÖRNSKÖLDSVIK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62069-2025</t>
        </is>
      </c>
      <c r="B2255" s="1" t="n">
        <v>46006.36047453704</v>
      </c>
      <c r="C2255" s="1" t="n">
        <v>46137</v>
      </c>
      <c r="D2255" t="inlineStr">
        <is>
          <t>VÄSTERNORRLANDS LÄN</t>
        </is>
      </c>
      <c r="E2255" t="inlineStr">
        <is>
          <t>ÖRNSKÖLDSVIK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62094-2025</t>
        </is>
      </c>
      <c r="B2256" s="1" t="n">
        <v>46006.3864699074</v>
      </c>
      <c r="C2256" s="1" t="n">
        <v>46137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61716-2024</t>
        </is>
      </c>
      <c r="B2257" s="1" t="n">
        <v>45648.9</v>
      </c>
      <c r="C2257" s="1" t="n">
        <v>46137</v>
      </c>
      <c r="D2257" t="inlineStr">
        <is>
          <t>VÄSTERNORRLANDS LÄN</t>
        </is>
      </c>
      <c r="E2257" t="inlineStr">
        <is>
          <t>ÖRNSKÖLDSVIK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43891-2024</t>
        </is>
      </c>
      <c r="B2258" s="1" t="n">
        <v>45572.40936342593</v>
      </c>
      <c r="C2258" s="1" t="n">
        <v>46137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62455-2025</t>
        </is>
      </c>
      <c r="B2259" s="1" t="n">
        <v>46007.5</v>
      </c>
      <c r="C2259" s="1" t="n">
        <v>46137</v>
      </c>
      <c r="D2259" t="inlineStr">
        <is>
          <t>VÄSTERNORRLANDS LÄN</t>
        </is>
      </c>
      <c r="E2259" t="inlineStr">
        <is>
          <t>ÖRNSKÖLDSVIK</t>
        </is>
      </c>
      <c r="G2259" t="n">
        <v>8.5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62140-2025</t>
        </is>
      </c>
      <c r="B2260" s="1" t="n">
        <v>46006.46724537037</v>
      </c>
      <c r="C2260" s="1" t="n">
        <v>46137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62610-2025</t>
        </is>
      </c>
      <c r="B2261" s="1" t="n">
        <v>46008.30684027778</v>
      </c>
      <c r="C2261" s="1" t="n">
        <v>46137</v>
      </c>
      <c r="D2261" t="inlineStr">
        <is>
          <t>VÄSTERNORRLANDS LÄN</t>
        </is>
      </c>
      <c r="E2261" t="inlineStr">
        <is>
          <t>ÖRNSKÖLDSVIK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38606-2025</t>
        </is>
      </c>
      <c r="B2262" s="1" t="n">
        <v>45884.52636574074</v>
      </c>
      <c r="C2262" s="1" t="n">
        <v>46137</v>
      </c>
      <c r="D2262" t="inlineStr">
        <is>
          <t>VÄSTERNORRLANDS LÄN</t>
        </is>
      </c>
      <c r="E2262" t="inlineStr">
        <is>
          <t>ÖRNSKÖLDSVIK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62866-2025</t>
        </is>
      </c>
      <c r="B2263" s="1" t="n">
        <v>46008</v>
      </c>
      <c r="C2263" s="1" t="n">
        <v>46137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8250-2025</t>
        </is>
      </c>
      <c r="B2264" s="1" t="n">
        <v>45708</v>
      </c>
      <c r="C2264" s="1" t="n">
        <v>46137</v>
      </c>
      <c r="D2264" t="inlineStr">
        <is>
          <t>VÄSTERNORRLANDS LÄN</t>
        </is>
      </c>
      <c r="E2264" t="inlineStr">
        <is>
          <t>ÖRNSKÖLDSVIK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8252-2025</t>
        </is>
      </c>
      <c r="B2265" s="1" t="n">
        <v>45708</v>
      </c>
      <c r="C2265" s="1" t="n">
        <v>46137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63320-2025</t>
        </is>
      </c>
      <c r="B2266" s="1" t="n">
        <v>46009</v>
      </c>
      <c r="C2266" s="1" t="n">
        <v>46137</v>
      </c>
      <c r="D2266" t="inlineStr">
        <is>
          <t>VÄSTERNORRLANDS LÄN</t>
        </is>
      </c>
      <c r="E2266" t="inlineStr">
        <is>
          <t>ÖRNSKÖLDSVIK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4344-2024</t>
        </is>
      </c>
      <c r="B2267" s="1" t="n">
        <v>45324.83277777778</v>
      </c>
      <c r="C2267" s="1" t="n">
        <v>46137</v>
      </c>
      <c r="D2267" t="inlineStr">
        <is>
          <t>VÄSTERNORRLANDS LÄN</t>
        </is>
      </c>
      <c r="E2267" t="inlineStr">
        <is>
          <t>ÖRNSKÖLDSVIK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63109-2025</t>
        </is>
      </c>
      <c r="B2268" s="1" t="n">
        <v>46009.74861111111</v>
      </c>
      <c r="C2268" s="1" t="n">
        <v>46137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62771-2025</t>
        </is>
      </c>
      <c r="B2269" s="1" t="n">
        <v>46008.60146990741</v>
      </c>
      <c r="C2269" s="1" t="n">
        <v>46137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21896-2022</t>
        </is>
      </c>
      <c r="B2270" s="1" t="n">
        <v>44711</v>
      </c>
      <c r="C2270" s="1" t="n">
        <v>46137</v>
      </c>
      <c r="D2270" t="inlineStr">
        <is>
          <t>VÄSTERNORRLANDS LÄN</t>
        </is>
      </c>
      <c r="E2270" t="inlineStr">
        <is>
          <t>ÖRNSKÖLDSVIK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31346-2024</t>
        </is>
      </c>
      <c r="B2271" s="1" t="n">
        <v>45504.92356481482</v>
      </c>
      <c r="C2271" s="1" t="n">
        <v>46137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28182-2024</t>
        </is>
      </c>
      <c r="B2272" s="1" t="n">
        <v>45477.30112268519</v>
      </c>
      <c r="C2272" s="1" t="n">
        <v>46137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62649-2025</t>
        </is>
      </c>
      <c r="B2273" s="1" t="n">
        <v>46008</v>
      </c>
      <c r="C2273" s="1" t="n">
        <v>46137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58702-2025</t>
        </is>
      </c>
      <c r="B2274" s="1" t="n">
        <v>45986</v>
      </c>
      <c r="C2274" s="1" t="n">
        <v>46137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62820-2025</t>
        </is>
      </c>
      <c r="B2275" s="1" t="n">
        <v>46008.65653935185</v>
      </c>
      <c r="C2275" s="1" t="n">
        <v>46137</v>
      </c>
      <c r="D2275" t="inlineStr">
        <is>
          <t>VÄSTERNORRLANDS LÄN</t>
        </is>
      </c>
      <c r="E2275" t="inlineStr">
        <is>
          <t>ÖRNSKÖLDSVIK</t>
        </is>
      </c>
      <c r="G2275" t="n">
        <v>10.4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62865-2025</t>
        </is>
      </c>
      <c r="B2276" s="1" t="n">
        <v>46008</v>
      </c>
      <c r="C2276" s="1" t="n">
        <v>46137</v>
      </c>
      <c r="D2276" t="inlineStr">
        <is>
          <t>VÄSTERNORRLANDS LÄN</t>
        </is>
      </c>
      <c r="E2276" t="inlineStr">
        <is>
          <t>ÖRNSKÖLDSVIK</t>
        </is>
      </c>
      <c r="G2276" t="n">
        <v>11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36169-2023</t>
        </is>
      </c>
      <c r="B2277" s="1" t="n">
        <v>45149.63590277778</v>
      </c>
      <c r="C2277" s="1" t="n">
        <v>46137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62651-2025</t>
        </is>
      </c>
      <c r="B2278" s="1" t="n">
        <v>46008</v>
      </c>
      <c r="C2278" s="1" t="n">
        <v>46137</v>
      </c>
      <c r="D2278" t="inlineStr">
        <is>
          <t>VÄSTERNORRLANDS LÄN</t>
        </is>
      </c>
      <c r="E2278" t="inlineStr">
        <is>
          <t>ÖRNSKÖLDSVIK</t>
        </is>
      </c>
      <c r="G2278" t="n">
        <v>31.8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63097-2025</t>
        </is>
      </c>
      <c r="B2279" s="1" t="n">
        <v>46009.69244212963</v>
      </c>
      <c r="C2279" s="1" t="n">
        <v>46137</v>
      </c>
      <c r="D2279" t="inlineStr">
        <is>
          <t>VÄSTERNORRLANDS LÄN</t>
        </is>
      </c>
      <c r="E2279" t="inlineStr">
        <is>
          <t>ÖRNSKÖLDSVIK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61095-2022</t>
        </is>
      </c>
      <c r="B2280" s="1" t="n">
        <v>44915.39849537037</v>
      </c>
      <c r="C2280" s="1" t="n">
        <v>46137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60757-2023</t>
        </is>
      </c>
      <c r="B2281" s="1" t="n">
        <v>45260</v>
      </c>
      <c r="C2281" s="1" t="n">
        <v>46137</v>
      </c>
      <c r="D2281" t="inlineStr">
        <is>
          <t>VÄSTERNORRLANDS LÄN</t>
        </is>
      </c>
      <c r="E2281" t="inlineStr">
        <is>
          <t>ÖRNSKÖLDSVIK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53074-2025</t>
        </is>
      </c>
      <c r="B2282" s="1" t="n">
        <v>45958</v>
      </c>
      <c r="C2282" s="1" t="n">
        <v>46137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63723-2025</t>
        </is>
      </c>
      <c r="B2283" s="1" t="n">
        <v>46010</v>
      </c>
      <c r="C2283" s="1" t="n">
        <v>46137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63324-2025</t>
        </is>
      </c>
      <c r="B2284" s="1" t="n">
        <v>46010.63770833334</v>
      </c>
      <c r="C2284" s="1" t="n">
        <v>46137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63216-2025</t>
        </is>
      </c>
      <c r="B2285" s="1" t="n">
        <v>46010</v>
      </c>
      <c r="C2285" s="1" t="n">
        <v>46137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63257-2025</t>
        </is>
      </c>
      <c r="B2286" s="1" t="n">
        <v>46010.55528935185</v>
      </c>
      <c r="C2286" s="1" t="n">
        <v>46137</v>
      </c>
      <c r="D2286" t="inlineStr">
        <is>
          <t>VÄSTERNORRLANDS LÄN</t>
        </is>
      </c>
      <c r="E2286" t="inlineStr">
        <is>
          <t>ÖRNSKÖLDSVIK</t>
        </is>
      </c>
      <c r="G2286" t="n">
        <v>8.300000000000001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64079-2025</t>
        </is>
      </c>
      <c r="B2287" s="1" t="n">
        <v>46012</v>
      </c>
      <c r="C2287" s="1" t="n">
        <v>46137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48884-2024</t>
        </is>
      </c>
      <c r="B2288" s="1" t="n">
        <v>45594</v>
      </c>
      <c r="C2288" s="1" t="n">
        <v>46137</v>
      </c>
      <c r="D2288" t="inlineStr">
        <is>
          <t>VÄSTERNORRLANDS LÄN</t>
        </is>
      </c>
      <c r="E2288" t="inlineStr">
        <is>
          <t>ÖRNSKÖLDSVIK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63300-2025</t>
        </is>
      </c>
      <c r="B2289" s="1" t="n">
        <v>46010.60402777778</v>
      </c>
      <c r="C2289" s="1" t="n">
        <v>46137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16117-2025</t>
        </is>
      </c>
      <c r="B2290" s="1" t="n">
        <v>45750.39258101852</v>
      </c>
      <c r="C2290" s="1" t="n">
        <v>46137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21590-2022</t>
        </is>
      </c>
      <c r="B2291" s="1" t="n">
        <v>44706</v>
      </c>
      <c r="C2291" s="1" t="n">
        <v>46137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63278-2025</t>
        </is>
      </c>
      <c r="B2292" s="1" t="n">
        <v>46010.58253472222</v>
      </c>
      <c r="C2292" s="1" t="n">
        <v>46137</v>
      </c>
      <c r="D2292" t="inlineStr">
        <is>
          <t>VÄSTERNORRLANDS LÄN</t>
        </is>
      </c>
      <c r="E2292" t="inlineStr">
        <is>
          <t>ÖRNSKÖLDSVIK</t>
        </is>
      </c>
      <c r="G2292" t="n">
        <v>9.4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63311-2025</t>
        </is>
      </c>
      <c r="B2293" s="1" t="n">
        <v>46010.62244212963</v>
      </c>
      <c r="C2293" s="1" t="n">
        <v>46137</v>
      </c>
      <c r="D2293" t="inlineStr">
        <is>
          <t>VÄSTERNORRLANDS LÄN</t>
        </is>
      </c>
      <c r="E2293" t="inlineStr">
        <is>
          <t>ÖRNSKÖLDSVIK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37736-2023</t>
        </is>
      </c>
      <c r="B2294" s="1" t="n">
        <v>45159</v>
      </c>
      <c r="C2294" s="1" t="n">
        <v>46137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63282-2025</t>
        </is>
      </c>
      <c r="B2295" s="1" t="n">
        <v>46010.58715277778</v>
      </c>
      <c r="C2295" s="1" t="n">
        <v>46137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6.7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63304-2025</t>
        </is>
      </c>
      <c r="B2296" s="1" t="n">
        <v>46010.61121527778</v>
      </c>
      <c r="C2296" s="1" t="n">
        <v>46137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63308-2025</t>
        </is>
      </c>
      <c r="B2297" s="1" t="n">
        <v>46010.61702546296</v>
      </c>
      <c r="C2297" s="1" t="n">
        <v>46137</v>
      </c>
      <c r="D2297" t="inlineStr">
        <is>
          <t>VÄSTERNORRLANDS LÄN</t>
        </is>
      </c>
      <c r="E2297" t="inlineStr">
        <is>
          <t>ÖRNSKÖLDSVIK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63274-2025</t>
        </is>
      </c>
      <c r="B2298" s="1" t="n">
        <v>46010.57355324074</v>
      </c>
      <c r="C2298" s="1" t="n">
        <v>46137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21136-2024</t>
        </is>
      </c>
      <c r="B2299" s="1" t="n">
        <v>45440</v>
      </c>
      <c r="C2299" s="1" t="n">
        <v>46137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21138-2024</t>
        </is>
      </c>
      <c r="B2300" s="1" t="n">
        <v>45440.37989583334</v>
      </c>
      <c r="C2300" s="1" t="n">
        <v>46137</v>
      </c>
      <c r="D2300" t="inlineStr">
        <is>
          <t>VÄSTERNORRLANDS LÄN</t>
        </is>
      </c>
      <c r="E2300" t="inlineStr">
        <is>
          <t>ÖRNSKÖLDSVIK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9285-2024</t>
        </is>
      </c>
      <c r="B2301" s="1" t="n">
        <v>45358.64868055555</v>
      </c>
      <c r="C2301" s="1" t="n">
        <v>46137</v>
      </c>
      <c r="D2301" t="inlineStr">
        <is>
          <t>VÄSTERNORRLANDS LÄN</t>
        </is>
      </c>
      <c r="E2301" t="inlineStr">
        <is>
          <t>ÖRNSKÖLDSVIK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63281-2025</t>
        </is>
      </c>
      <c r="B2302" s="1" t="n">
        <v>46010.58609953704</v>
      </c>
      <c r="C2302" s="1" t="n">
        <v>46137</v>
      </c>
      <c r="D2302" t="inlineStr">
        <is>
          <t>VÄSTERNORRLANDS LÄN</t>
        </is>
      </c>
      <c r="E2302" t="inlineStr">
        <is>
          <t>ÖRNSKÖLDSVIK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63513-2025</t>
        </is>
      </c>
      <c r="B2303" s="1" t="n">
        <v>46013.49686342593</v>
      </c>
      <c r="C2303" s="1" t="n">
        <v>46137</v>
      </c>
      <c r="D2303" t="inlineStr">
        <is>
          <t>VÄSTERNORRLANDS LÄN</t>
        </is>
      </c>
      <c r="E2303" t="inlineStr">
        <is>
          <t>ÖRNSKÖLDSVIK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25246-2024</t>
        </is>
      </c>
      <c r="B2304" s="1" t="n">
        <v>45462.60493055556</v>
      </c>
      <c r="C2304" s="1" t="n">
        <v>46137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68753-2021</t>
        </is>
      </c>
      <c r="B2305" s="1" t="n">
        <v>44529</v>
      </c>
      <c r="C2305" s="1" t="n">
        <v>46137</v>
      </c>
      <c r="D2305" t="inlineStr">
        <is>
          <t>VÄSTERNORRLANDS LÄN</t>
        </is>
      </c>
      <c r="E2305" t="inlineStr">
        <is>
          <t>ÖRNSKÖLDSVIK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10526-2025</t>
        </is>
      </c>
      <c r="B2306" s="1" t="n">
        <v>45721</v>
      </c>
      <c r="C2306" s="1" t="n">
        <v>46137</v>
      </c>
      <c r="D2306" t="inlineStr">
        <is>
          <t>VÄSTERNORRLANDS LÄN</t>
        </is>
      </c>
      <c r="E2306" t="inlineStr">
        <is>
          <t>ÖRNSKÖLDSVIK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54677-2024</t>
        </is>
      </c>
      <c r="B2307" s="1" t="n">
        <v>45618.34629629629</v>
      </c>
      <c r="C2307" s="1" t="n">
        <v>46137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40071-2023</t>
        </is>
      </c>
      <c r="B2308" s="1" t="n">
        <v>45168.86712962963</v>
      </c>
      <c r="C2308" s="1" t="n">
        <v>46137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63480-2025</t>
        </is>
      </c>
      <c r="B2309" s="1" t="n">
        <v>46013.45840277777</v>
      </c>
      <c r="C2309" s="1" t="n">
        <v>46137</v>
      </c>
      <c r="D2309" t="inlineStr">
        <is>
          <t>VÄSTERNORRLANDS LÄN</t>
        </is>
      </c>
      <c r="E2309" t="inlineStr">
        <is>
          <t>ÖRNSKÖLDSVIK</t>
        </is>
      </c>
      <c r="G2309" t="n">
        <v>6.4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63497-2025</t>
        </is>
      </c>
      <c r="B2310" s="1" t="n">
        <v>46013.48436342592</v>
      </c>
      <c r="C2310" s="1" t="n">
        <v>46137</v>
      </c>
      <c r="D2310" t="inlineStr">
        <is>
          <t>VÄSTERNORRLANDS LÄN</t>
        </is>
      </c>
      <c r="E2310" t="inlineStr">
        <is>
          <t>ÖRNSKÖLDSVIK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63317-2025</t>
        </is>
      </c>
      <c r="B2311" s="1" t="n">
        <v>46010.63416666666</v>
      </c>
      <c r="C2311" s="1" t="n">
        <v>46137</v>
      </c>
      <c r="D2311" t="inlineStr">
        <is>
          <t>VÄSTERNORRLANDS LÄN</t>
        </is>
      </c>
      <c r="E2311" t="inlineStr">
        <is>
          <t>ÖRNSKÖLDSVIK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22547-2023</t>
        </is>
      </c>
      <c r="B2312" s="1" t="n">
        <v>45069</v>
      </c>
      <c r="C2312" s="1" t="n">
        <v>46137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63247-2025</t>
        </is>
      </c>
      <c r="B2313" s="1" t="n">
        <v>46010.53912037037</v>
      </c>
      <c r="C2313" s="1" t="n">
        <v>46137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44329-2024</t>
        </is>
      </c>
      <c r="B2314" s="1" t="n">
        <v>45573.59604166666</v>
      </c>
      <c r="C2314" s="1" t="n">
        <v>46137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45266-2024</t>
        </is>
      </c>
      <c r="B2315" s="1" t="n">
        <v>45576.35297453704</v>
      </c>
      <c r="C2315" s="1" t="n">
        <v>46137</v>
      </c>
      <c r="D2315" t="inlineStr">
        <is>
          <t>VÄSTERNORRLANDS LÄN</t>
        </is>
      </c>
      <c r="E2315" t="inlineStr">
        <is>
          <t>ÖRNSKÖLDSVIK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52183-2025</t>
        </is>
      </c>
      <c r="B2316" s="1" t="n">
        <v>45953</v>
      </c>
      <c r="C2316" s="1" t="n">
        <v>46137</v>
      </c>
      <c r="D2316" t="inlineStr">
        <is>
          <t>VÄSTERNORRLANDS LÄN</t>
        </is>
      </c>
      <c r="E2316" t="inlineStr">
        <is>
          <t>ÖRNSKÖLDSVIK</t>
        </is>
      </c>
      <c r="G2316" t="n">
        <v>11.3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58358-2022</t>
        </is>
      </c>
      <c r="B2317" s="1" t="n">
        <v>44901</v>
      </c>
      <c r="C2317" s="1" t="n">
        <v>46137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55913-2022</t>
        </is>
      </c>
      <c r="B2318" s="1" t="n">
        <v>44889</v>
      </c>
      <c r="C2318" s="1" t="n">
        <v>46137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63727-2023</t>
        </is>
      </c>
      <c r="B2319" s="1" t="n">
        <v>45276.62925925926</v>
      </c>
      <c r="C2319" s="1" t="n">
        <v>46137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Övriga Aktiebolag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63728-2023</t>
        </is>
      </c>
      <c r="B2320" s="1" t="n">
        <v>45276.64795138889</v>
      </c>
      <c r="C2320" s="1" t="n">
        <v>46137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Övriga Aktiebolag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10463-2025</t>
        </is>
      </c>
      <c r="B2321" s="1" t="n">
        <v>45720.77386574074</v>
      </c>
      <c r="C2321" s="1" t="n">
        <v>46137</v>
      </c>
      <c r="D2321" t="inlineStr">
        <is>
          <t>VÄSTERNORRLANDS LÄN</t>
        </is>
      </c>
      <c r="E2321" t="inlineStr">
        <is>
          <t>ÖRNSKÖLDSVIK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41082-2021</t>
        </is>
      </c>
      <c r="B2322" s="1" t="n">
        <v>44422.47804398148</v>
      </c>
      <c r="C2322" s="1" t="n">
        <v>46137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49929-2023</t>
        </is>
      </c>
      <c r="B2323" s="1" t="n">
        <v>45214.93671296296</v>
      </c>
      <c r="C2323" s="1" t="n">
        <v>46137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35-2026</t>
        </is>
      </c>
      <c r="B2324" s="1" t="n">
        <v>46014</v>
      </c>
      <c r="C2324" s="1" t="n">
        <v>46137</v>
      </c>
      <c r="D2324" t="inlineStr">
        <is>
          <t>VÄSTERNORRLANDS LÄN</t>
        </is>
      </c>
      <c r="E2324" t="inlineStr">
        <is>
          <t>ÖRNSKÖLDSVIK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12739-2025</t>
        </is>
      </c>
      <c r="B2325" s="1" t="n">
        <v>45733.54219907407</v>
      </c>
      <c r="C2325" s="1" t="n">
        <v>46137</v>
      </c>
      <c r="D2325" t="inlineStr">
        <is>
          <t>VÄSTERNORRLANDS LÄN</t>
        </is>
      </c>
      <c r="E2325" t="inlineStr">
        <is>
          <t>ÖRNSKÖLDSVIK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15030-2022</t>
        </is>
      </c>
      <c r="B2326" s="1" t="n">
        <v>44657.60118055555</v>
      </c>
      <c r="C2326" s="1" t="n">
        <v>46137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61081-2022</t>
        </is>
      </c>
      <c r="B2327" s="1" t="n">
        <v>44915</v>
      </c>
      <c r="C2327" s="1" t="n">
        <v>46137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23673-2021</t>
        </is>
      </c>
      <c r="B2328" s="1" t="n">
        <v>44334</v>
      </c>
      <c r="C2328" s="1" t="n">
        <v>46137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23706-2021</t>
        </is>
      </c>
      <c r="B2329" s="1" t="n">
        <v>44334.68295138889</v>
      </c>
      <c r="C2329" s="1" t="n">
        <v>46137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45874-2021</t>
        </is>
      </c>
      <c r="B2330" s="1" t="n">
        <v>44441</v>
      </c>
      <c r="C2330" s="1" t="n">
        <v>46137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59649-2023</t>
        </is>
      </c>
      <c r="B2331" s="1" t="n">
        <v>45253</v>
      </c>
      <c r="C2331" s="1" t="n">
        <v>46137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45105-2023</t>
        </is>
      </c>
      <c r="B2332" s="1" t="n">
        <v>45191</v>
      </c>
      <c r="C2332" s="1" t="n">
        <v>46137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63849-2025</t>
        </is>
      </c>
      <c r="B2333" s="1" t="n">
        <v>46020.45061342593</v>
      </c>
      <c r="C2333" s="1" t="n">
        <v>46137</v>
      </c>
      <c r="D2333" t="inlineStr">
        <is>
          <t>VÄSTERNORRLANDS LÄN</t>
        </is>
      </c>
      <c r="E2333" t="inlineStr">
        <is>
          <t>ÖRNSKÖLDSVIK</t>
        </is>
      </c>
      <c r="G2333" t="n">
        <v>6.9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61013-2024</t>
        </is>
      </c>
      <c r="B2334" s="1" t="n">
        <v>45645</v>
      </c>
      <c r="C2334" s="1" t="n">
        <v>46137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47614-2023</t>
        </is>
      </c>
      <c r="B2335" s="1" t="n">
        <v>45203.48283564814</v>
      </c>
      <c r="C2335" s="1" t="n">
        <v>46137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454-2026</t>
        </is>
      </c>
      <c r="B2336" s="1" t="n">
        <v>46021</v>
      </c>
      <c r="C2336" s="1" t="n">
        <v>46137</v>
      </c>
      <c r="D2336" t="inlineStr">
        <is>
          <t>VÄSTERNORRLANDS LÄN</t>
        </is>
      </c>
      <c r="E2336" t="inlineStr">
        <is>
          <t>ÖRNSKÖLDSVIK</t>
        </is>
      </c>
      <c r="G2336" t="n">
        <v>6.5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539-2026</t>
        </is>
      </c>
      <c r="B2337" s="1" t="n">
        <v>46021</v>
      </c>
      <c r="C2337" s="1" t="n">
        <v>46137</v>
      </c>
      <c r="D2337" t="inlineStr">
        <is>
          <t>VÄSTERNORRLANDS LÄN</t>
        </is>
      </c>
      <c r="E2337" t="inlineStr">
        <is>
          <t>ÖRNSKÖLDSVIK</t>
        </is>
      </c>
      <c r="G2337" t="n">
        <v>6.9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40212-2024</t>
        </is>
      </c>
      <c r="B2338" s="1" t="n">
        <v>45554.59438657408</v>
      </c>
      <c r="C2338" s="1" t="n">
        <v>46137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41550-2023</t>
        </is>
      </c>
      <c r="B2339" s="1" t="n">
        <v>45175.57643518518</v>
      </c>
      <c r="C2339" s="1" t="n">
        <v>46137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27072-2024</t>
        </is>
      </c>
      <c r="B2340" s="1" t="n">
        <v>45471.46767361111</v>
      </c>
      <c r="C2340" s="1" t="n">
        <v>46137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63846-2025</t>
        </is>
      </c>
      <c r="B2341" s="1" t="n">
        <v>46020.43887731482</v>
      </c>
      <c r="C2341" s="1" t="n">
        <v>46137</v>
      </c>
      <c r="D2341" t="inlineStr">
        <is>
          <t>VÄSTERNORRLANDS LÄN</t>
        </is>
      </c>
      <c r="E2341" t="inlineStr">
        <is>
          <t>ÖRNSKÖLDSVIK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33897-2024</t>
        </is>
      </c>
      <c r="B2342" s="1" t="n">
        <v>45523</v>
      </c>
      <c r="C2342" s="1" t="n">
        <v>46137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10485-2025</t>
        </is>
      </c>
      <c r="B2343" s="1" t="n">
        <v>45721</v>
      </c>
      <c r="C2343" s="1" t="n">
        <v>46137</v>
      </c>
      <c r="D2343" t="inlineStr">
        <is>
          <t>VÄSTERNORRLANDS LÄN</t>
        </is>
      </c>
      <c r="E2343" t="inlineStr">
        <is>
          <t>ÖRNSKÖLDSVIK</t>
        </is>
      </c>
      <c r="G2343" t="n">
        <v>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59392-2024</t>
        </is>
      </c>
      <c r="B2344" s="1" t="n">
        <v>45637</v>
      </c>
      <c r="C2344" s="1" t="n">
        <v>46137</v>
      </c>
      <c r="D2344" t="inlineStr">
        <is>
          <t>VÄSTERNORRLANDS LÄN</t>
        </is>
      </c>
      <c r="E2344" t="inlineStr">
        <is>
          <t>ÖRNSKÖLDSVIK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56397-2024</t>
        </is>
      </c>
      <c r="B2345" s="1" t="n">
        <v>45625.3518287037</v>
      </c>
      <c r="C2345" s="1" t="n">
        <v>46137</v>
      </c>
      <c r="D2345" t="inlineStr">
        <is>
          <t>VÄSTERNORRLANDS LÄN</t>
        </is>
      </c>
      <c r="E2345" t="inlineStr">
        <is>
          <t>ÖRNSKÖLDSVIK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68750-2021</t>
        </is>
      </c>
      <c r="B2346" s="1" t="n">
        <v>44529</v>
      </c>
      <c r="C2346" s="1" t="n">
        <v>46137</v>
      </c>
      <c r="D2346" t="inlineStr">
        <is>
          <t>VÄSTERNORRLANDS LÄN</t>
        </is>
      </c>
      <c r="E2346" t="inlineStr">
        <is>
          <t>ÖRNSKÖLDSVIK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54622-2024</t>
        </is>
      </c>
      <c r="B2347" s="1" t="n">
        <v>45617.76491898148</v>
      </c>
      <c r="C2347" s="1" t="n">
        <v>46137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54913-2023</t>
        </is>
      </c>
      <c r="B2348" s="1" t="n">
        <v>45236</v>
      </c>
      <c r="C2348" s="1" t="n">
        <v>46137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660-2026</t>
        </is>
      </c>
      <c r="B2349" s="1" t="n">
        <v>46025</v>
      </c>
      <c r="C2349" s="1" t="n">
        <v>46137</v>
      </c>
      <c r="D2349" t="inlineStr">
        <is>
          <t>VÄSTERNORRLANDS LÄN</t>
        </is>
      </c>
      <c r="E2349" t="inlineStr">
        <is>
          <t>ÖRNSKÖLDSVIK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46137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354-2026</t>
        </is>
      </c>
      <c r="B2351" s="1" t="n">
        <v>46027.63684027778</v>
      </c>
      <c r="C2351" s="1" t="n">
        <v>46137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15612-2025</t>
        </is>
      </c>
      <c r="B2352" s="1" t="n">
        <v>45747</v>
      </c>
      <c r="C2352" s="1" t="n">
        <v>46137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31-2026</t>
        </is>
      </c>
      <c r="B2353" s="1" t="n">
        <v>46024.35984953704</v>
      </c>
      <c r="C2353" s="1" t="n">
        <v>46137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716-2026</t>
        </is>
      </c>
      <c r="B2354" s="1" t="n">
        <v>46029.63026620371</v>
      </c>
      <c r="C2354" s="1" t="n">
        <v>46137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462-2026</t>
        </is>
      </c>
      <c r="B2355" s="1" t="n">
        <v>46029.38241898148</v>
      </c>
      <c r="C2355" s="1" t="n">
        <v>46137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697-2026</t>
        </is>
      </c>
      <c r="B2356" s="1" t="n">
        <v>46029.61530092593</v>
      </c>
      <c r="C2356" s="1" t="n">
        <v>46137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782-2026</t>
        </is>
      </c>
      <c r="B2357" s="1" t="n">
        <v>46029</v>
      </c>
      <c r="C2357" s="1" t="n">
        <v>46137</v>
      </c>
      <c r="D2357" t="inlineStr">
        <is>
          <t>VÄSTERNORRLANDS LÄN</t>
        </is>
      </c>
      <c r="E2357" t="inlineStr">
        <is>
          <t>ÖRNSKÖLDSVIK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49790-2024</t>
        </is>
      </c>
      <c r="B2358" s="1" t="n">
        <v>45597.36650462963</v>
      </c>
      <c r="C2358" s="1" t="n">
        <v>46137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49842-2024</t>
        </is>
      </c>
      <c r="B2359" s="1" t="n">
        <v>45597.44688657407</v>
      </c>
      <c r="C2359" s="1" t="n">
        <v>46137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13427-2023</t>
        </is>
      </c>
      <c r="B2360" s="1" t="n">
        <v>45005</v>
      </c>
      <c r="C2360" s="1" t="n">
        <v>46137</v>
      </c>
      <c r="D2360" t="inlineStr">
        <is>
          <t>VÄSTERNORRLANDS LÄN</t>
        </is>
      </c>
      <c r="E2360" t="inlineStr">
        <is>
          <t>ÖRNSKÖLDSVIK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723-2026</t>
        </is>
      </c>
      <c r="B2361" s="1" t="n">
        <v>46029.63804398148</v>
      </c>
      <c r="C2361" s="1" t="n">
        <v>46137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2002-2025</t>
        </is>
      </c>
      <c r="B2362" s="1" t="n">
        <v>45672.4491550926</v>
      </c>
      <c r="C2362" s="1" t="n">
        <v>46137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6.9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13909-2025</t>
        </is>
      </c>
      <c r="B2363" s="1" t="n">
        <v>45737.64438657407</v>
      </c>
      <c r="C2363" s="1" t="n">
        <v>46137</v>
      </c>
      <c r="D2363" t="inlineStr">
        <is>
          <t>VÄSTERNORRLANDS LÄN</t>
        </is>
      </c>
      <c r="E2363" t="inlineStr">
        <is>
          <t>ÖRNSKÖLDSVIK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763-2023</t>
        </is>
      </c>
      <c r="B2364" s="1" t="n">
        <v>44931</v>
      </c>
      <c r="C2364" s="1" t="n">
        <v>46137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35618-2024</t>
        </is>
      </c>
      <c r="B2365" s="1" t="n">
        <v>45531</v>
      </c>
      <c r="C2365" s="1" t="n">
        <v>46137</v>
      </c>
      <c r="D2365" t="inlineStr">
        <is>
          <t>VÄSTERNORRLANDS LÄN</t>
        </is>
      </c>
      <c r="E2365" t="inlineStr">
        <is>
          <t>ÖRNSKÖLDSVIK</t>
        </is>
      </c>
      <c r="G2365" t="n">
        <v>13.1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1162-2026</t>
        </is>
      </c>
      <c r="B2366" s="1" t="n">
        <v>46031.3371875</v>
      </c>
      <c r="C2366" s="1" t="n">
        <v>46137</v>
      </c>
      <c r="D2366" t="inlineStr">
        <is>
          <t>VÄSTERNORRLANDS LÄN</t>
        </is>
      </c>
      <c r="E2366" t="inlineStr">
        <is>
          <t>ÖRNSKÖLDSVIK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877-2026</t>
        </is>
      </c>
      <c r="B2367" s="1" t="n">
        <v>46030.44267361111</v>
      </c>
      <c r="C2367" s="1" t="n">
        <v>46137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1029-2026</t>
        </is>
      </c>
      <c r="B2368" s="1" t="n">
        <v>46030.61505787037</v>
      </c>
      <c r="C2368" s="1" t="n">
        <v>46137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10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13087-2025</t>
        </is>
      </c>
      <c r="B2369" s="1" t="n">
        <v>45734.64340277778</v>
      </c>
      <c r="C2369" s="1" t="n">
        <v>46137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12179-2025</t>
        </is>
      </c>
      <c r="B2370" s="1" t="n">
        <v>45729.45498842592</v>
      </c>
      <c r="C2370" s="1" t="n">
        <v>46137</v>
      </c>
      <c r="D2370" t="inlineStr">
        <is>
          <t>VÄSTERNORRLANDS LÄN</t>
        </is>
      </c>
      <c r="E2370" t="inlineStr">
        <is>
          <t>ÖRNSKÖLDSVIK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1256-2026</t>
        </is>
      </c>
      <c r="B2371" s="1" t="n">
        <v>46031.44105324074</v>
      </c>
      <c r="C2371" s="1" t="n">
        <v>46137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33479-2023</t>
        </is>
      </c>
      <c r="B2372" s="1" t="n">
        <v>45131</v>
      </c>
      <c r="C2372" s="1" t="n">
        <v>46137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21642-2024</t>
        </is>
      </c>
      <c r="B2373" s="1" t="n">
        <v>45442</v>
      </c>
      <c r="C2373" s="1" t="n">
        <v>46137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1191-2026</t>
        </is>
      </c>
      <c r="B2374" s="1" t="n">
        <v>46031.36658564815</v>
      </c>
      <c r="C2374" s="1" t="n">
        <v>46137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1253-2026</t>
        </is>
      </c>
      <c r="B2375" s="1" t="n">
        <v>46031.43939814815</v>
      </c>
      <c r="C2375" s="1" t="n">
        <v>46137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47033-2024</t>
        </is>
      </c>
      <c r="B2376" s="1" t="n">
        <v>45586</v>
      </c>
      <c r="C2376" s="1" t="n">
        <v>46137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56411-2023</t>
        </is>
      </c>
      <c r="B2377" s="1" t="n">
        <v>45243</v>
      </c>
      <c r="C2377" s="1" t="n">
        <v>46137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42059-2023</t>
        </is>
      </c>
      <c r="B2378" s="1" t="n">
        <v>45177.56361111111</v>
      </c>
      <c r="C2378" s="1" t="n">
        <v>46137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61322-2022</t>
        </is>
      </c>
      <c r="B2379" s="1" t="n">
        <v>44909</v>
      </c>
      <c r="C2379" s="1" t="n">
        <v>46137</v>
      </c>
      <c r="D2379" t="inlineStr">
        <is>
          <t>VÄSTERNORRLANDS LÄN</t>
        </is>
      </c>
      <c r="E2379" t="inlineStr">
        <is>
          <t>ÖRNSKÖLDSVIK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51167-2024</t>
        </is>
      </c>
      <c r="B2380" s="1" t="n">
        <v>45603.58512731481</v>
      </c>
      <c r="C2380" s="1" t="n">
        <v>46137</v>
      </c>
      <c r="D2380" t="inlineStr">
        <is>
          <t>VÄSTERNORRLANDS LÄN</t>
        </is>
      </c>
      <c r="E2380" t="inlineStr">
        <is>
          <t>ÖRNSKÖLDSVIK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27467-2022</t>
        </is>
      </c>
      <c r="B2381" s="1" t="n">
        <v>44742.59049768518</v>
      </c>
      <c r="C2381" s="1" t="n">
        <v>46137</v>
      </c>
      <c r="D2381" t="inlineStr">
        <is>
          <t>VÄSTERNORRLANDS LÄN</t>
        </is>
      </c>
      <c r="E2381" t="inlineStr">
        <is>
          <t>ÖRNSKÖLDSVIK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25093-2021</t>
        </is>
      </c>
      <c r="B2382" s="1" t="n">
        <v>44341</v>
      </c>
      <c r="C2382" s="1" t="n">
        <v>46137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52982-2024</t>
        </is>
      </c>
      <c r="B2383" s="1" t="n">
        <v>45611.35518518519</v>
      </c>
      <c r="C2383" s="1" t="n">
        <v>46137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53068-2024</t>
        </is>
      </c>
      <c r="B2384" s="1" t="n">
        <v>45611.47680555555</v>
      </c>
      <c r="C2384" s="1" t="n">
        <v>46137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5637-2023</t>
        </is>
      </c>
      <c r="B2385" s="1" t="n">
        <v>44960.59162037037</v>
      </c>
      <c r="C2385" s="1" t="n">
        <v>46137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14888-2025</t>
        </is>
      </c>
      <c r="B2386" s="1" t="n">
        <v>45743.46872685185</v>
      </c>
      <c r="C2386" s="1" t="n">
        <v>46137</v>
      </c>
      <c r="D2386" t="inlineStr">
        <is>
          <t>VÄSTERNORRLANDS LÄN</t>
        </is>
      </c>
      <c r="E2386" t="inlineStr">
        <is>
          <t>ÖRNSKÖLDSVIK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55351-2021</t>
        </is>
      </c>
      <c r="B2387" s="1" t="n">
        <v>44475</v>
      </c>
      <c r="C2387" s="1" t="n">
        <v>46137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62001-2022</t>
        </is>
      </c>
      <c r="B2388" s="1" t="n">
        <v>44914</v>
      </c>
      <c r="C2388" s="1" t="n">
        <v>46137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1085-2024</t>
        </is>
      </c>
      <c r="B2389" s="1" t="n">
        <v>45301</v>
      </c>
      <c r="C2389" s="1" t="n">
        <v>46137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Kyrkan</t>
        </is>
      </c>
      <c r="G2389" t="n">
        <v>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47671-2022</t>
        </is>
      </c>
      <c r="B2390" s="1" t="n">
        <v>44854</v>
      </c>
      <c r="C2390" s="1" t="n">
        <v>46137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26715-2025</t>
        </is>
      </c>
      <c r="B2391" s="1" t="n">
        <v>45810</v>
      </c>
      <c r="C2391" s="1" t="n">
        <v>46137</v>
      </c>
      <c r="D2391" t="inlineStr">
        <is>
          <t>VÄSTERNORRLANDS LÄN</t>
        </is>
      </c>
      <c r="E2391" t="inlineStr">
        <is>
          <t>ÖRNSKÖLDSVIK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14720-2025</t>
        </is>
      </c>
      <c r="B2392" s="1" t="n">
        <v>45742.62204861111</v>
      </c>
      <c r="C2392" s="1" t="n">
        <v>46137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1833-2026</t>
        </is>
      </c>
      <c r="B2393" s="1" t="n">
        <v>46035.3860300926</v>
      </c>
      <c r="C2393" s="1" t="n">
        <v>46137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36368-2024</t>
        </is>
      </c>
      <c r="B2394" s="1" t="n">
        <v>45534.6622337963</v>
      </c>
      <c r="C2394" s="1" t="n">
        <v>46137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1563-2026</t>
        </is>
      </c>
      <c r="B2395" s="1" t="n">
        <v>46034.3947337963</v>
      </c>
      <c r="C2395" s="1" t="n">
        <v>46137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37798-2025</t>
        </is>
      </c>
      <c r="B2396" s="1" t="n">
        <v>45881</v>
      </c>
      <c r="C2396" s="1" t="n">
        <v>46137</v>
      </c>
      <c r="D2396" t="inlineStr">
        <is>
          <t>VÄSTERNORRLANDS LÄN</t>
        </is>
      </c>
      <c r="E2396" t="inlineStr">
        <is>
          <t>ÖRNSKÖLDSVIK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1807-2026</t>
        </is>
      </c>
      <c r="B2397" s="1" t="n">
        <v>46035.33141203703</v>
      </c>
      <c r="C2397" s="1" t="n">
        <v>46137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1526-2026</t>
        </is>
      </c>
      <c r="B2398" s="1" t="n">
        <v>46034.3687037037</v>
      </c>
      <c r="C2398" s="1" t="n">
        <v>46137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1416-2024</t>
        </is>
      </c>
      <c r="B2399" s="1" t="n">
        <v>45303</v>
      </c>
      <c r="C2399" s="1" t="n">
        <v>46137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1333-2023</t>
        </is>
      </c>
      <c r="B2400" s="1" t="n">
        <v>44936</v>
      </c>
      <c r="C2400" s="1" t="n">
        <v>46137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1786-2026</t>
        </is>
      </c>
      <c r="B2401" s="1" t="n">
        <v>46034.79486111111</v>
      </c>
      <c r="C2401" s="1" t="n">
        <v>46137</v>
      </c>
      <c r="D2401" t="inlineStr">
        <is>
          <t>VÄSTERNORRLANDS LÄN</t>
        </is>
      </c>
      <c r="E2401" t="inlineStr">
        <is>
          <t>ÖRNSKÖLDSVIK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1536-2026</t>
        </is>
      </c>
      <c r="B2402" s="1" t="n">
        <v>46034.38084490741</v>
      </c>
      <c r="C2402" s="1" t="n">
        <v>46137</v>
      </c>
      <c r="D2402" t="inlineStr">
        <is>
          <t>VÄSTERNORRLANDS LÄN</t>
        </is>
      </c>
      <c r="E2402" t="inlineStr">
        <is>
          <t>ÖRNSKÖLDSVIK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1856-2026</t>
        </is>
      </c>
      <c r="B2403" s="1" t="n">
        <v>46035</v>
      </c>
      <c r="C2403" s="1" t="n">
        <v>46137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28642-2022</t>
        </is>
      </c>
      <c r="B2404" s="1" t="n">
        <v>44748</v>
      </c>
      <c r="C2404" s="1" t="n">
        <v>46137</v>
      </c>
      <c r="D2404" t="inlineStr">
        <is>
          <t>VÄSTERNORRLANDS LÄN</t>
        </is>
      </c>
      <c r="E2404" t="inlineStr">
        <is>
          <t>ÖRNSKÖLDSVIK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2010-2026</t>
        </is>
      </c>
      <c r="B2405" s="1" t="n">
        <v>46035</v>
      </c>
      <c r="C2405" s="1" t="n">
        <v>46137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62467-2023</t>
        </is>
      </c>
      <c r="B2406" s="1" t="n">
        <v>45267</v>
      </c>
      <c r="C2406" s="1" t="n">
        <v>46137</v>
      </c>
      <c r="D2406" t="inlineStr">
        <is>
          <t>VÄSTERNORRLANDS LÄN</t>
        </is>
      </c>
      <c r="E2406" t="inlineStr">
        <is>
          <t>ÖRNSKÖLDSVIK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1527-2026</t>
        </is>
      </c>
      <c r="B2407" s="1" t="n">
        <v>46034.37046296296</v>
      </c>
      <c r="C2407" s="1" t="n">
        <v>46137</v>
      </c>
      <c r="D2407" t="inlineStr">
        <is>
          <t>VÄSTERNORRLANDS LÄN</t>
        </is>
      </c>
      <c r="E2407" t="inlineStr">
        <is>
          <t>ÖRNSKÖLDSVIK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51493-2024</t>
        </is>
      </c>
      <c r="B2408" s="1" t="n">
        <v>45604.53663194444</v>
      </c>
      <c r="C2408" s="1" t="n">
        <v>46137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61342-2023</t>
        </is>
      </c>
      <c r="B2409" s="1" t="n">
        <v>45264</v>
      </c>
      <c r="C2409" s="1" t="n">
        <v>46137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Övriga Aktiebolag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2079-2026</t>
        </is>
      </c>
      <c r="B2410" s="1" t="n">
        <v>46036.35122685185</v>
      </c>
      <c r="C2410" s="1" t="n">
        <v>46137</v>
      </c>
      <c r="D2410" t="inlineStr">
        <is>
          <t>VÄSTERNORRLANDS LÄN</t>
        </is>
      </c>
      <c r="E2410" t="inlineStr">
        <is>
          <t>ÖRNSKÖLDSVIK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2085-2026</t>
        </is>
      </c>
      <c r="B2411" s="1" t="n">
        <v>46036.35619212963</v>
      </c>
      <c r="C2411" s="1" t="n">
        <v>46137</v>
      </c>
      <c r="D2411" t="inlineStr">
        <is>
          <t>VÄSTERNORRLANDS LÄN</t>
        </is>
      </c>
      <c r="E2411" t="inlineStr">
        <is>
          <t>ÖRNSKÖLDSVIK</t>
        </is>
      </c>
      <c r="G2411" t="n">
        <v>8.199999999999999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60804-2025</t>
        </is>
      </c>
      <c r="B2412" s="1" t="n">
        <v>45999</v>
      </c>
      <c r="C2412" s="1" t="n">
        <v>46137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14808-2025</t>
        </is>
      </c>
      <c r="B2413" s="1" t="n">
        <v>45743.32146990741</v>
      </c>
      <c r="C2413" s="1" t="n">
        <v>46137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2124-2026</t>
        </is>
      </c>
      <c r="B2414" s="1" t="n">
        <v>46036.38638888889</v>
      </c>
      <c r="C2414" s="1" t="n">
        <v>46137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3856-2025</t>
        </is>
      </c>
      <c r="B2415" s="1" t="n">
        <v>45682</v>
      </c>
      <c r="C2415" s="1" t="n">
        <v>46137</v>
      </c>
      <c r="D2415" t="inlineStr">
        <is>
          <t>VÄSTERNORRLANDS LÄN</t>
        </is>
      </c>
      <c r="E2415" t="inlineStr">
        <is>
          <t>ÖRNSKÖLDSVIK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38307-2024</t>
        </is>
      </c>
      <c r="B2416" s="1" t="n">
        <v>45545.64277777778</v>
      </c>
      <c r="C2416" s="1" t="n">
        <v>46137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20153-2025</t>
        </is>
      </c>
      <c r="B2417" s="1" t="n">
        <v>45772.55599537037</v>
      </c>
      <c r="C2417" s="1" t="n">
        <v>46137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50369-2023</t>
        </is>
      </c>
      <c r="B2418" s="1" t="n">
        <v>45209</v>
      </c>
      <c r="C2418" s="1" t="n">
        <v>46137</v>
      </c>
      <c r="D2418" t="inlineStr">
        <is>
          <t>VÄSTERNORRLANDS LÄN</t>
        </is>
      </c>
      <c r="E2418" t="inlineStr">
        <is>
          <t>ÖRNSKÖLDSVIK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27468-2023</t>
        </is>
      </c>
      <c r="B2419" s="1" t="n">
        <v>45097</v>
      </c>
      <c r="C2419" s="1" t="n">
        <v>46137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47438-2024</t>
        </is>
      </c>
      <c r="B2420" s="1" t="n">
        <v>45587</v>
      </c>
      <c r="C2420" s="1" t="n">
        <v>46137</v>
      </c>
      <c r="D2420" t="inlineStr">
        <is>
          <t>VÄSTERNORRLANDS LÄN</t>
        </is>
      </c>
      <c r="E2420" t="inlineStr">
        <is>
          <t>ÖRNSKÖLDSVIK</t>
        </is>
      </c>
      <c r="G2420" t="n">
        <v>11.8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31244-2023</t>
        </is>
      </c>
      <c r="B2421" s="1" t="n">
        <v>45114.35319444445</v>
      </c>
      <c r="C2421" s="1" t="n">
        <v>46137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55684-2024</t>
        </is>
      </c>
      <c r="B2422" s="1" t="n">
        <v>45622.66326388889</v>
      </c>
      <c r="C2422" s="1" t="n">
        <v>46137</v>
      </c>
      <c r="D2422" t="inlineStr">
        <is>
          <t>VÄSTERNORRLANDS LÄN</t>
        </is>
      </c>
      <c r="E2422" t="inlineStr">
        <is>
          <t>ÖRNSKÖLDSVIK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3212-2026</t>
        </is>
      </c>
      <c r="B2423" s="1" t="n">
        <v>46041.49188657408</v>
      </c>
      <c r="C2423" s="1" t="n">
        <v>46137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3195-2026</t>
        </is>
      </c>
      <c r="B2424" s="1" t="n">
        <v>46041</v>
      </c>
      <c r="C2424" s="1" t="n">
        <v>46137</v>
      </c>
      <c r="D2424" t="inlineStr">
        <is>
          <t>VÄSTERNORRLANDS LÄN</t>
        </is>
      </c>
      <c r="E2424" t="inlineStr">
        <is>
          <t>ÖRNSKÖLDSVIK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3213-2026</t>
        </is>
      </c>
      <c r="B2425" s="1" t="n">
        <v>46041.49494212963</v>
      </c>
      <c r="C2425" s="1" t="n">
        <v>46137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3188-2026</t>
        </is>
      </c>
      <c r="B2426" s="1" t="n">
        <v>46041.45927083334</v>
      </c>
      <c r="C2426" s="1" t="n">
        <v>46137</v>
      </c>
      <c r="D2426" t="inlineStr">
        <is>
          <t>VÄSTERNORRLANDS LÄN</t>
        </is>
      </c>
      <c r="E2426" t="inlineStr">
        <is>
          <t>ÖRNSKÖLDSVIK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20943-2023</t>
        </is>
      </c>
      <c r="B2427" s="1" t="n">
        <v>45061</v>
      </c>
      <c r="C2427" s="1" t="n">
        <v>46137</v>
      </c>
      <c r="D2427" t="inlineStr">
        <is>
          <t>VÄSTERNORRLANDS LÄN</t>
        </is>
      </c>
      <c r="E2427" t="inlineStr">
        <is>
          <t>ÖRNSKÖLDSVIK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3359-2026</t>
        </is>
      </c>
      <c r="B2428" s="1" t="n">
        <v>46041</v>
      </c>
      <c r="C2428" s="1" t="n">
        <v>46137</v>
      </c>
      <c r="D2428" t="inlineStr">
        <is>
          <t>VÄSTERNORRLANDS LÄN</t>
        </is>
      </c>
      <c r="E2428" t="inlineStr">
        <is>
          <t>ÖRNSKÖLDSVIK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2809-2026</t>
        </is>
      </c>
      <c r="B2429" s="1" t="n">
        <v>46038.4180324074</v>
      </c>
      <c r="C2429" s="1" t="n">
        <v>46137</v>
      </c>
      <c r="D2429" t="inlineStr">
        <is>
          <t>VÄSTERNORRLANDS LÄN</t>
        </is>
      </c>
      <c r="E2429" t="inlineStr">
        <is>
          <t>ÖRNSKÖLDSVIK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3107-2026</t>
        </is>
      </c>
      <c r="B2430" s="1" t="n">
        <v>46041.35614583334</v>
      </c>
      <c r="C2430" s="1" t="n">
        <v>46137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40066-2023</t>
        </is>
      </c>
      <c r="B2431" s="1" t="n">
        <v>45168</v>
      </c>
      <c r="C2431" s="1" t="n">
        <v>46137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3249-2026</t>
        </is>
      </c>
      <c r="B2432" s="1" t="n">
        <v>46041</v>
      </c>
      <c r="C2432" s="1" t="n">
        <v>46137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2840-2026</t>
        </is>
      </c>
      <c r="B2433" s="1" t="n">
        <v>46038.46921296296</v>
      </c>
      <c r="C2433" s="1" t="n">
        <v>46137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11.4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51565-2024</t>
        </is>
      </c>
      <c r="B2434" s="1" t="n">
        <v>45604</v>
      </c>
      <c r="C2434" s="1" t="n">
        <v>46137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12903-2022</t>
        </is>
      </c>
      <c r="B2435" s="1" t="n">
        <v>44642</v>
      </c>
      <c r="C2435" s="1" t="n">
        <v>46137</v>
      </c>
      <c r="D2435" t="inlineStr">
        <is>
          <t>VÄSTERNORRLANDS LÄN</t>
        </is>
      </c>
      <c r="E2435" t="inlineStr">
        <is>
          <t>ÖRNSKÖLDSVIK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17218-2025</t>
        </is>
      </c>
      <c r="B2436" s="1" t="n">
        <v>45756.45168981481</v>
      </c>
      <c r="C2436" s="1" t="n">
        <v>46137</v>
      </c>
      <c r="D2436" t="inlineStr">
        <is>
          <t>VÄSTERNORRLANDS LÄN</t>
        </is>
      </c>
      <c r="E2436" t="inlineStr">
        <is>
          <t>ÖRNSKÖLDSVIK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2963-2026</t>
        </is>
      </c>
      <c r="B2437" s="1" t="n">
        <v>46038.61508101852</v>
      </c>
      <c r="C2437" s="1" t="n">
        <v>46137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2868-2026</t>
        </is>
      </c>
      <c r="B2438" s="1" t="n">
        <v>46038.50125</v>
      </c>
      <c r="C2438" s="1" t="n">
        <v>46137</v>
      </c>
      <c r="D2438" t="inlineStr">
        <is>
          <t>VÄSTERNORRLANDS LÄN</t>
        </is>
      </c>
      <c r="E2438" t="inlineStr">
        <is>
          <t>ÖRNSKÖLDSVIK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17236-2025</t>
        </is>
      </c>
      <c r="B2439" s="1" t="n">
        <v>45756.47702546296</v>
      </c>
      <c r="C2439" s="1" t="n">
        <v>46137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17.1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53694-2024</t>
        </is>
      </c>
      <c r="B2440" s="1" t="n">
        <v>45615.38049768518</v>
      </c>
      <c r="C2440" s="1" t="n">
        <v>46137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3139-2026</t>
        </is>
      </c>
      <c r="B2441" s="1" t="n">
        <v>46041.40305555556</v>
      </c>
      <c r="C2441" s="1" t="n">
        <v>46137</v>
      </c>
      <c r="D2441" t="inlineStr">
        <is>
          <t>VÄSTERNORRLANDS LÄN</t>
        </is>
      </c>
      <c r="E2441" t="inlineStr">
        <is>
          <t>ÖRNSKÖLDSVIK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3839-2026</t>
        </is>
      </c>
      <c r="B2442" s="1" t="n">
        <v>46043</v>
      </c>
      <c r="C2442" s="1" t="n">
        <v>46137</v>
      </c>
      <c r="D2442" t="inlineStr">
        <is>
          <t>VÄSTERNORRLANDS LÄN</t>
        </is>
      </c>
      <c r="E2442" t="inlineStr">
        <is>
          <t>ÖRNSKÖLDSVIK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20123-2021</t>
        </is>
      </c>
      <c r="B2443" s="1" t="n">
        <v>44314</v>
      </c>
      <c r="C2443" s="1" t="n">
        <v>46137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3646-2026</t>
        </is>
      </c>
      <c r="B2444" s="1" t="n">
        <v>46043.36178240741</v>
      </c>
      <c r="C2444" s="1" t="n">
        <v>46137</v>
      </c>
      <c r="D2444" t="inlineStr">
        <is>
          <t>VÄSTERNORRLANDS LÄN</t>
        </is>
      </c>
      <c r="E2444" t="inlineStr">
        <is>
          <t>ÖRNSKÖLDSVIK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11749-2025</t>
        </is>
      </c>
      <c r="B2445" s="1" t="n">
        <v>45727.63706018519</v>
      </c>
      <c r="C2445" s="1" t="n">
        <v>46137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42614-2023</t>
        </is>
      </c>
      <c r="B2446" s="1" t="n">
        <v>45176</v>
      </c>
      <c r="C2446" s="1" t="n">
        <v>46137</v>
      </c>
      <c r="D2446" t="inlineStr">
        <is>
          <t>VÄSTERNORRLANDS LÄN</t>
        </is>
      </c>
      <c r="E2446" t="inlineStr">
        <is>
          <t>ÖRNSKÖLDSVIK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3362-2026</t>
        </is>
      </c>
      <c r="B2447" s="1" t="n">
        <v>46042.33056712963</v>
      </c>
      <c r="C2447" s="1" t="n">
        <v>46137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27498-2023</t>
        </is>
      </c>
      <c r="B2448" s="1" t="n">
        <v>45097</v>
      </c>
      <c r="C2448" s="1" t="n">
        <v>46137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3567-2026</t>
        </is>
      </c>
      <c r="B2449" s="1" t="n">
        <v>46042.67577546297</v>
      </c>
      <c r="C2449" s="1" t="n">
        <v>46137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16137-2025</t>
        </is>
      </c>
      <c r="B2450" s="1" t="n">
        <v>45750.44899305556</v>
      </c>
      <c r="C2450" s="1" t="n">
        <v>46137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25097-2024</t>
        </is>
      </c>
      <c r="B2451" s="1" t="n">
        <v>45462.41476851852</v>
      </c>
      <c r="C2451" s="1" t="n">
        <v>46137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32896-2022</t>
        </is>
      </c>
      <c r="B2452" s="1" t="n">
        <v>44784.57076388889</v>
      </c>
      <c r="C2452" s="1" t="n">
        <v>46137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3500-2026</t>
        </is>
      </c>
      <c r="B2453" s="1" t="n">
        <v>46042</v>
      </c>
      <c r="C2453" s="1" t="n">
        <v>46137</v>
      </c>
      <c r="D2453" t="inlineStr">
        <is>
          <t>VÄSTERNORRLANDS LÄN</t>
        </is>
      </c>
      <c r="E2453" t="inlineStr">
        <is>
          <t>ÖRNSKÖLDSVIK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34875-2024</t>
        </is>
      </c>
      <c r="B2454" s="1" t="n">
        <v>45527.35077546296</v>
      </c>
      <c r="C2454" s="1" t="n">
        <v>46137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34898-2024</t>
        </is>
      </c>
      <c r="B2455" s="1" t="n">
        <v>45527</v>
      </c>
      <c r="C2455" s="1" t="n">
        <v>46137</v>
      </c>
      <c r="D2455" t="inlineStr">
        <is>
          <t>VÄSTERNORRLANDS LÄN</t>
        </is>
      </c>
      <c r="E2455" t="inlineStr">
        <is>
          <t>ÖRNSKÖLDSVIK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47588-2023</t>
        </is>
      </c>
      <c r="B2456" s="1" t="n">
        <v>45197</v>
      </c>
      <c r="C2456" s="1" t="n">
        <v>46137</v>
      </c>
      <c r="D2456" t="inlineStr">
        <is>
          <t>VÄSTERNORRLANDS LÄN</t>
        </is>
      </c>
      <c r="E2456" t="inlineStr">
        <is>
          <t>ÖRNSKÖLDSVIK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35395-2023</t>
        </is>
      </c>
      <c r="B2457" s="1" t="n">
        <v>45146.58788194445</v>
      </c>
      <c r="C2457" s="1" t="n">
        <v>46137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17968-2023</t>
        </is>
      </c>
      <c r="B2458" s="1" t="n">
        <v>45037</v>
      </c>
      <c r="C2458" s="1" t="n">
        <v>46137</v>
      </c>
      <c r="D2458" t="inlineStr">
        <is>
          <t>VÄSTERNORRLANDS LÄN</t>
        </is>
      </c>
      <c r="E2458" t="inlineStr">
        <is>
          <t>ÖRNSKÖLDSVIK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7361-2024</t>
        </is>
      </c>
      <c r="B2459" s="1" t="n">
        <v>45345.47570601852</v>
      </c>
      <c r="C2459" s="1" t="n">
        <v>46137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52261-2024</t>
        </is>
      </c>
      <c r="B2460" s="1" t="n">
        <v>45608</v>
      </c>
      <c r="C2460" s="1" t="n">
        <v>46137</v>
      </c>
      <c r="D2460" t="inlineStr">
        <is>
          <t>VÄSTERNORRLANDS LÄN</t>
        </is>
      </c>
      <c r="E2460" t="inlineStr">
        <is>
          <t>ÖRNSKÖLDSVIK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3397-2026</t>
        </is>
      </c>
      <c r="B2461" s="1" t="n">
        <v>46042.378125</v>
      </c>
      <c r="C2461" s="1" t="n">
        <v>46137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4404-2026</t>
        </is>
      </c>
      <c r="B2462" s="1" t="n">
        <v>46045.59074074074</v>
      </c>
      <c r="C2462" s="1" t="n">
        <v>46137</v>
      </c>
      <c r="D2462" t="inlineStr">
        <is>
          <t>VÄSTERNORRLANDS LÄN</t>
        </is>
      </c>
      <c r="E2462" t="inlineStr">
        <is>
          <t>ÖRNSKÖLDSVIK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4391-2026</t>
        </is>
      </c>
      <c r="B2463" s="1" t="n">
        <v>46045.5743287037</v>
      </c>
      <c r="C2463" s="1" t="n">
        <v>46137</v>
      </c>
      <c r="D2463" t="inlineStr">
        <is>
          <t>VÄSTERNORRLANDS LÄN</t>
        </is>
      </c>
      <c r="E2463" t="inlineStr">
        <is>
          <t>ÖRNSKÖLDSVIK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3981-2026</t>
        </is>
      </c>
      <c r="B2464" s="1" t="n">
        <v>46044.36521990741</v>
      </c>
      <c r="C2464" s="1" t="n">
        <v>46137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4219-2026</t>
        </is>
      </c>
      <c r="B2465" s="1" t="n">
        <v>46044.78854166667</v>
      </c>
      <c r="C2465" s="1" t="n">
        <v>46137</v>
      </c>
      <c r="D2465" t="inlineStr">
        <is>
          <t>VÄSTERNORRLANDS LÄN</t>
        </is>
      </c>
      <c r="E2465" t="inlineStr">
        <is>
          <t>ÖRNSKÖLDSVIK</t>
        </is>
      </c>
      <c r="G2465" t="n">
        <v>11.3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4221-2026</t>
        </is>
      </c>
      <c r="B2466" s="1" t="n">
        <v>46044.81230324074</v>
      </c>
      <c r="C2466" s="1" t="n">
        <v>46137</v>
      </c>
      <c r="D2466" t="inlineStr">
        <is>
          <t>VÄSTERNORRLANDS LÄN</t>
        </is>
      </c>
      <c r="E2466" t="inlineStr">
        <is>
          <t>ÖRNSKÖLDSVIK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52264-2024</t>
        </is>
      </c>
      <c r="B2467" s="1" t="n">
        <v>45608</v>
      </c>
      <c r="C2467" s="1" t="n">
        <v>46137</v>
      </c>
      <c r="D2467" t="inlineStr">
        <is>
          <t>VÄSTERNORRLANDS LÄN</t>
        </is>
      </c>
      <c r="E2467" t="inlineStr">
        <is>
          <t>ÖRNSKÖLDSVIK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2499-2024</t>
        </is>
      </c>
      <c r="B2468" s="1" t="n">
        <v>45313</v>
      </c>
      <c r="C2468" s="1" t="n">
        <v>46137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2538-2024</t>
        </is>
      </c>
      <c r="B2469" s="1" t="n">
        <v>45313</v>
      </c>
      <c r="C2469" s="1" t="n">
        <v>46137</v>
      </c>
      <c r="D2469" t="inlineStr">
        <is>
          <t>VÄSTERNORRLANDS LÄN</t>
        </is>
      </c>
      <c r="E2469" t="inlineStr">
        <is>
          <t>ÖRNSKÖLDSVIK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2541-2024</t>
        </is>
      </c>
      <c r="B2470" s="1" t="n">
        <v>45313.56436342592</v>
      </c>
      <c r="C2470" s="1" t="n">
        <v>46137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57416-2024</t>
        </is>
      </c>
      <c r="B2471" s="1" t="n">
        <v>45629.78733796296</v>
      </c>
      <c r="C2471" s="1" t="n">
        <v>46137</v>
      </c>
      <c r="D2471" t="inlineStr">
        <is>
          <t>VÄSTERNORRLANDS LÄN</t>
        </is>
      </c>
      <c r="E2471" t="inlineStr">
        <is>
          <t>ÖRNSKÖLDSVIK</t>
        </is>
      </c>
      <c r="G2471" t="n">
        <v>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51967-2022</t>
        </is>
      </c>
      <c r="B2472" s="1" t="n">
        <v>44872.68481481481</v>
      </c>
      <c r="C2472" s="1" t="n">
        <v>46137</v>
      </c>
      <c r="D2472" t="inlineStr">
        <is>
          <t>VÄSTERNORRLANDS LÄN</t>
        </is>
      </c>
      <c r="E2472" t="inlineStr">
        <is>
          <t>ÖRNSKÖLDSVIK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4721-2026</t>
        </is>
      </c>
      <c r="B2473" s="1" t="n">
        <v>46045</v>
      </c>
      <c r="C2473" s="1" t="n">
        <v>46137</v>
      </c>
      <c r="D2473" t="inlineStr">
        <is>
          <t>VÄSTERNORRLANDS LÄN</t>
        </is>
      </c>
      <c r="E2473" t="inlineStr">
        <is>
          <t>ÖRNSKÖLDSVIK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4726-2026</t>
        </is>
      </c>
      <c r="B2474" s="1" t="n">
        <v>46045</v>
      </c>
      <c r="C2474" s="1" t="n">
        <v>46137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20547-2023</t>
        </is>
      </c>
      <c r="B2475" s="1" t="n">
        <v>45057</v>
      </c>
      <c r="C2475" s="1" t="n">
        <v>46137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20548-2023</t>
        </is>
      </c>
      <c r="B2476" s="1" t="n">
        <v>45057</v>
      </c>
      <c r="C2476" s="1" t="n">
        <v>46137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1906-2024</t>
        </is>
      </c>
      <c r="B2477" s="1" t="n">
        <v>45308</v>
      </c>
      <c r="C2477" s="1" t="n">
        <v>46137</v>
      </c>
      <c r="D2477" t="inlineStr">
        <is>
          <t>VÄSTERNORRLANDS LÄN</t>
        </is>
      </c>
      <c r="E2477" t="inlineStr">
        <is>
          <t>ÖRNSKÖLDSVIK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19548-2024</t>
        </is>
      </c>
      <c r="B2478" s="1" t="n">
        <v>45429.6805787037</v>
      </c>
      <c r="C2478" s="1" t="n">
        <v>46137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46988-2023</t>
        </is>
      </c>
      <c r="B2479" s="1" t="n">
        <v>45201.47769675926</v>
      </c>
      <c r="C2479" s="1" t="n">
        <v>46137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58643-2023</t>
        </is>
      </c>
      <c r="B2480" s="1" t="n">
        <v>45251.58550925926</v>
      </c>
      <c r="C2480" s="1" t="n">
        <v>46137</v>
      </c>
      <c r="D2480" t="inlineStr">
        <is>
          <t>VÄSTERNORRLANDS LÄN</t>
        </is>
      </c>
      <c r="E2480" t="inlineStr">
        <is>
          <t>ÖRNSKÖLDSVIK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62659-2023</t>
        </is>
      </c>
      <c r="B2481" s="1" t="n">
        <v>45268</v>
      </c>
      <c r="C2481" s="1" t="n">
        <v>46137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51518-2023</t>
        </is>
      </c>
      <c r="B2482" s="1" t="n">
        <v>45222</v>
      </c>
      <c r="C2482" s="1" t="n">
        <v>46137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19137-2023</t>
        </is>
      </c>
      <c r="B2483" s="1" t="n">
        <v>45044</v>
      </c>
      <c r="C2483" s="1" t="n">
        <v>46137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3627-2026</t>
        </is>
      </c>
      <c r="B2484" s="1" t="n">
        <v>46043</v>
      </c>
      <c r="C2484" s="1" t="n">
        <v>46137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3631-2026</t>
        </is>
      </c>
      <c r="B2485" s="1" t="n">
        <v>46043</v>
      </c>
      <c r="C2485" s="1" t="n">
        <v>46137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16549-2023</t>
        </is>
      </c>
      <c r="B2486" s="1" t="n">
        <v>45029</v>
      </c>
      <c r="C2486" s="1" t="n">
        <v>46137</v>
      </c>
      <c r="D2486" t="inlineStr">
        <is>
          <t>VÄSTERNORRLANDS LÄN</t>
        </is>
      </c>
      <c r="E2486" t="inlineStr">
        <is>
          <t>ÖRNSKÖLDSVIK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65146-2023</t>
        </is>
      </c>
      <c r="B2487" s="1" t="n">
        <v>45288.57377314815</v>
      </c>
      <c r="C2487" s="1" t="n">
        <v>46137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36247-2024</t>
        </is>
      </c>
      <c r="B2488" s="1" t="n">
        <v>45534.52898148148</v>
      </c>
      <c r="C2488" s="1" t="n">
        <v>46137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580-2023</t>
        </is>
      </c>
      <c r="B2489" s="1" t="n">
        <v>44930</v>
      </c>
      <c r="C2489" s="1" t="n">
        <v>46137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Kommuner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4665-2026</t>
        </is>
      </c>
      <c r="B2490" s="1" t="n">
        <v>46048.41247685185</v>
      </c>
      <c r="C2490" s="1" t="n">
        <v>46137</v>
      </c>
      <c r="D2490" t="inlineStr">
        <is>
          <t>VÄSTERNORRLANDS LÄN</t>
        </is>
      </c>
      <c r="E2490" t="inlineStr">
        <is>
          <t>ÖRNSKÖLDSVIK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28202-2024</t>
        </is>
      </c>
      <c r="B2491" s="1" t="n">
        <v>45477.33899305556</v>
      </c>
      <c r="C2491" s="1" t="n">
        <v>46137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10113-2025</t>
        </is>
      </c>
      <c r="B2492" s="1" t="n">
        <v>45719.59504629629</v>
      </c>
      <c r="C2492" s="1" t="n">
        <v>46137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4654-2023</t>
        </is>
      </c>
      <c r="B2493" s="1" t="n">
        <v>44957</v>
      </c>
      <c r="C2493" s="1" t="n">
        <v>46137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4598-2026</t>
        </is>
      </c>
      <c r="B2494" s="1" t="n">
        <v>46048</v>
      </c>
      <c r="C2494" s="1" t="n">
        <v>46137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4974-2026</t>
        </is>
      </c>
      <c r="B2495" s="1" t="n">
        <v>46048</v>
      </c>
      <c r="C2495" s="1" t="n">
        <v>46137</v>
      </c>
      <c r="D2495" t="inlineStr">
        <is>
          <t>VÄSTERNORRLANDS LÄN</t>
        </is>
      </c>
      <c r="E2495" t="inlineStr">
        <is>
          <t>ÖRNSKÖLDSVIK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24897-2024</t>
        </is>
      </c>
      <c r="B2496" s="1" t="n">
        <v>45461.58018518519</v>
      </c>
      <c r="C2496" s="1" t="n">
        <v>46137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5109-2026</t>
        </is>
      </c>
      <c r="B2497" s="1" t="n">
        <v>46049.57306712963</v>
      </c>
      <c r="C2497" s="1" t="n">
        <v>46137</v>
      </c>
      <c r="D2497" t="inlineStr">
        <is>
          <t>VÄSTERNORRLANDS LÄN</t>
        </is>
      </c>
      <c r="E2497" t="inlineStr">
        <is>
          <t>ÖRNSKÖLDSVIK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4861-2026</t>
        </is>
      </c>
      <c r="B2498" s="1" t="n">
        <v>46048.6362962963</v>
      </c>
      <c r="C2498" s="1" t="n">
        <v>46137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29.5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4760-2026</t>
        </is>
      </c>
      <c r="B2499" s="1" t="n">
        <v>46048.53760416667</v>
      </c>
      <c r="C2499" s="1" t="n">
        <v>46137</v>
      </c>
      <c r="D2499" t="inlineStr">
        <is>
          <t>VÄSTERNORRLANDS LÄN</t>
        </is>
      </c>
      <c r="E2499" t="inlineStr">
        <is>
          <t>ÖRNSKÖLDSVIK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59794-2024</t>
        </is>
      </c>
      <c r="B2500" s="1" t="n">
        <v>45639.58982638889</v>
      </c>
      <c r="C2500" s="1" t="n">
        <v>46137</v>
      </c>
      <c r="D2500" t="inlineStr">
        <is>
          <t>VÄSTERNORRLANDS LÄN</t>
        </is>
      </c>
      <c r="E2500" t="inlineStr">
        <is>
          <t>ÖRNSKÖLDSVIK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126-2025</t>
        </is>
      </c>
      <c r="B2501" s="1" t="n">
        <v>45659</v>
      </c>
      <c r="C2501" s="1" t="n">
        <v>46137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48115-2023</t>
        </is>
      </c>
      <c r="B2502" s="1" t="n">
        <v>45205.34935185185</v>
      </c>
      <c r="C2502" s="1" t="n">
        <v>46137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9950-2023</t>
        </is>
      </c>
      <c r="B2503" s="1" t="n">
        <v>44985</v>
      </c>
      <c r="C2503" s="1" t="n">
        <v>46137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51197-2024</t>
        </is>
      </c>
      <c r="B2504" s="1" t="n">
        <v>45603.61863425926</v>
      </c>
      <c r="C2504" s="1" t="n">
        <v>46137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49476-2023</t>
        </is>
      </c>
      <c r="B2505" s="1" t="n">
        <v>45211</v>
      </c>
      <c r="C2505" s="1" t="n">
        <v>46137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5769-2026</t>
        </is>
      </c>
      <c r="B2506" s="1" t="n">
        <v>46051.64239583333</v>
      </c>
      <c r="C2506" s="1" t="n">
        <v>46137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18610-2025</t>
        </is>
      </c>
      <c r="B2507" s="1" t="n">
        <v>45763.49549768519</v>
      </c>
      <c r="C2507" s="1" t="n">
        <v>46137</v>
      </c>
      <c r="D2507" t="inlineStr">
        <is>
          <t>VÄSTERNORRLANDS LÄN</t>
        </is>
      </c>
      <c r="E2507" t="inlineStr">
        <is>
          <t>ÖRNSKÖLDSVIK</t>
        </is>
      </c>
      <c r="G2507" t="n">
        <v>11.8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10872-2025</t>
        </is>
      </c>
      <c r="B2508" s="1" t="n">
        <v>45722.63076388889</v>
      </c>
      <c r="C2508" s="1" t="n">
        <v>46137</v>
      </c>
      <c r="D2508" t="inlineStr">
        <is>
          <t>VÄSTERNORRLANDS LÄN</t>
        </is>
      </c>
      <c r="E2508" t="inlineStr">
        <is>
          <t>ÖRNSKÖLDSVIK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51110-2021</t>
        </is>
      </c>
      <c r="B2509" s="1" t="n">
        <v>44461</v>
      </c>
      <c r="C2509" s="1" t="n">
        <v>46137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5432-2026</t>
        </is>
      </c>
      <c r="B2510" s="1" t="n">
        <v>46050.55491898148</v>
      </c>
      <c r="C2510" s="1" t="n">
        <v>46137</v>
      </c>
      <c r="D2510" t="inlineStr">
        <is>
          <t>VÄSTERNORRLANDS LÄN</t>
        </is>
      </c>
      <c r="E2510" t="inlineStr">
        <is>
          <t>ÖRNSKÖLDSVIK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5437-2026</t>
        </is>
      </c>
      <c r="B2511" s="1" t="n">
        <v>46050.56246527778</v>
      </c>
      <c r="C2511" s="1" t="n">
        <v>46137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20.8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53223-2022</t>
        </is>
      </c>
      <c r="B2512" s="1" t="n">
        <v>44876</v>
      </c>
      <c r="C2512" s="1" t="n">
        <v>46137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5628-2026</t>
        </is>
      </c>
      <c r="B2513" s="1" t="n">
        <v>46051</v>
      </c>
      <c r="C2513" s="1" t="n">
        <v>46137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60319-2022</t>
        </is>
      </c>
      <c r="B2514" s="1" t="n">
        <v>44903</v>
      </c>
      <c r="C2514" s="1" t="n">
        <v>46137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56992-2024</t>
        </is>
      </c>
      <c r="B2515" s="1" t="n">
        <v>45628</v>
      </c>
      <c r="C2515" s="1" t="n">
        <v>46137</v>
      </c>
      <c r="D2515" t="inlineStr">
        <is>
          <t>VÄSTERNORRLANDS LÄN</t>
        </is>
      </c>
      <c r="E2515" t="inlineStr">
        <is>
          <t>ÖRNSKÖLDSVIK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16315-2025</t>
        </is>
      </c>
      <c r="B2516" s="1" t="n">
        <v>45751.34780092593</v>
      </c>
      <c r="C2516" s="1" t="n">
        <v>46137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19549-2025</t>
        </is>
      </c>
      <c r="B2517" s="1" t="n">
        <v>45770.49424768519</v>
      </c>
      <c r="C2517" s="1" t="n">
        <v>46137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18.7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42235-2023</t>
        </is>
      </c>
      <c r="B2518" s="1" t="n">
        <v>45180</v>
      </c>
      <c r="C2518" s="1" t="n">
        <v>46137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51456-2024</t>
        </is>
      </c>
      <c r="B2519" s="1" t="n">
        <v>45604.49204861111</v>
      </c>
      <c r="C2519" s="1" t="n">
        <v>46137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13724-2026</t>
        </is>
      </c>
      <c r="B2520" s="1" t="n">
        <v>46097.60828703704</v>
      </c>
      <c r="C2520" s="1" t="n">
        <v>46137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49318-2024</t>
        </is>
      </c>
      <c r="B2521" s="1" t="n">
        <v>45595.56582175926</v>
      </c>
      <c r="C2521" s="1" t="n">
        <v>46137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6833-2026</t>
        </is>
      </c>
      <c r="B2522" s="1" t="n">
        <v>46055</v>
      </c>
      <c r="C2522" s="1" t="n">
        <v>46137</v>
      </c>
      <c r="D2522" t="inlineStr">
        <is>
          <t>VÄSTERNORRLANDS LÄN</t>
        </is>
      </c>
      <c r="E2522" t="inlineStr">
        <is>
          <t>ÖRNSKÖLDSVIK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3572-2024</t>
        </is>
      </c>
      <c r="B2523" s="1" t="n">
        <v>45320.65256944444</v>
      </c>
      <c r="C2523" s="1" t="n">
        <v>46137</v>
      </c>
      <c r="D2523" t="inlineStr">
        <is>
          <t>VÄSTERNORRLANDS LÄN</t>
        </is>
      </c>
      <c r="E2523" t="inlineStr">
        <is>
          <t>ÖRNSKÖLDSVIK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6186-2026</t>
        </is>
      </c>
      <c r="B2524" s="1" t="n">
        <v>46055.36555555555</v>
      </c>
      <c r="C2524" s="1" t="n">
        <v>46137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5918-2026</t>
        </is>
      </c>
      <c r="B2525" s="1" t="n">
        <v>46052</v>
      </c>
      <c r="C2525" s="1" t="n">
        <v>46137</v>
      </c>
      <c r="D2525" t="inlineStr">
        <is>
          <t>VÄSTERNORRLANDS LÄN</t>
        </is>
      </c>
      <c r="E2525" t="inlineStr">
        <is>
          <t>ÖRNSKÖLDSVIK</t>
        </is>
      </c>
      <c r="G2525" t="n">
        <v>9.1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13672-2026</t>
        </is>
      </c>
      <c r="B2526" s="1" t="n">
        <v>46097.49179398148</v>
      </c>
      <c r="C2526" s="1" t="n">
        <v>46137</v>
      </c>
      <c r="D2526" t="inlineStr">
        <is>
          <t>VÄSTERNORRLANDS LÄN</t>
        </is>
      </c>
      <c r="E2526" t="inlineStr">
        <is>
          <t>ÖRNSKÖLDSVIK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28169-2024</t>
        </is>
      </c>
      <c r="B2527" s="1" t="n">
        <v>45476.94462962963</v>
      </c>
      <c r="C2527" s="1" t="n">
        <v>46137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7.8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6514-2026</t>
        </is>
      </c>
      <c r="B2528" s="1" t="n">
        <v>46052</v>
      </c>
      <c r="C2528" s="1" t="n">
        <v>46137</v>
      </c>
      <c r="D2528" t="inlineStr">
        <is>
          <t>VÄSTERNORRLANDS LÄN</t>
        </is>
      </c>
      <c r="E2528" t="inlineStr">
        <is>
          <t>ÖRNSKÖLDSVIK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6402-2026</t>
        </is>
      </c>
      <c r="B2529" s="1" t="n">
        <v>46055.65847222223</v>
      </c>
      <c r="C2529" s="1" t="n">
        <v>46137</v>
      </c>
      <c r="D2529" t="inlineStr">
        <is>
          <t>VÄSTERNORRLANDS LÄN</t>
        </is>
      </c>
      <c r="E2529" t="inlineStr">
        <is>
          <t>ÖRNSKÖLDSVIK</t>
        </is>
      </c>
      <c r="G2529" t="n">
        <v>13.9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53689-2023</t>
        </is>
      </c>
      <c r="B2530" s="1" t="n">
        <v>45230</v>
      </c>
      <c r="C2530" s="1" t="n">
        <v>46137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48698-2024</t>
        </is>
      </c>
      <c r="B2531" s="1" t="n">
        <v>45593.51137731481</v>
      </c>
      <c r="C2531" s="1" t="n">
        <v>46137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26395-2024</t>
        </is>
      </c>
      <c r="B2532" s="1" t="n">
        <v>45469.43778935185</v>
      </c>
      <c r="C2532" s="1" t="n">
        <v>46137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24324-2024</t>
        </is>
      </c>
      <c r="B2533" s="1" t="n">
        <v>45457</v>
      </c>
      <c r="C2533" s="1" t="n">
        <v>46137</v>
      </c>
      <c r="D2533" t="inlineStr">
        <is>
          <t>VÄSTERNORRLANDS LÄN</t>
        </is>
      </c>
      <c r="E2533" t="inlineStr">
        <is>
          <t>ÖRNSKÖLDSVIK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37659-2024</t>
        </is>
      </c>
      <c r="B2534" s="1" t="n">
        <v>45541.56174768518</v>
      </c>
      <c r="C2534" s="1" t="n">
        <v>46137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25151-2023</t>
        </is>
      </c>
      <c r="B2535" s="1" t="n">
        <v>45086</v>
      </c>
      <c r="C2535" s="1" t="n">
        <v>46137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57045-2024</t>
        </is>
      </c>
      <c r="B2536" s="1" t="n">
        <v>45629.33137731482</v>
      </c>
      <c r="C2536" s="1" t="n">
        <v>46137</v>
      </c>
      <c r="D2536" t="inlineStr">
        <is>
          <t>VÄSTERNORRLANDS LÄN</t>
        </is>
      </c>
      <c r="E2536" t="inlineStr">
        <is>
          <t>ÖRNSKÖLDSVIK</t>
        </is>
      </c>
      <c r="G2536" t="n">
        <v>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13776-2026</t>
        </is>
      </c>
      <c r="B2537" s="1" t="n">
        <v>46097.67322916666</v>
      </c>
      <c r="C2537" s="1" t="n">
        <v>46137</v>
      </c>
      <c r="D2537" t="inlineStr">
        <is>
          <t>VÄSTERNORRLANDS LÄN</t>
        </is>
      </c>
      <c r="E2537" t="inlineStr">
        <is>
          <t>ÖRNSKÖLDSVIK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34563-2024</t>
        </is>
      </c>
      <c r="B2538" s="1" t="n">
        <v>45526.32954861111</v>
      </c>
      <c r="C2538" s="1" t="n">
        <v>46137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6358-2026</t>
        </is>
      </c>
      <c r="B2539" s="1" t="n">
        <v>46055.61804398148</v>
      </c>
      <c r="C2539" s="1" t="n">
        <v>46137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6173-2026</t>
        </is>
      </c>
      <c r="B2540" s="1" t="n">
        <v>46055.34434027778</v>
      </c>
      <c r="C2540" s="1" t="n">
        <v>46137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61339-2024</t>
        </is>
      </c>
      <c r="B2541" s="1" t="n">
        <v>45646.36876157407</v>
      </c>
      <c r="C2541" s="1" t="n">
        <v>46137</v>
      </c>
      <c r="D2541" t="inlineStr">
        <is>
          <t>VÄSTERNORRLANDS LÄN</t>
        </is>
      </c>
      <c r="E2541" t="inlineStr">
        <is>
          <t>ÖRNSKÖLDSVIK</t>
        </is>
      </c>
      <c r="G2541" t="n">
        <v>8.5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6051-2026</t>
        </is>
      </c>
      <c r="B2542" s="1" t="n">
        <v>46052</v>
      </c>
      <c r="C2542" s="1" t="n">
        <v>46137</v>
      </c>
      <c r="D2542" t="inlineStr">
        <is>
          <t>VÄSTERNORRLANDS LÄN</t>
        </is>
      </c>
      <c r="E2542" t="inlineStr">
        <is>
          <t>ÖRNSKÖLDSVIK</t>
        </is>
      </c>
      <c r="G2542" t="n">
        <v>12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17959-2023</t>
        </is>
      </c>
      <c r="B2543" s="1" t="n">
        <v>45037</v>
      </c>
      <c r="C2543" s="1" t="n">
        <v>46137</v>
      </c>
      <c r="D2543" t="inlineStr">
        <is>
          <t>VÄSTERNORRLANDS LÄN</t>
        </is>
      </c>
      <c r="E2543" t="inlineStr">
        <is>
          <t>ÖRNSKÖLDSVIK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24531-2023</t>
        </is>
      </c>
      <c r="B2544" s="1" t="n">
        <v>45077</v>
      </c>
      <c r="C2544" s="1" t="n">
        <v>46137</v>
      </c>
      <c r="D2544" t="inlineStr">
        <is>
          <t>VÄSTERNORRLANDS LÄN</t>
        </is>
      </c>
      <c r="E2544" t="inlineStr">
        <is>
          <t>ÖRNSKÖLDSVIK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21888-2024</t>
        </is>
      </c>
      <c r="B2545" s="1" t="n">
        <v>45443</v>
      </c>
      <c r="C2545" s="1" t="n">
        <v>46137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21893-2024</t>
        </is>
      </c>
      <c r="B2546" s="1" t="n">
        <v>45443.40269675926</v>
      </c>
      <c r="C2546" s="1" t="n">
        <v>46137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27217-2024</t>
        </is>
      </c>
      <c r="B2547" s="1" t="n">
        <v>45471.6217824074</v>
      </c>
      <c r="C2547" s="1" t="n">
        <v>46137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25044-2024</t>
        </is>
      </c>
      <c r="B2548" s="1" t="n">
        <v>45462.30936342593</v>
      </c>
      <c r="C2548" s="1" t="n">
        <v>46137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8.9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39779-2021</t>
        </is>
      </c>
      <c r="B2549" s="1" t="n">
        <v>44417</v>
      </c>
      <c r="C2549" s="1" t="n">
        <v>46137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34973-2024</t>
        </is>
      </c>
      <c r="B2550" s="1" t="n">
        <v>45527.53800925926</v>
      </c>
      <c r="C2550" s="1" t="n">
        <v>46137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34981-2024</t>
        </is>
      </c>
      <c r="B2551" s="1" t="n">
        <v>45527</v>
      </c>
      <c r="C2551" s="1" t="n">
        <v>46137</v>
      </c>
      <c r="D2551" t="inlineStr">
        <is>
          <t>VÄSTERNORRLANDS LÄN</t>
        </is>
      </c>
      <c r="E2551" t="inlineStr">
        <is>
          <t>ÖRNSKÖLDSVIK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37156-2024</t>
        </is>
      </c>
      <c r="B2552" s="1" t="n">
        <v>45539.61006944445</v>
      </c>
      <c r="C2552" s="1" t="n">
        <v>46137</v>
      </c>
      <c r="D2552" t="inlineStr">
        <is>
          <t>VÄSTERNORRLANDS LÄN</t>
        </is>
      </c>
      <c r="E2552" t="inlineStr">
        <is>
          <t>ÖRNSKÖLDSVIK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25201-2024</t>
        </is>
      </c>
      <c r="B2553" s="1" t="n">
        <v>45462.57261574074</v>
      </c>
      <c r="C2553" s="1" t="n">
        <v>46137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50731-2024</t>
        </is>
      </c>
      <c r="B2554" s="1" t="n">
        <v>45601</v>
      </c>
      <c r="C2554" s="1" t="n">
        <v>46137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36863-2023</t>
        </is>
      </c>
      <c r="B2555" s="1" t="n">
        <v>45154.55763888889</v>
      </c>
      <c r="C2555" s="1" t="n">
        <v>46137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14940-2025</t>
        </is>
      </c>
      <c r="B2556" s="1" t="n">
        <v>45743.56175925926</v>
      </c>
      <c r="C2556" s="1" t="n">
        <v>46137</v>
      </c>
      <c r="D2556" t="inlineStr">
        <is>
          <t>VÄSTERNORRLANDS LÄN</t>
        </is>
      </c>
      <c r="E2556" t="inlineStr">
        <is>
          <t>ÖRNSKÖLDSVIK</t>
        </is>
      </c>
      <c r="G2556" t="n">
        <v>11.8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69593-2021</t>
        </is>
      </c>
      <c r="B2557" s="1" t="n">
        <v>44532.37070601852</v>
      </c>
      <c r="C2557" s="1" t="n">
        <v>46137</v>
      </c>
      <c r="D2557" t="inlineStr">
        <is>
          <t>VÄSTERNORRLANDS LÄN</t>
        </is>
      </c>
      <c r="E2557" t="inlineStr">
        <is>
          <t>ÖRNSKÖLDSVIK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15809-2024</t>
        </is>
      </c>
      <c r="B2558" s="1" t="n">
        <v>45404</v>
      </c>
      <c r="C2558" s="1" t="n">
        <v>46137</v>
      </c>
      <c r="D2558" t="inlineStr">
        <is>
          <t>VÄSTERNORRLANDS LÄN</t>
        </is>
      </c>
      <c r="E2558" t="inlineStr">
        <is>
          <t>ÖRNSKÖLDSVIK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9146-2025</t>
        </is>
      </c>
      <c r="B2559" s="1" t="n">
        <v>45714.33052083333</v>
      </c>
      <c r="C2559" s="1" t="n">
        <v>46137</v>
      </c>
      <c r="D2559" t="inlineStr">
        <is>
          <t>VÄSTERNORRLANDS LÄN</t>
        </is>
      </c>
      <c r="E2559" t="inlineStr">
        <is>
          <t>ÖRNSKÖLDSVIK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56966-2024</t>
        </is>
      </c>
      <c r="B2560" s="1" t="n">
        <v>45628.66023148148</v>
      </c>
      <c r="C2560" s="1" t="n">
        <v>46137</v>
      </c>
      <c r="D2560" t="inlineStr">
        <is>
          <t>VÄSTERNORRLANDS LÄN</t>
        </is>
      </c>
      <c r="E2560" t="inlineStr">
        <is>
          <t>ÖRNSKÖLDSVIK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60647-2024</t>
        </is>
      </c>
      <c r="B2561" s="1" t="n">
        <v>45644.43476851852</v>
      </c>
      <c r="C2561" s="1" t="n">
        <v>46137</v>
      </c>
      <c r="D2561" t="inlineStr">
        <is>
          <t>VÄSTERNORRLANDS LÄN</t>
        </is>
      </c>
      <c r="E2561" t="inlineStr">
        <is>
          <t>ÖRNSKÖLDSVIK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34905-2024</t>
        </is>
      </c>
      <c r="B2562" s="1" t="n">
        <v>45527</v>
      </c>
      <c r="C2562" s="1" t="n">
        <v>46137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4983-2025</t>
        </is>
      </c>
      <c r="B2563" s="1" t="n">
        <v>45691</v>
      </c>
      <c r="C2563" s="1" t="n">
        <v>46137</v>
      </c>
      <c r="D2563" t="inlineStr">
        <is>
          <t>VÄSTERNORRLANDS LÄN</t>
        </is>
      </c>
      <c r="E2563" t="inlineStr">
        <is>
          <t>ÖRNSKÖLDSVIK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6623-2026</t>
        </is>
      </c>
      <c r="B2564" s="1" t="n">
        <v>46056.50164351852</v>
      </c>
      <c r="C2564" s="1" t="n">
        <v>46137</v>
      </c>
      <c r="D2564" t="inlineStr">
        <is>
          <t>VÄSTERNORRLANDS LÄN</t>
        </is>
      </c>
      <c r="E2564" t="inlineStr">
        <is>
          <t>ÖRNSKÖLDSVIK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6814-2026</t>
        </is>
      </c>
      <c r="B2565" s="1" t="n">
        <v>46057.37483796296</v>
      </c>
      <c r="C2565" s="1" t="n">
        <v>46137</v>
      </c>
      <c r="D2565" t="inlineStr">
        <is>
          <t>VÄSTERNORRLANDS LÄN</t>
        </is>
      </c>
      <c r="E2565" t="inlineStr">
        <is>
          <t>ÖRNSKÖLDSVIK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13874-2026</t>
        </is>
      </c>
      <c r="B2566" s="1" t="n">
        <v>46098.43045138889</v>
      </c>
      <c r="C2566" s="1" t="n">
        <v>46137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6670-2026</t>
        </is>
      </c>
      <c r="B2567" s="1" t="n">
        <v>46056.59789351852</v>
      </c>
      <c r="C2567" s="1" t="n">
        <v>46137</v>
      </c>
      <c r="D2567" t="inlineStr">
        <is>
          <t>VÄSTERNORRLANDS LÄN</t>
        </is>
      </c>
      <c r="E2567" t="inlineStr">
        <is>
          <t>ÖRNSKÖLDSVIK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73269-2021</t>
        </is>
      </c>
      <c r="B2568" s="1" t="n">
        <v>44550.88486111111</v>
      </c>
      <c r="C2568" s="1" t="n">
        <v>46137</v>
      </c>
      <c r="D2568" t="inlineStr">
        <is>
          <t>VÄSTERNORRLANDS LÄN</t>
        </is>
      </c>
      <c r="E2568" t="inlineStr">
        <is>
          <t>ÖRNSKÖLDSVIK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50767-2024</t>
        </is>
      </c>
      <c r="B2569" s="1" t="n">
        <v>45602</v>
      </c>
      <c r="C2569" s="1" t="n">
        <v>46137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13868-2026</t>
        </is>
      </c>
      <c r="B2570" s="1" t="n">
        <v>46098.42165509259</v>
      </c>
      <c r="C2570" s="1" t="n">
        <v>46137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13876-2026</t>
        </is>
      </c>
      <c r="B2571" s="1" t="n">
        <v>46098.43914351852</v>
      </c>
      <c r="C2571" s="1" t="n">
        <v>46137</v>
      </c>
      <c r="D2571" t="inlineStr">
        <is>
          <t>VÄSTERNORRLANDS LÄN</t>
        </is>
      </c>
      <c r="E2571" t="inlineStr">
        <is>
          <t>ÖRNSKÖLDSVIK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36704-2024</t>
        </is>
      </c>
      <c r="B2572" s="1" t="n">
        <v>45537.71113425926</v>
      </c>
      <c r="C2572" s="1" t="n">
        <v>46137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55636-2024</t>
        </is>
      </c>
      <c r="B2573" s="1" t="n">
        <v>45622.61081018519</v>
      </c>
      <c r="C2573" s="1" t="n">
        <v>46137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40172-2024</t>
        </is>
      </c>
      <c r="B2574" s="1" t="n">
        <v>45554.55274305555</v>
      </c>
      <c r="C2574" s="1" t="n">
        <v>46137</v>
      </c>
      <c r="D2574" t="inlineStr">
        <is>
          <t>VÄSTERNORRLANDS LÄN</t>
        </is>
      </c>
      <c r="E2574" t="inlineStr">
        <is>
          <t>ÖRNSKÖLDSVIK</t>
        </is>
      </c>
      <c r="G2574" t="n">
        <v>6.1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14005-2026</t>
        </is>
      </c>
      <c r="B2575" s="1" t="n">
        <v>46098.6512962963</v>
      </c>
      <c r="C2575" s="1" t="n">
        <v>46137</v>
      </c>
      <c r="D2575" t="inlineStr">
        <is>
          <t>VÄSTERNORRLANDS LÄN</t>
        </is>
      </c>
      <c r="E2575" t="inlineStr">
        <is>
          <t>ÖRNSKÖLDSVIK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34524-2024</t>
        </is>
      </c>
      <c r="B2576" s="1" t="n">
        <v>45525.68555555555</v>
      </c>
      <c r="C2576" s="1" t="n">
        <v>46137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13872-2026</t>
        </is>
      </c>
      <c r="B2577" s="1" t="n">
        <v>46098.42618055556</v>
      </c>
      <c r="C2577" s="1" t="n">
        <v>46137</v>
      </c>
      <c r="D2577" t="inlineStr">
        <is>
          <t>VÄSTERNORRLANDS LÄN</t>
        </is>
      </c>
      <c r="E2577" t="inlineStr">
        <is>
          <t>ÖRNSKÖLDSVIK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14075-2026</t>
        </is>
      </c>
      <c r="B2578" s="1" t="n">
        <v>46099.35835648148</v>
      </c>
      <c r="C2578" s="1" t="n">
        <v>46137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46821-2023</t>
        </is>
      </c>
      <c r="B2579" s="1" t="n">
        <v>45198</v>
      </c>
      <c r="C2579" s="1" t="n">
        <v>46137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13871-2026</t>
        </is>
      </c>
      <c r="B2580" s="1" t="n">
        <v>46098.4253125</v>
      </c>
      <c r="C2580" s="1" t="n">
        <v>46137</v>
      </c>
      <c r="D2580" t="inlineStr">
        <is>
          <t>VÄSTERNORRLANDS LÄN</t>
        </is>
      </c>
      <c r="E2580" t="inlineStr">
        <is>
          <t>ÖRNSKÖLDSVIK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43100-2023</t>
        </is>
      </c>
      <c r="B2581" s="1" t="n">
        <v>45182</v>
      </c>
      <c r="C2581" s="1" t="n">
        <v>46137</v>
      </c>
      <c r="D2581" t="inlineStr">
        <is>
          <t>VÄSTERNORRLANDS LÄN</t>
        </is>
      </c>
      <c r="E2581" t="inlineStr">
        <is>
          <t>ÖRNSKÖLDSVIK</t>
        </is>
      </c>
      <c r="G2581" t="n">
        <v>12.9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14265-2026</t>
        </is>
      </c>
      <c r="B2582" s="1" t="n">
        <v>46099</v>
      </c>
      <c r="C2582" s="1" t="n">
        <v>46137</v>
      </c>
      <c r="D2582" t="inlineStr">
        <is>
          <t>VÄSTERNORRLANDS LÄN</t>
        </is>
      </c>
      <c r="E2582" t="inlineStr">
        <is>
          <t>ÖRNSKÖLDSVIK</t>
        </is>
      </c>
      <c r="G2582" t="n">
        <v>9.300000000000001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32583-2024</t>
        </is>
      </c>
      <c r="B2583" s="1" t="n">
        <v>45513</v>
      </c>
      <c r="C2583" s="1" t="n">
        <v>46137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14001-2026</t>
        </is>
      </c>
      <c r="B2584" s="1" t="n">
        <v>46098.64320601852</v>
      </c>
      <c r="C2584" s="1" t="n">
        <v>46137</v>
      </c>
      <c r="D2584" t="inlineStr">
        <is>
          <t>VÄSTERNORRLANDS LÄN</t>
        </is>
      </c>
      <c r="E2584" t="inlineStr">
        <is>
          <t>ÖRNSKÖLDSVIK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29425-2023</t>
        </is>
      </c>
      <c r="B2585" s="1" t="n">
        <v>45106.48501157408</v>
      </c>
      <c r="C2585" s="1" t="n">
        <v>46137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29428-2023</t>
        </is>
      </c>
      <c r="B2586" s="1" t="n">
        <v>45106.48644675926</v>
      </c>
      <c r="C2586" s="1" t="n">
        <v>46137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29462-2023</t>
        </is>
      </c>
      <c r="B2587" s="1" t="n">
        <v>45106.54206018519</v>
      </c>
      <c r="C2587" s="1" t="n">
        <v>46137</v>
      </c>
      <c r="D2587" t="inlineStr">
        <is>
          <t>VÄSTERNORRLANDS LÄN</t>
        </is>
      </c>
      <c r="E2587" t="inlineStr">
        <is>
          <t>ÖRNSKÖLDSVIK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29501-2023</t>
        </is>
      </c>
      <c r="B2588" s="1" t="n">
        <v>45106.59871527777</v>
      </c>
      <c r="C2588" s="1" t="n">
        <v>46137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13828-2026</t>
        </is>
      </c>
      <c r="B2589" s="1" t="n">
        <v>46098.34797453704</v>
      </c>
      <c r="C2589" s="1" t="n">
        <v>46137</v>
      </c>
      <c r="D2589" t="inlineStr">
        <is>
          <t>VÄSTERNORRLANDS LÄN</t>
        </is>
      </c>
      <c r="E2589" t="inlineStr">
        <is>
          <t>ÖRNSKÖLDSVIK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44118-2024</t>
        </is>
      </c>
      <c r="B2590" s="1" t="n">
        <v>45572.63793981481</v>
      </c>
      <c r="C2590" s="1" t="n">
        <v>46137</v>
      </c>
      <c r="D2590" t="inlineStr">
        <is>
          <t>VÄSTERNORRLANDS LÄN</t>
        </is>
      </c>
      <c r="E2590" t="inlineStr">
        <is>
          <t>ÖRNSKÖLDSVIK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35231-2023</t>
        </is>
      </c>
      <c r="B2591" s="1" t="n">
        <v>45145.66675925926</v>
      </c>
      <c r="C2591" s="1" t="n">
        <v>46137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6869-2026</t>
        </is>
      </c>
      <c r="B2592" s="1" t="n">
        <v>46057.44512731482</v>
      </c>
      <c r="C2592" s="1" t="n">
        <v>46137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45794-2023</t>
        </is>
      </c>
      <c r="B2593" s="1" t="n">
        <v>45195</v>
      </c>
      <c r="C2593" s="1" t="n">
        <v>46137</v>
      </c>
      <c r="D2593" t="inlineStr">
        <is>
          <t>VÄSTERNORRLANDS LÄN</t>
        </is>
      </c>
      <c r="E2593" t="inlineStr">
        <is>
          <t>ÖRNSKÖLDSVIK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45824-2023</t>
        </is>
      </c>
      <c r="B2594" s="1" t="n">
        <v>45189</v>
      </c>
      <c r="C2594" s="1" t="n">
        <v>46137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14705-2026</t>
        </is>
      </c>
      <c r="B2595" s="1" t="n">
        <v>46101.54594907408</v>
      </c>
      <c r="C2595" s="1" t="n">
        <v>46137</v>
      </c>
      <c r="D2595" t="inlineStr">
        <is>
          <t>VÄSTERNORRLANDS LÄN</t>
        </is>
      </c>
      <c r="E2595" t="inlineStr">
        <is>
          <t>ÖRNSKÖLDSVIK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14562-2026</t>
        </is>
      </c>
      <c r="B2596" s="1" t="n">
        <v>46100</v>
      </c>
      <c r="C2596" s="1" t="n">
        <v>46137</v>
      </c>
      <c r="D2596" t="inlineStr">
        <is>
          <t>VÄSTERNORRLANDS LÄN</t>
        </is>
      </c>
      <c r="E2596" t="inlineStr">
        <is>
          <t>ÖRNSKÖLDSVIK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7290-2026</t>
        </is>
      </c>
      <c r="B2597" s="1" t="n">
        <v>46058.6397337963</v>
      </c>
      <c r="C2597" s="1" t="n">
        <v>46137</v>
      </c>
      <c r="D2597" t="inlineStr">
        <is>
          <t>VÄSTERNORRLANDS LÄN</t>
        </is>
      </c>
      <c r="E2597" t="inlineStr">
        <is>
          <t>ÖRNSKÖLDSVIK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5248-2023</t>
        </is>
      </c>
      <c r="B2598" s="1" t="n">
        <v>44959.44559027778</v>
      </c>
      <c r="C2598" s="1" t="n">
        <v>46137</v>
      </c>
      <c r="D2598" t="inlineStr">
        <is>
          <t>VÄSTERNORRLANDS LÄN</t>
        </is>
      </c>
      <c r="E2598" t="inlineStr">
        <is>
          <t>ÖRNSKÖLDSVIK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59453-2024</t>
        </is>
      </c>
      <c r="B2599" s="1" t="n">
        <v>45638.4671875</v>
      </c>
      <c r="C2599" s="1" t="n">
        <v>46137</v>
      </c>
      <c r="D2599" t="inlineStr">
        <is>
          <t>VÄSTERNORRLANDS LÄN</t>
        </is>
      </c>
      <c r="E2599" t="inlineStr">
        <is>
          <t>ÖRNSKÖLDSVIK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7291-2026</t>
        </is>
      </c>
      <c r="B2600" s="1" t="n">
        <v>46058.64001157408</v>
      </c>
      <c r="C2600" s="1" t="n">
        <v>46137</v>
      </c>
      <c r="D2600" t="inlineStr">
        <is>
          <t>VÄSTERNORRLANDS LÄN</t>
        </is>
      </c>
      <c r="E2600" t="inlineStr">
        <is>
          <t>ÖRNSKÖLDSVIK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7292-2026</t>
        </is>
      </c>
      <c r="B2601" s="1" t="n">
        <v>46058.64039351852</v>
      </c>
      <c r="C2601" s="1" t="n">
        <v>46137</v>
      </c>
      <c r="D2601" t="inlineStr">
        <is>
          <t>VÄSTERNORRLANDS LÄN</t>
        </is>
      </c>
      <c r="E2601" t="inlineStr">
        <is>
          <t>ÖRNSKÖLDSVIK</t>
        </is>
      </c>
      <c r="G2601" t="n">
        <v>7.8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58725-2024</t>
        </is>
      </c>
      <c r="B2602" s="1" t="n">
        <v>45635.66519675926</v>
      </c>
      <c r="C2602" s="1" t="n">
        <v>46137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7574-2023</t>
        </is>
      </c>
      <c r="B2603" s="1" t="n">
        <v>44972</v>
      </c>
      <c r="C2603" s="1" t="n">
        <v>46137</v>
      </c>
      <c r="D2603" t="inlineStr">
        <is>
          <t>VÄSTERNORRLANDS LÄN</t>
        </is>
      </c>
      <c r="E2603" t="inlineStr">
        <is>
          <t>ÖRNSKÖLDSVIK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49701-2023</t>
        </is>
      </c>
      <c r="B2604" s="1" t="n">
        <v>45212</v>
      </c>
      <c r="C2604" s="1" t="n">
        <v>46137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14637-2026</t>
        </is>
      </c>
      <c r="B2605" s="1" t="n">
        <v>46101.40712962963</v>
      </c>
      <c r="C2605" s="1" t="n">
        <v>46137</v>
      </c>
      <c r="D2605" t="inlineStr">
        <is>
          <t>VÄSTERNORRLANDS LÄN</t>
        </is>
      </c>
      <c r="E2605" t="inlineStr">
        <is>
          <t>ÖRNSKÖLDSVIK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56306-2024</t>
        </is>
      </c>
      <c r="B2606" s="1" t="n">
        <v>45624.69822916666</v>
      </c>
      <c r="C2606" s="1" t="n">
        <v>46137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24416-2024</t>
        </is>
      </c>
      <c r="B2607" s="1" t="n">
        <v>45457.74280092592</v>
      </c>
      <c r="C2607" s="1" t="n">
        <v>46137</v>
      </c>
      <c r="D2607" t="inlineStr">
        <is>
          <t>VÄSTERNORRLANDS LÄN</t>
        </is>
      </c>
      <c r="E2607" t="inlineStr">
        <is>
          <t>ÖRNSKÖLDSVIK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108-2025</t>
        </is>
      </c>
      <c r="B2608" s="1" t="n">
        <v>45649</v>
      </c>
      <c r="C2608" s="1" t="n">
        <v>46137</v>
      </c>
      <c r="D2608" t="inlineStr">
        <is>
          <t>VÄSTERNORRLANDS LÄN</t>
        </is>
      </c>
      <c r="E2608" t="inlineStr">
        <is>
          <t>ÖRNSKÖLDSVIK</t>
        </is>
      </c>
      <c r="G2608" t="n">
        <v>13.6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7106-2026</t>
        </is>
      </c>
      <c r="B2609" s="1" t="n">
        <v>46058.36534722222</v>
      </c>
      <c r="C2609" s="1" t="n">
        <v>46137</v>
      </c>
      <c r="D2609" t="inlineStr">
        <is>
          <t>VÄSTERNORRLANDS LÄN</t>
        </is>
      </c>
      <c r="E2609" t="inlineStr">
        <is>
          <t>ÖRNSKÖLDSVIK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28472-2023</t>
        </is>
      </c>
      <c r="B2610" s="1" t="n">
        <v>45103.41283564815</v>
      </c>
      <c r="C2610" s="1" t="n">
        <v>46137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24417-2024</t>
        </is>
      </c>
      <c r="B2611" s="1" t="n">
        <v>45457.80538194445</v>
      </c>
      <c r="C2611" s="1" t="n">
        <v>46137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33843-2024</t>
        </is>
      </c>
      <c r="B2612" s="1" t="n">
        <v>45520.63395833333</v>
      </c>
      <c r="C2612" s="1" t="n">
        <v>46137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51437-2024</t>
        </is>
      </c>
      <c r="B2613" s="1" t="n">
        <v>45604.47586805555</v>
      </c>
      <c r="C2613" s="1" t="n">
        <v>46137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60890-2023</t>
        </is>
      </c>
      <c r="B2614" s="1" t="n">
        <v>45261</v>
      </c>
      <c r="C2614" s="1" t="n">
        <v>46137</v>
      </c>
      <c r="D2614" t="inlineStr">
        <is>
          <t>VÄSTERNORRLANDS LÄN</t>
        </is>
      </c>
      <c r="E2614" t="inlineStr">
        <is>
          <t>ÖRNSKÖLDSVIK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14483-2026</t>
        </is>
      </c>
      <c r="B2615" s="1" t="n">
        <v>46100.58876157407</v>
      </c>
      <c r="C2615" s="1" t="n">
        <v>46137</v>
      </c>
      <c r="D2615" t="inlineStr">
        <is>
          <t>VÄSTERNORRLANDS LÄN</t>
        </is>
      </c>
      <c r="E2615" t="inlineStr">
        <is>
          <t>ÖRNSKÖLDSVIK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45942-2023</t>
        </is>
      </c>
      <c r="B2616" s="1" t="n">
        <v>45195</v>
      </c>
      <c r="C2616" s="1" t="n">
        <v>46137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14524-2026</t>
        </is>
      </c>
      <c r="B2617" s="1" t="n">
        <v>46100.65710648148</v>
      </c>
      <c r="C2617" s="1" t="n">
        <v>46137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18988-2025</t>
        </is>
      </c>
      <c r="B2618" s="1" t="n">
        <v>45764</v>
      </c>
      <c r="C2618" s="1" t="n">
        <v>46137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10582-2025</t>
        </is>
      </c>
      <c r="B2619" s="1" t="n">
        <v>45721.5515162037</v>
      </c>
      <c r="C2619" s="1" t="n">
        <v>46137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52445-2024</t>
        </is>
      </c>
      <c r="B2620" s="1" t="n">
        <v>45609</v>
      </c>
      <c r="C2620" s="1" t="n">
        <v>46137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36985-2024</t>
        </is>
      </c>
      <c r="B2621" s="1" t="n">
        <v>45539.3235300926</v>
      </c>
      <c r="C2621" s="1" t="n">
        <v>46137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14623-2026</t>
        </is>
      </c>
      <c r="B2622" s="1" t="n">
        <v>46101.39001157408</v>
      </c>
      <c r="C2622" s="1" t="n">
        <v>46137</v>
      </c>
      <c r="D2622" t="inlineStr">
        <is>
          <t>VÄSTERNORRLANDS LÄN</t>
        </is>
      </c>
      <c r="E2622" t="inlineStr">
        <is>
          <t>ÖRNSKÖLDSVIK</t>
        </is>
      </c>
      <c r="G2622" t="n">
        <v>10.5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7289-2026</t>
        </is>
      </c>
      <c r="B2623" s="1" t="n">
        <v>46058.63939814815</v>
      </c>
      <c r="C2623" s="1" t="n">
        <v>46137</v>
      </c>
      <c r="D2623" t="inlineStr">
        <is>
          <t>VÄSTERNORRLANDS LÄN</t>
        </is>
      </c>
      <c r="E2623" t="inlineStr">
        <is>
          <t>ÖRNSKÖLDSVIK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50687-2023</t>
        </is>
      </c>
      <c r="B2624" s="1" t="n">
        <v>45210</v>
      </c>
      <c r="C2624" s="1" t="n">
        <v>46137</v>
      </c>
      <c r="D2624" t="inlineStr">
        <is>
          <t>VÄSTERNORRLANDS LÄN</t>
        </is>
      </c>
      <c r="E2624" t="inlineStr">
        <is>
          <t>ÖRNSKÖLDSVIK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14640-2026</t>
        </is>
      </c>
      <c r="B2625" s="1" t="n">
        <v>46101.40840277778</v>
      </c>
      <c r="C2625" s="1" t="n">
        <v>46137</v>
      </c>
      <c r="D2625" t="inlineStr">
        <is>
          <t>VÄSTERNORRLANDS LÄN</t>
        </is>
      </c>
      <c r="E2625" t="inlineStr">
        <is>
          <t>ÖRNSKÖLDSVIK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14631-2026</t>
        </is>
      </c>
      <c r="B2626" s="1" t="n">
        <v>46101.40017361111</v>
      </c>
      <c r="C2626" s="1" t="n">
        <v>46137</v>
      </c>
      <c r="D2626" t="inlineStr">
        <is>
          <t>VÄSTERNORRLANDS LÄN</t>
        </is>
      </c>
      <c r="E2626" t="inlineStr">
        <is>
          <t>ÖRNSKÖLDSVIK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14677-2026</t>
        </is>
      </c>
      <c r="B2627" s="1" t="n">
        <v>46101.47174768519</v>
      </c>
      <c r="C2627" s="1" t="n">
        <v>46137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59835-2024</t>
        </is>
      </c>
      <c r="B2628" s="1" t="n">
        <v>45638</v>
      </c>
      <c r="C2628" s="1" t="n">
        <v>46137</v>
      </c>
      <c r="D2628" t="inlineStr">
        <is>
          <t>VÄSTERNORRLANDS LÄN</t>
        </is>
      </c>
      <c r="E2628" t="inlineStr">
        <is>
          <t>ÖRNSKÖLDSVIK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63785-2025</t>
        </is>
      </c>
      <c r="B2629" s="1" t="n">
        <v>46019</v>
      </c>
      <c r="C2629" s="1" t="n">
        <v>46137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7687-2026</t>
        </is>
      </c>
      <c r="B2630" s="1" t="n">
        <v>46059</v>
      </c>
      <c r="C2630" s="1" t="n">
        <v>46137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13907-2025</t>
        </is>
      </c>
      <c r="B2631" s="1" t="n">
        <v>45737.64099537037</v>
      </c>
      <c r="C2631" s="1" t="n">
        <v>46137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10821-2025</t>
        </is>
      </c>
      <c r="B2632" s="1" t="n">
        <v>45722.5502662037</v>
      </c>
      <c r="C2632" s="1" t="n">
        <v>46137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16411-2025</t>
        </is>
      </c>
      <c r="B2633" s="1" t="n">
        <v>45751.45793981481</v>
      </c>
      <c r="C2633" s="1" t="n">
        <v>46137</v>
      </c>
      <c r="D2633" t="inlineStr">
        <is>
          <t>VÄSTERNORRLANDS LÄN</t>
        </is>
      </c>
      <c r="E2633" t="inlineStr">
        <is>
          <t>ÖRNSKÖLDSVIK</t>
        </is>
      </c>
      <c r="G2633" t="n">
        <v>8.5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15215-2026</t>
        </is>
      </c>
      <c r="B2634" s="1" t="n">
        <v>46105.51206018519</v>
      </c>
      <c r="C2634" s="1" t="n">
        <v>46137</v>
      </c>
      <c r="D2634" t="inlineStr">
        <is>
          <t>VÄSTERNORRLANDS LÄN</t>
        </is>
      </c>
      <c r="E2634" t="inlineStr">
        <is>
          <t>ÖRNSKÖLDSVIK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18465-2025</t>
        </is>
      </c>
      <c r="B2635" s="1" t="n">
        <v>45762</v>
      </c>
      <c r="C2635" s="1" t="n">
        <v>46137</v>
      </c>
      <c r="D2635" t="inlineStr">
        <is>
          <t>VÄSTERNORRLANDS LÄN</t>
        </is>
      </c>
      <c r="E2635" t="inlineStr">
        <is>
          <t>ÖRNSKÖLDSVIK</t>
        </is>
      </c>
      <c r="G2635" t="n">
        <v>6.2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57505-2022</t>
        </is>
      </c>
      <c r="B2636" s="1" t="n">
        <v>44896.64175925926</v>
      </c>
      <c r="C2636" s="1" t="n">
        <v>46137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21704-2022</t>
        </is>
      </c>
      <c r="B2637" s="1" t="n">
        <v>44707</v>
      </c>
      <c r="C2637" s="1" t="n">
        <v>46137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21707-2022</t>
        </is>
      </c>
      <c r="B2638" s="1" t="n">
        <v>44707</v>
      </c>
      <c r="C2638" s="1" t="n">
        <v>46137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38118-2022</t>
        </is>
      </c>
      <c r="B2639" s="1" t="n">
        <v>44811</v>
      </c>
      <c r="C2639" s="1" t="n">
        <v>46137</v>
      </c>
      <c r="D2639" t="inlineStr">
        <is>
          <t>VÄSTERNORRLANDS LÄN</t>
        </is>
      </c>
      <c r="E2639" t="inlineStr">
        <is>
          <t>ÖRNSKÖLDSVIK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47016-2024</t>
        </is>
      </c>
      <c r="B2640" s="1" t="n">
        <v>45586.39429398148</v>
      </c>
      <c r="C2640" s="1" t="n">
        <v>46137</v>
      </c>
      <c r="D2640" t="inlineStr">
        <is>
          <t>VÄSTERNORRLANDS LÄN</t>
        </is>
      </c>
      <c r="E2640" t="inlineStr">
        <is>
          <t>ÖRNSKÖLDSVIK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20807-2023</t>
        </is>
      </c>
      <c r="B2641" s="1" t="n">
        <v>45058</v>
      </c>
      <c r="C2641" s="1" t="n">
        <v>46137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15299-2026</t>
        </is>
      </c>
      <c r="B2642" s="1" t="n">
        <v>46105.63422453704</v>
      </c>
      <c r="C2642" s="1" t="n">
        <v>46137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17778-2022</t>
        </is>
      </c>
      <c r="B2643" s="1" t="n">
        <v>44682</v>
      </c>
      <c r="C2643" s="1" t="n">
        <v>46137</v>
      </c>
      <c r="D2643" t="inlineStr">
        <is>
          <t>VÄSTERNORRLANDS LÄN</t>
        </is>
      </c>
      <c r="E2643" t="inlineStr">
        <is>
          <t>ÖRNSKÖLDSVIK</t>
        </is>
      </c>
      <c r="G2643" t="n">
        <v>15.6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7756-2026</t>
        </is>
      </c>
      <c r="B2644" s="1" t="n">
        <v>46062.55083333333</v>
      </c>
      <c r="C2644" s="1" t="n">
        <v>46137</v>
      </c>
      <c r="D2644" t="inlineStr">
        <is>
          <t>VÄSTERNORRLANDS LÄN</t>
        </is>
      </c>
      <c r="E2644" t="inlineStr">
        <is>
          <t>ÖRNSKÖLDSVIK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50634-2024</t>
        </is>
      </c>
      <c r="B2645" s="1" t="n">
        <v>45601.67550925926</v>
      </c>
      <c r="C2645" s="1" t="n">
        <v>46137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54200-2024</t>
        </is>
      </c>
      <c r="B2646" s="1" t="n">
        <v>45616</v>
      </c>
      <c r="C2646" s="1" t="n">
        <v>46137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27633-2021</t>
        </is>
      </c>
      <c r="B2647" s="1" t="n">
        <v>44351</v>
      </c>
      <c r="C2647" s="1" t="n">
        <v>46137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7751-2026</t>
        </is>
      </c>
      <c r="B2648" s="1" t="n">
        <v>46062.54716435185</v>
      </c>
      <c r="C2648" s="1" t="n">
        <v>46137</v>
      </c>
      <c r="D2648" t="inlineStr">
        <is>
          <t>VÄSTERNORRLANDS LÄN</t>
        </is>
      </c>
      <c r="E2648" t="inlineStr">
        <is>
          <t>ÖRNSKÖLDSVIK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14624-2026</t>
        </is>
      </c>
      <c r="B2649" s="1" t="n">
        <v>46101</v>
      </c>
      <c r="C2649" s="1" t="n">
        <v>46137</v>
      </c>
      <c r="D2649" t="inlineStr">
        <is>
          <t>VÄSTERNORRLANDS LÄN</t>
        </is>
      </c>
      <c r="E2649" t="inlineStr">
        <is>
          <t>ÖRNSKÖLDSVIK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61424-2024</t>
        </is>
      </c>
      <c r="B2650" s="1" t="n">
        <v>45646.45277777778</v>
      </c>
      <c r="C2650" s="1" t="n">
        <v>46137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35269-2022</t>
        </is>
      </c>
      <c r="B2651" s="1" t="n">
        <v>44798</v>
      </c>
      <c r="C2651" s="1" t="n">
        <v>46137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Kyrkan</t>
        </is>
      </c>
      <c r="G2651" t="n">
        <v>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56809-2024</t>
        </is>
      </c>
      <c r="B2652" s="1" t="n">
        <v>45628.47583333333</v>
      </c>
      <c r="C2652" s="1" t="n">
        <v>46137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39635-2024</t>
        </is>
      </c>
      <c r="B2653" s="1" t="n">
        <v>45552.44827546296</v>
      </c>
      <c r="C2653" s="1" t="n">
        <v>46137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46989-2024</t>
        </is>
      </c>
      <c r="B2654" s="1" t="n">
        <v>45586.36134259259</v>
      </c>
      <c r="C2654" s="1" t="n">
        <v>46137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8022-2026</t>
        </is>
      </c>
      <c r="B2655" s="1" t="n">
        <v>46063.55681712963</v>
      </c>
      <c r="C2655" s="1" t="n">
        <v>46137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42698-2023</t>
        </is>
      </c>
      <c r="B2656" s="1" t="n">
        <v>45176</v>
      </c>
      <c r="C2656" s="1" t="n">
        <v>46137</v>
      </c>
      <c r="D2656" t="inlineStr">
        <is>
          <t>VÄSTERNORRLANDS LÄN</t>
        </is>
      </c>
      <c r="E2656" t="inlineStr">
        <is>
          <t>ÖRNSKÖLDSVIK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8479-2026</t>
        </is>
      </c>
      <c r="B2657" s="1" t="n">
        <v>46065.45831018518</v>
      </c>
      <c r="C2657" s="1" t="n">
        <v>46137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15932-2026</t>
        </is>
      </c>
      <c r="B2658" s="1" t="n">
        <v>46107.66627314815</v>
      </c>
      <c r="C2658" s="1" t="n">
        <v>46137</v>
      </c>
      <c r="D2658" t="inlineStr">
        <is>
          <t>VÄSTERNORRLANDS LÄN</t>
        </is>
      </c>
      <c r="E2658" t="inlineStr">
        <is>
          <t>ÖRNSKÖLDSVIK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39379-2024</t>
        </is>
      </c>
      <c r="B2659" s="1" t="n">
        <v>45551.48863425926</v>
      </c>
      <c r="C2659" s="1" t="n">
        <v>46137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66664-2021</t>
        </is>
      </c>
      <c r="B2660" s="1" t="n">
        <v>44519.60472222222</v>
      </c>
      <c r="C2660" s="1" t="n">
        <v>46137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Kommuner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20488-2023</t>
        </is>
      </c>
      <c r="B2661" s="1" t="n">
        <v>45057</v>
      </c>
      <c r="C2661" s="1" t="n">
        <v>46137</v>
      </c>
      <c r="D2661" t="inlineStr">
        <is>
          <t>VÄSTERNORRLANDS LÄN</t>
        </is>
      </c>
      <c r="E2661" t="inlineStr">
        <is>
          <t>ÖRNSKÖLDSVIK</t>
        </is>
      </c>
      <c r="G2661" t="n">
        <v>8.800000000000001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36432-2023</t>
        </is>
      </c>
      <c r="B2662" s="1" t="n">
        <v>45152</v>
      </c>
      <c r="C2662" s="1" t="n">
        <v>46137</v>
      </c>
      <c r="D2662" t="inlineStr">
        <is>
          <t>VÄSTERNORRLANDS LÄN</t>
        </is>
      </c>
      <c r="E2662" t="inlineStr">
        <is>
          <t>ÖRNSKÖLDSVIK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53976-2024</t>
        </is>
      </c>
      <c r="B2663" s="1" t="n">
        <v>45616.32620370371</v>
      </c>
      <c r="C2663" s="1" t="n">
        <v>46137</v>
      </c>
      <c r="D2663" t="inlineStr">
        <is>
          <t>VÄSTERNORRLANDS LÄN</t>
        </is>
      </c>
      <c r="E2663" t="inlineStr">
        <is>
          <t>ÖRNSKÖLDSVIK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53997-2024</t>
        </is>
      </c>
      <c r="B2664" s="1" t="n">
        <v>45616.3599537037</v>
      </c>
      <c r="C2664" s="1" t="n">
        <v>46137</v>
      </c>
      <c r="D2664" t="inlineStr">
        <is>
          <t>VÄSTERNORRLANDS LÄN</t>
        </is>
      </c>
      <c r="E2664" t="inlineStr">
        <is>
          <t>ÖRNSKÖLDSVIK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5392-2022</t>
        </is>
      </c>
      <c r="B2665" s="1" t="n">
        <v>44594</v>
      </c>
      <c r="C2665" s="1" t="n">
        <v>46137</v>
      </c>
      <c r="D2665" t="inlineStr">
        <is>
          <t>VÄSTERNORRLANDS LÄN</t>
        </is>
      </c>
      <c r="E2665" t="inlineStr">
        <is>
          <t>ÖRNSKÖLDSVIK</t>
        </is>
      </c>
      <c r="G2665" t="n">
        <v>22.3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19931-2025</t>
        </is>
      </c>
      <c r="B2666" s="1" t="n">
        <v>45771.63728009259</v>
      </c>
      <c r="C2666" s="1" t="n">
        <v>46137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45250-2024</t>
        </is>
      </c>
      <c r="B2667" s="1" t="n">
        <v>45576.32170138889</v>
      </c>
      <c r="C2667" s="1" t="n">
        <v>46137</v>
      </c>
      <c r="D2667" t="inlineStr">
        <is>
          <t>VÄSTERNORRLANDS LÄN</t>
        </is>
      </c>
      <c r="E2667" t="inlineStr">
        <is>
          <t>ÖRNSKÖLDSVIK</t>
        </is>
      </c>
      <c r="G2667" t="n">
        <v>18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45269-2024</t>
        </is>
      </c>
      <c r="B2668" s="1" t="n">
        <v>45576.35744212963</v>
      </c>
      <c r="C2668" s="1" t="n">
        <v>46137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45272-2024</t>
        </is>
      </c>
      <c r="B2669" s="1" t="n">
        <v>45576.36237268519</v>
      </c>
      <c r="C2669" s="1" t="n">
        <v>46137</v>
      </c>
      <c r="D2669" t="inlineStr">
        <is>
          <t>VÄSTERNORRLANDS LÄN</t>
        </is>
      </c>
      <c r="E2669" t="inlineStr">
        <is>
          <t>ÖRNSKÖLDSVIK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45274-2024</t>
        </is>
      </c>
      <c r="B2670" s="1" t="n">
        <v>45576.36590277778</v>
      </c>
      <c r="C2670" s="1" t="n">
        <v>46137</v>
      </c>
      <c r="D2670" t="inlineStr">
        <is>
          <t>VÄSTERNORRLANDS LÄN</t>
        </is>
      </c>
      <c r="E2670" t="inlineStr">
        <is>
          <t>ÖRNSKÖLDSVIK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15937-2026</t>
        </is>
      </c>
      <c r="B2671" s="1" t="n">
        <v>46107.67559027778</v>
      </c>
      <c r="C2671" s="1" t="n">
        <v>46137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15934-2026</t>
        </is>
      </c>
      <c r="B2672" s="1" t="n">
        <v>46107.66949074074</v>
      </c>
      <c r="C2672" s="1" t="n">
        <v>46137</v>
      </c>
      <c r="D2672" t="inlineStr">
        <is>
          <t>VÄSTERNORRLANDS LÄN</t>
        </is>
      </c>
      <c r="E2672" t="inlineStr">
        <is>
          <t>ÖRNSKÖLDSVIK</t>
        </is>
      </c>
      <c r="G2672" t="n">
        <v>8.199999999999999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15936-2026</t>
        </is>
      </c>
      <c r="B2673" s="1" t="n">
        <v>46107.6740625</v>
      </c>
      <c r="C2673" s="1" t="n">
        <v>46137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61872-2021</t>
        </is>
      </c>
      <c r="B2674" s="1" t="n">
        <v>44502.06923611111</v>
      </c>
      <c r="C2674" s="1" t="n">
        <v>46137</v>
      </c>
      <c r="D2674" t="inlineStr">
        <is>
          <t>VÄSTERNORRLANDS LÄN</t>
        </is>
      </c>
      <c r="E2674" t="inlineStr">
        <is>
          <t>ÖRNSKÖLDSVIK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43138-2024</t>
        </is>
      </c>
      <c r="B2675" s="1" t="n">
        <v>45567</v>
      </c>
      <c r="C2675" s="1" t="n">
        <v>46137</v>
      </c>
      <c r="D2675" t="inlineStr">
        <is>
          <t>VÄSTERNORRLANDS LÄN</t>
        </is>
      </c>
      <c r="E2675" t="inlineStr">
        <is>
          <t>ÖRNSKÖLDSVIK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61362-2023</t>
        </is>
      </c>
      <c r="B2676" s="1" t="n">
        <v>45264</v>
      </c>
      <c r="C2676" s="1" t="n">
        <v>46137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Övriga Aktiebolag</t>
        </is>
      </c>
      <c r="G2676" t="n">
        <v>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16926-2025</t>
        </is>
      </c>
      <c r="B2677" s="1" t="n">
        <v>45755.39195601852</v>
      </c>
      <c r="C2677" s="1" t="n">
        <v>46137</v>
      </c>
      <c r="D2677" t="inlineStr">
        <is>
          <t>VÄSTERNORRLANDS LÄN</t>
        </is>
      </c>
      <c r="E2677" t="inlineStr">
        <is>
          <t>ÖRNSKÖLDSVIK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32756-2022</t>
        </is>
      </c>
      <c r="B2678" s="1" t="n">
        <v>44783</v>
      </c>
      <c r="C2678" s="1" t="n">
        <v>46137</v>
      </c>
      <c r="D2678" t="inlineStr">
        <is>
          <t>VÄSTERNORRLANDS LÄN</t>
        </is>
      </c>
      <c r="E2678" t="inlineStr">
        <is>
          <t>ÖRNSKÖLDSVIK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31202-2021</t>
        </is>
      </c>
      <c r="B2679" s="1" t="n">
        <v>44368.6316087963</v>
      </c>
      <c r="C2679" s="1" t="n">
        <v>46137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52326-2024</t>
        </is>
      </c>
      <c r="B2680" s="1" t="n">
        <v>45609.29506944444</v>
      </c>
      <c r="C2680" s="1" t="n">
        <v>46137</v>
      </c>
      <c r="D2680" t="inlineStr">
        <is>
          <t>VÄSTERNORRLANDS LÄN</t>
        </is>
      </c>
      <c r="E2680" t="inlineStr">
        <is>
          <t>ÖRNSKÖLDSVIK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37150-2023</t>
        </is>
      </c>
      <c r="B2681" s="1" t="n">
        <v>45155.59532407407</v>
      </c>
      <c r="C2681" s="1" t="n">
        <v>46137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44631-2024</t>
        </is>
      </c>
      <c r="B2682" s="1" t="n">
        <v>45574.51434027778</v>
      </c>
      <c r="C2682" s="1" t="n">
        <v>46137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8131-2026</t>
        </is>
      </c>
      <c r="B2683" s="1" t="n">
        <v>46064.29755787037</v>
      </c>
      <c r="C2683" s="1" t="n">
        <v>46137</v>
      </c>
      <c r="D2683" t="inlineStr">
        <is>
          <t>VÄSTERNORRLANDS LÄN</t>
        </is>
      </c>
      <c r="E2683" t="inlineStr">
        <is>
          <t>ÖRNSKÖLDSVIK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48202-2023</t>
        </is>
      </c>
      <c r="B2684" s="1" t="n">
        <v>45205</v>
      </c>
      <c r="C2684" s="1" t="n">
        <v>46137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15929-2026</t>
        </is>
      </c>
      <c r="B2685" s="1" t="n">
        <v>46107.66445601852</v>
      </c>
      <c r="C2685" s="1" t="n">
        <v>46137</v>
      </c>
      <c r="D2685" t="inlineStr">
        <is>
          <t>VÄSTERNORRLANDS LÄN</t>
        </is>
      </c>
      <c r="E2685" t="inlineStr">
        <is>
          <t>ÖRNSKÖLDSVIK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7739-2025</t>
        </is>
      </c>
      <c r="B2686" s="1" t="n">
        <v>45706.47555555555</v>
      </c>
      <c r="C2686" s="1" t="n">
        <v>46137</v>
      </c>
      <c r="D2686" t="inlineStr">
        <is>
          <t>VÄSTERNORRLANDS LÄN</t>
        </is>
      </c>
      <c r="E2686" t="inlineStr">
        <is>
          <t>ÖRNSKÖLDSVIK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15498-2026</t>
        </is>
      </c>
      <c r="B2687" s="1" t="n">
        <v>46106.45895833334</v>
      </c>
      <c r="C2687" s="1" t="n">
        <v>46137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30226-2024</t>
        </is>
      </c>
      <c r="B2688" s="1" t="n">
        <v>45489</v>
      </c>
      <c r="C2688" s="1" t="n">
        <v>46137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55021-2023</t>
        </is>
      </c>
      <c r="B2689" s="1" t="n">
        <v>45237</v>
      </c>
      <c r="C2689" s="1" t="n">
        <v>46137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36255-2024</t>
        </is>
      </c>
      <c r="B2690" s="1" t="n">
        <v>45534.54318287037</v>
      </c>
      <c r="C2690" s="1" t="n">
        <v>46137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20541-2025</t>
        </is>
      </c>
      <c r="B2691" s="1" t="n">
        <v>45775.62486111111</v>
      </c>
      <c r="C2691" s="1" t="n">
        <v>46137</v>
      </c>
      <c r="D2691" t="inlineStr">
        <is>
          <t>VÄSTERNORRLANDS LÄN</t>
        </is>
      </c>
      <c r="E2691" t="inlineStr">
        <is>
          <t>ÖRNSKÖLDSVIK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48441-2023</t>
        </is>
      </c>
      <c r="B2692" s="1" t="n">
        <v>45205</v>
      </c>
      <c r="C2692" s="1" t="n">
        <v>46137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7.7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16022-2026</t>
        </is>
      </c>
      <c r="B2693" s="1" t="n">
        <v>46108.44871527778</v>
      </c>
      <c r="C2693" s="1" t="n">
        <v>46137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6.6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53259-2023</t>
        </is>
      </c>
      <c r="B2694" s="1" t="n">
        <v>45229.5362037037</v>
      </c>
      <c r="C2694" s="1" t="n">
        <v>46137</v>
      </c>
      <c r="D2694" t="inlineStr">
        <is>
          <t>VÄSTERNORRLANDS LÄN</t>
        </is>
      </c>
      <c r="E2694" t="inlineStr">
        <is>
          <t>ÖRNSKÖLDSVIK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21054-2024</t>
        </is>
      </c>
      <c r="B2695" s="1" t="n">
        <v>45439</v>
      </c>
      <c r="C2695" s="1" t="n">
        <v>46137</v>
      </c>
      <c r="D2695" t="inlineStr">
        <is>
          <t>VÄSTERNORRLANDS LÄN</t>
        </is>
      </c>
      <c r="E2695" t="inlineStr">
        <is>
          <t>ÖRNSKÖLDSVIK</t>
        </is>
      </c>
      <c r="G2695" t="n">
        <v>8.6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10100-2023</t>
        </is>
      </c>
      <c r="B2696" s="1" t="n">
        <v>44985.94587962963</v>
      </c>
      <c r="C2696" s="1" t="n">
        <v>46137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8922-2026</t>
        </is>
      </c>
      <c r="B2697" s="1" t="n">
        <v>46069.34008101852</v>
      </c>
      <c r="C2697" s="1" t="n">
        <v>46137</v>
      </c>
      <c r="D2697" t="inlineStr">
        <is>
          <t>VÄSTERNORRLANDS LÄN</t>
        </is>
      </c>
      <c r="E2697" t="inlineStr">
        <is>
          <t>ÖRNSKÖLDSVIK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16226-2026</t>
        </is>
      </c>
      <c r="B2698" s="1" t="n">
        <v>46111.44841435185</v>
      </c>
      <c r="C2698" s="1" t="n">
        <v>46137</v>
      </c>
      <c r="D2698" t="inlineStr">
        <is>
          <t>VÄSTERNORRLANDS LÄN</t>
        </is>
      </c>
      <c r="E2698" t="inlineStr">
        <is>
          <t>ÖRNSKÖLDSVIK</t>
        </is>
      </c>
      <c r="G2698" t="n">
        <v>8.300000000000001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57294-2023</t>
        </is>
      </c>
      <c r="B2699" s="1" t="n">
        <v>45245.60854166667</v>
      </c>
      <c r="C2699" s="1" t="n">
        <v>46137</v>
      </c>
      <c r="D2699" t="inlineStr">
        <is>
          <t>VÄSTERNORRLANDS LÄN</t>
        </is>
      </c>
      <c r="E2699" t="inlineStr">
        <is>
          <t>ÖRNSKÖLDSVIK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16240-2026</t>
        </is>
      </c>
      <c r="B2700" s="1" t="n">
        <v>46111.45762731481</v>
      </c>
      <c r="C2700" s="1" t="n">
        <v>46137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8753-2026</t>
        </is>
      </c>
      <c r="B2701" s="1" t="n">
        <v>46066.54761574074</v>
      </c>
      <c r="C2701" s="1" t="n">
        <v>46137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16389-2026</t>
        </is>
      </c>
      <c r="B2702" s="1" t="n">
        <v>46111.63353009259</v>
      </c>
      <c r="C2702" s="1" t="n">
        <v>46137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16252-2026</t>
        </is>
      </c>
      <c r="B2703" s="1" t="n">
        <v>46111.46950231482</v>
      </c>
      <c r="C2703" s="1" t="n">
        <v>46137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50044-2023</t>
        </is>
      </c>
      <c r="B2704" s="1" t="n">
        <v>45215.49438657407</v>
      </c>
      <c r="C2704" s="1" t="n">
        <v>46137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44083-2022</t>
        </is>
      </c>
      <c r="B2705" s="1" t="n">
        <v>44839.35788194444</v>
      </c>
      <c r="C2705" s="1" t="n">
        <v>46137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66504-2021</t>
        </is>
      </c>
      <c r="B2706" s="1" t="n">
        <v>44517</v>
      </c>
      <c r="C2706" s="1" t="n">
        <v>46137</v>
      </c>
      <c r="D2706" t="inlineStr">
        <is>
          <t>VÄSTERNORRLANDS LÄN</t>
        </is>
      </c>
      <c r="E2706" t="inlineStr">
        <is>
          <t>ÖRNSKÖLDSVIK</t>
        </is>
      </c>
      <c r="G2706" t="n">
        <v>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36726-2023</t>
        </is>
      </c>
      <c r="B2707" s="1" t="n">
        <v>45153.68478009259</v>
      </c>
      <c r="C2707" s="1" t="n">
        <v>46137</v>
      </c>
      <c r="D2707" t="inlineStr">
        <is>
          <t>VÄSTERNORRLANDS LÄN</t>
        </is>
      </c>
      <c r="E2707" t="inlineStr">
        <is>
          <t>ÖRNSKÖLDSVIK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49056-2022</t>
        </is>
      </c>
      <c r="B2708" s="1" t="n">
        <v>44860</v>
      </c>
      <c r="C2708" s="1" t="n">
        <v>46137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34013-2023</t>
        </is>
      </c>
      <c r="B2709" s="1" t="n">
        <v>45124</v>
      </c>
      <c r="C2709" s="1" t="n">
        <v>46137</v>
      </c>
      <c r="D2709" t="inlineStr">
        <is>
          <t>VÄSTERNORRLANDS LÄN</t>
        </is>
      </c>
      <c r="E2709" t="inlineStr">
        <is>
          <t>ÖRNSKÖLDSVIK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16394-2026</t>
        </is>
      </c>
      <c r="B2710" s="1" t="n">
        <v>46111.63518518519</v>
      </c>
      <c r="C2710" s="1" t="n">
        <v>46137</v>
      </c>
      <c r="D2710" t="inlineStr">
        <is>
          <t>VÄSTERNORRLANDS LÄN</t>
        </is>
      </c>
      <c r="E2710" t="inlineStr">
        <is>
          <t>ÖRNSKÖLDSVIK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15414-2023</t>
        </is>
      </c>
      <c r="B2711" s="1" t="n">
        <v>45019.70211805555</v>
      </c>
      <c r="C2711" s="1" t="n">
        <v>46137</v>
      </c>
      <c r="D2711" t="inlineStr">
        <is>
          <t>VÄSTERNORRLANDS LÄN</t>
        </is>
      </c>
      <c r="E2711" t="inlineStr">
        <is>
          <t>ÖRNSKÖLDSVIK</t>
        </is>
      </c>
      <c r="G2711" t="n">
        <v>6.6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16225-2026</t>
        </is>
      </c>
      <c r="B2712" s="1" t="n">
        <v>46111.44833333333</v>
      </c>
      <c r="C2712" s="1" t="n">
        <v>46137</v>
      </c>
      <c r="D2712" t="inlineStr">
        <is>
          <t>VÄSTERNORRLANDS LÄN</t>
        </is>
      </c>
      <c r="E2712" t="inlineStr">
        <is>
          <t>ÖRNSKÖLDSVIK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52088-2024</t>
        </is>
      </c>
      <c r="B2713" s="1" t="n">
        <v>45608.39836805555</v>
      </c>
      <c r="C2713" s="1" t="n">
        <v>46137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9477-2026</t>
        </is>
      </c>
      <c r="B2714" s="1" t="n">
        <v>46071.52377314815</v>
      </c>
      <c r="C2714" s="1" t="n">
        <v>46137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1968-2023</t>
        </is>
      </c>
      <c r="B2715" s="1" t="n">
        <v>44938</v>
      </c>
      <c r="C2715" s="1" t="n">
        <v>46137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24867-2023</t>
        </is>
      </c>
      <c r="B2716" s="1" t="n">
        <v>45085</v>
      </c>
      <c r="C2716" s="1" t="n">
        <v>46137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25210-2023</t>
        </is>
      </c>
      <c r="B2717" s="1" t="n">
        <v>45079</v>
      </c>
      <c r="C2717" s="1" t="n">
        <v>46137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15702-2022</t>
        </is>
      </c>
      <c r="B2718" s="1" t="n">
        <v>44663</v>
      </c>
      <c r="C2718" s="1" t="n">
        <v>46137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9475-2026</t>
        </is>
      </c>
      <c r="B2719" s="1" t="n">
        <v>46071.52336805555</v>
      </c>
      <c r="C2719" s="1" t="n">
        <v>46137</v>
      </c>
      <c r="D2719" t="inlineStr">
        <is>
          <t>VÄSTERNORRLANDS LÄN</t>
        </is>
      </c>
      <c r="E2719" t="inlineStr">
        <is>
          <t>ÖRNSKÖLDSVIK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5046-2025</t>
        </is>
      </c>
      <c r="B2720" s="1" t="n">
        <v>45691</v>
      </c>
      <c r="C2720" s="1" t="n">
        <v>46137</v>
      </c>
      <c r="D2720" t="inlineStr">
        <is>
          <t>VÄSTERNORRLANDS LÄN</t>
        </is>
      </c>
      <c r="E2720" t="inlineStr">
        <is>
          <t>ÖRNSKÖLDSVIK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352-2022</t>
        </is>
      </c>
      <c r="B2721" s="1" t="n">
        <v>44564</v>
      </c>
      <c r="C2721" s="1" t="n">
        <v>46137</v>
      </c>
      <c r="D2721" t="inlineStr">
        <is>
          <t>VÄSTERNORRLANDS LÄN</t>
        </is>
      </c>
      <c r="E2721" t="inlineStr">
        <is>
          <t>ÖRNSKÖLDSVIK</t>
        </is>
      </c>
      <c r="G2721" t="n">
        <v>7.2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16663-2026</t>
        </is>
      </c>
      <c r="B2722" s="1" t="n">
        <v>46112.65729166667</v>
      </c>
      <c r="C2722" s="1" t="n">
        <v>46137</v>
      </c>
      <c r="D2722" t="inlineStr">
        <is>
          <t>VÄSTERNORRLANDS LÄN</t>
        </is>
      </c>
      <c r="E2722" t="inlineStr">
        <is>
          <t>ÖRNSKÖLDSVIK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9476-2026</t>
        </is>
      </c>
      <c r="B2723" s="1" t="n">
        <v>46071.52351851852</v>
      </c>
      <c r="C2723" s="1" t="n">
        <v>46137</v>
      </c>
      <c r="D2723" t="inlineStr">
        <is>
          <t>VÄSTERNORRLANDS LÄN</t>
        </is>
      </c>
      <c r="E2723" t="inlineStr">
        <is>
          <t>ÖRNSKÖLDSVIK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25308-2023</t>
        </is>
      </c>
      <c r="B2724" s="1" t="n">
        <v>45086.93850694445</v>
      </c>
      <c r="C2724" s="1" t="n">
        <v>46137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32406-2023</t>
        </is>
      </c>
      <c r="B2725" s="1" t="n">
        <v>45110</v>
      </c>
      <c r="C2725" s="1" t="n">
        <v>46137</v>
      </c>
      <c r="D2725" t="inlineStr">
        <is>
          <t>VÄSTERNORRLANDS LÄN</t>
        </is>
      </c>
      <c r="E2725" t="inlineStr">
        <is>
          <t>ÖRNSKÖLDSVIK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2931-2025</t>
        </is>
      </c>
      <c r="B2726" s="1" t="n">
        <v>45678.359375</v>
      </c>
      <c r="C2726" s="1" t="n">
        <v>46137</v>
      </c>
      <c r="D2726" t="inlineStr">
        <is>
          <t>VÄSTERNORRLANDS LÄN</t>
        </is>
      </c>
      <c r="E2726" t="inlineStr">
        <is>
          <t>ÖRNSKÖLDSVIK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27163-2022</t>
        </is>
      </c>
      <c r="B2727" s="1" t="n">
        <v>44741</v>
      </c>
      <c r="C2727" s="1" t="n">
        <v>46137</v>
      </c>
      <c r="D2727" t="inlineStr">
        <is>
          <t>VÄSTERNORRLANDS LÄN</t>
        </is>
      </c>
      <c r="E2727" t="inlineStr">
        <is>
          <t>ÖRNSKÖLDSVIK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9668-2026</t>
        </is>
      </c>
      <c r="B2728" s="1" t="n">
        <v>46070</v>
      </c>
      <c r="C2728" s="1" t="n">
        <v>46137</v>
      </c>
      <c r="D2728" t="inlineStr">
        <is>
          <t>VÄSTERNORRLANDS LÄN</t>
        </is>
      </c>
      <c r="E2728" t="inlineStr">
        <is>
          <t>ÖRNSKÖLDSVIK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15196-2024</t>
        </is>
      </c>
      <c r="B2729" s="1" t="n">
        <v>45400</v>
      </c>
      <c r="C2729" s="1" t="n">
        <v>46137</v>
      </c>
      <c r="D2729" t="inlineStr">
        <is>
          <t>VÄSTERNORRLANDS LÄN</t>
        </is>
      </c>
      <c r="E2729" t="inlineStr">
        <is>
          <t>ÖRNSKÖLDSVIK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9671-2026</t>
        </is>
      </c>
      <c r="B2730" s="1" t="n">
        <v>46070</v>
      </c>
      <c r="C2730" s="1" t="n">
        <v>46137</v>
      </c>
      <c r="D2730" t="inlineStr">
        <is>
          <t>VÄSTERNORRLANDS LÄN</t>
        </is>
      </c>
      <c r="E2730" t="inlineStr">
        <is>
          <t>ÖRNSKÖLDSVIK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56023-2022</t>
        </is>
      </c>
      <c r="B2731" s="1" t="n">
        <v>44887</v>
      </c>
      <c r="C2731" s="1" t="n">
        <v>46137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67448-2021</t>
        </is>
      </c>
      <c r="B2732" s="1" t="n">
        <v>44524</v>
      </c>
      <c r="C2732" s="1" t="n">
        <v>46137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68315-2021</t>
        </is>
      </c>
      <c r="B2733" s="1" t="n">
        <v>44526</v>
      </c>
      <c r="C2733" s="1" t="n">
        <v>46137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40508-2024</t>
        </is>
      </c>
      <c r="B2734" s="1" t="n">
        <v>45555.58267361111</v>
      </c>
      <c r="C2734" s="1" t="n">
        <v>46137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9661-2026</t>
        </is>
      </c>
      <c r="B2735" s="1" t="n">
        <v>46070</v>
      </c>
      <c r="C2735" s="1" t="n">
        <v>46137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10021-2026</t>
        </is>
      </c>
      <c r="B2736" s="1" t="n">
        <v>46073</v>
      </c>
      <c r="C2736" s="1" t="n">
        <v>46137</v>
      </c>
      <c r="D2736" t="inlineStr">
        <is>
          <t>VÄSTERNORRLANDS LÄN</t>
        </is>
      </c>
      <c r="E2736" t="inlineStr">
        <is>
          <t>ÖRNSKÖLDSVIK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52996-2024</t>
        </is>
      </c>
      <c r="B2737" s="1" t="n">
        <v>45611.38575231482</v>
      </c>
      <c r="C2737" s="1" t="n">
        <v>46137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9967-2026</t>
        </is>
      </c>
      <c r="B2738" s="1" t="n">
        <v>46073.51739583333</v>
      </c>
      <c r="C2738" s="1" t="n">
        <v>46137</v>
      </c>
      <c r="D2738" t="inlineStr">
        <is>
          <t>VÄSTERNORRLANDS LÄN</t>
        </is>
      </c>
      <c r="E2738" t="inlineStr">
        <is>
          <t>ÖRNSKÖLDSVIK</t>
        </is>
      </c>
      <c r="G2738" t="n">
        <v>14.4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42321-2024</t>
        </is>
      </c>
      <c r="B2739" s="1" t="n">
        <v>45562.64748842592</v>
      </c>
      <c r="C2739" s="1" t="n">
        <v>46137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27938-2024</t>
        </is>
      </c>
      <c r="B2740" s="1" t="n">
        <v>45476</v>
      </c>
      <c r="C2740" s="1" t="n">
        <v>46137</v>
      </c>
      <c r="D2740" t="inlineStr">
        <is>
          <t>VÄSTERNORRLANDS LÄN</t>
        </is>
      </c>
      <c r="E2740" t="inlineStr">
        <is>
          <t>ÖRNSKÖLDSVIK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16920-2026</t>
        </is>
      </c>
      <c r="B2741" s="1" t="n">
        <v>46113.6749537037</v>
      </c>
      <c r="C2741" s="1" t="n">
        <v>46137</v>
      </c>
      <c r="D2741" t="inlineStr">
        <is>
          <t>VÄSTERNORRLANDS LÄN</t>
        </is>
      </c>
      <c r="E2741" t="inlineStr">
        <is>
          <t>ÖRNSKÖLDSVIK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54599-2024</t>
        </is>
      </c>
      <c r="B2742" s="1" t="n">
        <v>45617.67974537037</v>
      </c>
      <c r="C2742" s="1" t="n">
        <v>46137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54625-2024</t>
        </is>
      </c>
      <c r="B2743" s="1" t="n">
        <v>45617.80711805556</v>
      </c>
      <c r="C2743" s="1" t="n">
        <v>46137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9754-2026</t>
        </is>
      </c>
      <c r="B2744" s="1" t="n">
        <v>46072.54571759259</v>
      </c>
      <c r="C2744" s="1" t="n">
        <v>46137</v>
      </c>
      <c r="D2744" t="inlineStr">
        <is>
          <t>VÄSTERNORRLANDS LÄN</t>
        </is>
      </c>
      <c r="E2744" t="inlineStr">
        <is>
          <t>ÖRNSKÖLDSVIK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62357-2022</t>
        </is>
      </c>
      <c r="B2745" s="1" t="n">
        <v>44923.62614583333</v>
      </c>
      <c r="C2745" s="1" t="n">
        <v>46137</v>
      </c>
      <c r="D2745" t="inlineStr">
        <is>
          <t>VÄSTERNORRLANDS LÄN</t>
        </is>
      </c>
      <c r="E2745" t="inlineStr">
        <is>
          <t>ÖRNSKÖLDSVIK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12475-2022</t>
        </is>
      </c>
      <c r="B2746" s="1" t="n">
        <v>44638</v>
      </c>
      <c r="C2746" s="1" t="n">
        <v>46137</v>
      </c>
      <c r="D2746" t="inlineStr">
        <is>
          <t>VÄSTERNORRLANDS LÄN</t>
        </is>
      </c>
      <c r="E2746" t="inlineStr">
        <is>
          <t>ÖRNSKÖLDSVIK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46210-2024</t>
        </is>
      </c>
      <c r="B2747" s="1" t="n">
        <v>45581.55181712963</v>
      </c>
      <c r="C2747" s="1" t="n">
        <v>46137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46215-2024</t>
        </is>
      </c>
      <c r="B2748" s="1" t="n">
        <v>45581.55956018518</v>
      </c>
      <c r="C2748" s="1" t="n">
        <v>46137</v>
      </c>
      <c r="D2748" t="inlineStr">
        <is>
          <t>VÄSTERNORRLANDS LÄN</t>
        </is>
      </c>
      <c r="E2748" t="inlineStr">
        <is>
          <t>ÖRNSKÖLDSVIK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51054-2023</t>
        </is>
      </c>
      <c r="B2749" s="1" t="n">
        <v>45218.64065972222</v>
      </c>
      <c r="C2749" s="1" t="n">
        <v>46137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51070-2023</t>
        </is>
      </c>
      <c r="B2750" s="1" t="n">
        <v>45218</v>
      </c>
      <c r="C2750" s="1" t="n">
        <v>46137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17075-2026</t>
        </is>
      </c>
      <c r="B2751" s="1" t="n">
        <v>46114.55258101852</v>
      </c>
      <c r="C2751" s="1" t="n">
        <v>46137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16105-2026</t>
        </is>
      </c>
      <c r="B2752" s="1" t="n">
        <v>46108</v>
      </c>
      <c r="C2752" s="1" t="n">
        <v>46137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4808-2025</t>
        </is>
      </c>
      <c r="B2753" s="1" t="n">
        <v>45688</v>
      </c>
      <c r="C2753" s="1" t="n">
        <v>46137</v>
      </c>
      <c r="D2753" t="inlineStr">
        <is>
          <t>VÄSTERNORRLANDS LÄN</t>
        </is>
      </c>
      <c r="E2753" t="inlineStr">
        <is>
          <t>ÖRNSKÖLDSVIK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9831-2026</t>
        </is>
      </c>
      <c r="B2754" s="1" t="n">
        <v>46072.65712962963</v>
      </c>
      <c r="C2754" s="1" t="n">
        <v>46137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22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47511-2023</t>
        </is>
      </c>
      <c r="B2755" s="1" t="n">
        <v>45197</v>
      </c>
      <c r="C2755" s="1" t="n">
        <v>46137</v>
      </c>
      <c r="D2755" t="inlineStr">
        <is>
          <t>VÄSTERNORRLANDS LÄN</t>
        </is>
      </c>
      <c r="E2755" t="inlineStr">
        <is>
          <t>ÖRNSKÖLDSVIK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47514-2023</t>
        </is>
      </c>
      <c r="B2756" s="1" t="n">
        <v>45197</v>
      </c>
      <c r="C2756" s="1" t="n">
        <v>46137</v>
      </c>
      <c r="D2756" t="inlineStr">
        <is>
          <t>VÄSTERNORRLANDS LÄN</t>
        </is>
      </c>
      <c r="E2756" t="inlineStr">
        <is>
          <t>ÖRNSKÖLDSVIK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52537-2024</t>
        </is>
      </c>
      <c r="B2757" s="1" t="n">
        <v>45609.6225462963</v>
      </c>
      <c r="C2757" s="1" t="n">
        <v>46137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54325-2022</t>
        </is>
      </c>
      <c r="B2758" s="1" t="n">
        <v>44879</v>
      </c>
      <c r="C2758" s="1" t="n">
        <v>46137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64911-2021</t>
        </is>
      </c>
      <c r="B2759" s="1" t="n">
        <v>44512</v>
      </c>
      <c r="C2759" s="1" t="n">
        <v>46137</v>
      </c>
      <c r="D2759" t="inlineStr">
        <is>
          <t>VÄSTERNORRLANDS LÄN</t>
        </is>
      </c>
      <c r="E2759" t="inlineStr">
        <is>
          <t>ÖRNSKÖLDSVIK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57924-2023</t>
        </is>
      </c>
      <c r="B2760" s="1" t="n">
        <v>45247</v>
      </c>
      <c r="C2760" s="1" t="n">
        <v>46137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72642-2021</t>
        </is>
      </c>
      <c r="B2761" s="1" t="n">
        <v>44545</v>
      </c>
      <c r="C2761" s="1" t="n">
        <v>46137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48189-2023</t>
        </is>
      </c>
      <c r="B2762" s="1" t="n">
        <v>45205.45768518518</v>
      </c>
      <c r="C2762" s="1" t="n">
        <v>46137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17510-2026</t>
        </is>
      </c>
      <c r="B2763" s="1" t="n">
        <v>46119</v>
      </c>
      <c r="C2763" s="1" t="n">
        <v>46137</v>
      </c>
      <c r="D2763" t="inlineStr">
        <is>
          <t>VÄSTERNORRLANDS LÄN</t>
        </is>
      </c>
      <c r="E2763" t="inlineStr">
        <is>
          <t>ÖRNSKÖLDSVIK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17462-2025</t>
        </is>
      </c>
      <c r="B2764" s="1" t="n">
        <v>45757.45752314815</v>
      </c>
      <c r="C2764" s="1" t="n">
        <v>46137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10460-2026</t>
        </is>
      </c>
      <c r="B2765" s="1" t="n">
        <v>46077.45758101852</v>
      </c>
      <c r="C2765" s="1" t="n">
        <v>46137</v>
      </c>
      <c r="D2765" t="inlineStr">
        <is>
          <t>VÄSTERNORRLANDS LÄN</t>
        </is>
      </c>
      <c r="E2765" t="inlineStr">
        <is>
          <t>ÖRNSKÖLDSVIK</t>
        </is>
      </c>
      <c r="G2765" t="n">
        <v>17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56492-2022</t>
        </is>
      </c>
      <c r="B2766" s="1" t="n">
        <v>44893</v>
      </c>
      <c r="C2766" s="1" t="n">
        <v>46137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8.300000000000001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  <c r="U2766">
        <f>HYPERLINK("https://klasma.github.io/Logging_2284/knärot/A 56492-2022 karta knärot.png", "A 56492-2022")</f>
        <v/>
      </c>
      <c r="V2766">
        <f>HYPERLINK("https://klasma.github.io/Logging_2284/klagomål/A 56492-2022 FSC-klagomål.docx", "A 56492-2022")</f>
        <v/>
      </c>
      <c r="W2766">
        <f>HYPERLINK("https://klasma.github.io/Logging_2284/klagomålsmail/A 56492-2022 FSC-klagomål mail.docx", "A 56492-2022")</f>
        <v/>
      </c>
      <c r="X2766">
        <f>HYPERLINK("https://klasma.github.io/Logging_2284/tillsyn/A 56492-2022 tillsynsbegäran.docx", "A 56492-2022")</f>
        <v/>
      </c>
      <c r="Y2766">
        <f>HYPERLINK("https://klasma.github.io/Logging_2284/tillsynsmail/A 56492-2022 tillsynsbegäran mail.docx", "A 56492-2022")</f>
        <v/>
      </c>
    </row>
    <row r="2767" ht="15" customHeight="1">
      <c r="A2767" t="inlineStr">
        <is>
          <t>A 59393-2024</t>
        </is>
      </c>
      <c r="B2767" s="1" t="n">
        <v>45637</v>
      </c>
      <c r="C2767" s="1" t="n">
        <v>46137</v>
      </c>
      <c r="D2767" t="inlineStr">
        <is>
          <t>VÄSTERNORRLANDS LÄN</t>
        </is>
      </c>
      <c r="E2767" t="inlineStr">
        <is>
          <t>ÖRNSKÖLDSVIK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10423-2026</t>
        </is>
      </c>
      <c r="B2768" s="1" t="n">
        <v>46077.36527777778</v>
      </c>
      <c r="C2768" s="1" t="n">
        <v>46137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58936-2024</t>
        </is>
      </c>
      <c r="B2769" s="1" t="n">
        <v>45636</v>
      </c>
      <c r="C2769" s="1" t="n">
        <v>46137</v>
      </c>
      <c r="D2769" t="inlineStr">
        <is>
          <t>VÄSTERNORRLANDS LÄN</t>
        </is>
      </c>
      <c r="E2769" t="inlineStr">
        <is>
          <t>ÖRNSKÖLDSVIK</t>
        </is>
      </c>
      <c r="G2769" t="n">
        <v>7.3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51329-2022</t>
        </is>
      </c>
      <c r="B2770" s="1" t="n">
        <v>44869</v>
      </c>
      <c r="C2770" s="1" t="n">
        <v>46137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17502-2026</t>
        </is>
      </c>
      <c r="B2771" s="1" t="n">
        <v>46119</v>
      </c>
      <c r="C2771" s="1" t="n">
        <v>46137</v>
      </c>
      <c r="D2771" t="inlineStr">
        <is>
          <t>VÄSTERNORRLANDS LÄN</t>
        </is>
      </c>
      <c r="E2771" t="inlineStr">
        <is>
          <t>ÖRNSKÖLDSVIK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10723-2026</t>
        </is>
      </c>
      <c r="B2772" s="1" t="n">
        <v>46078.46982638889</v>
      </c>
      <c r="C2772" s="1" t="n">
        <v>46137</v>
      </c>
      <c r="D2772" t="inlineStr">
        <is>
          <t>VÄSTERNORRLANDS LÄN</t>
        </is>
      </c>
      <c r="E2772" t="inlineStr">
        <is>
          <t>ÖRNSKÖLDSVIK</t>
        </is>
      </c>
      <c r="G2772" t="n">
        <v>6.3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43672-2023</t>
        </is>
      </c>
      <c r="B2773" s="1" t="n">
        <v>45187</v>
      </c>
      <c r="C2773" s="1" t="n">
        <v>46137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10644-2026</t>
        </is>
      </c>
      <c r="B2774" s="1" t="n">
        <v>46078.3327199074</v>
      </c>
      <c r="C2774" s="1" t="n">
        <v>46137</v>
      </c>
      <c r="D2774" t="inlineStr">
        <is>
          <t>VÄSTERNORRLANDS LÄN</t>
        </is>
      </c>
      <c r="E2774" t="inlineStr">
        <is>
          <t>ÖRNSKÖLDSVIK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10463-2026</t>
        </is>
      </c>
      <c r="B2775" s="1" t="n">
        <v>46077.46359953703</v>
      </c>
      <c r="C2775" s="1" t="n">
        <v>46137</v>
      </c>
      <c r="D2775" t="inlineStr">
        <is>
          <t>VÄSTERNORRLANDS LÄN</t>
        </is>
      </c>
      <c r="E2775" t="inlineStr">
        <is>
          <t>ÖRNSKÖLDSVIK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37619-2022</t>
        </is>
      </c>
      <c r="B2776" s="1" t="n">
        <v>44810</v>
      </c>
      <c r="C2776" s="1" t="n">
        <v>46137</v>
      </c>
      <c r="D2776" t="inlineStr">
        <is>
          <t>VÄSTERNORRLANDS LÄN</t>
        </is>
      </c>
      <c r="E2776" t="inlineStr">
        <is>
          <t>ÖRNSKÖLDSVIK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49260-2023</t>
        </is>
      </c>
      <c r="B2777" s="1" t="n">
        <v>45210.67532407407</v>
      </c>
      <c r="C2777" s="1" t="n">
        <v>46137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17523-2026</t>
        </is>
      </c>
      <c r="B2778" s="1" t="n">
        <v>46120.65076388889</v>
      </c>
      <c r="C2778" s="1" t="n">
        <v>46137</v>
      </c>
      <c r="D2778" t="inlineStr">
        <is>
          <t>VÄSTERNORRLANDS LÄN</t>
        </is>
      </c>
      <c r="E2778" t="inlineStr">
        <is>
          <t>ÖRNSKÖLDSVIK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10396-2026</t>
        </is>
      </c>
      <c r="B2779" s="1" t="n">
        <v>46077.30953703704</v>
      </c>
      <c r="C2779" s="1" t="n">
        <v>46137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10392-2026</t>
        </is>
      </c>
      <c r="B2780" s="1" t="n">
        <v>46077.2993287037</v>
      </c>
      <c r="C2780" s="1" t="n">
        <v>46137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10278-2026</t>
        </is>
      </c>
      <c r="B2781" s="1" t="n">
        <v>46076.5874537037</v>
      </c>
      <c r="C2781" s="1" t="n">
        <v>46137</v>
      </c>
      <c r="D2781" t="inlineStr">
        <is>
          <t>VÄSTERNORRLANDS LÄN</t>
        </is>
      </c>
      <c r="E2781" t="inlineStr">
        <is>
          <t>ÖRNSKÖLDSVIK</t>
        </is>
      </c>
      <c r="G2781" t="n">
        <v>8.800000000000001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16799-2023</t>
        </is>
      </c>
      <c r="B2782" s="1" t="n">
        <v>45028</v>
      </c>
      <c r="C2782" s="1" t="n">
        <v>46137</v>
      </c>
      <c r="D2782" t="inlineStr">
        <is>
          <t>VÄSTERNORRLANDS LÄN</t>
        </is>
      </c>
      <c r="E2782" t="inlineStr">
        <is>
          <t>ÖRNSKÖLDSVIK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21701-2024</t>
        </is>
      </c>
      <c r="B2783" s="1" t="n">
        <v>45442</v>
      </c>
      <c r="C2783" s="1" t="n">
        <v>46137</v>
      </c>
      <c r="D2783" t="inlineStr">
        <is>
          <t>VÄSTERNORRLANDS LÄN</t>
        </is>
      </c>
      <c r="E2783" t="inlineStr">
        <is>
          <t>ÖRNSKÖLDSVIK</t>
        </is>
      </c>
      <c r="G2783" t="n">
        <v>10.4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17585-2026</t>
        </is>
      </c>
      <c r="B2784" s="1" t="n">
        <v>46121.3858912037</v>
      </c>
      <c r="C2784" s="1" t="n">
        <v>46137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30.1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17622-2026</t>
        </is>
      </c>
      <c r="B2785" s="1" t="n">
        <v>46121.46929398148</v>
      </c>
      <c r="C2785" s="1" t="n">
        <v>46137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17636-2026</t>
        </is>
      </c>
      <c r="B2786" s="1" t="n">
        <v>46121.48607638889</v>
      </c>
      <c r="C2786" s="1" t="n">
        <v>46137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17612-2026</t>
        </is>
      </c>
      <c r="B2787" s="1" t="n">
        <v>46121.45493055556</v>
      </c>
      <c r="C2787" s="1" t="n">
        <v>46137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20533-2025</t>
        </is>
      </c>
      <c r="B2788" s="1" t="n">
        <v>45775.61537037037</v>
      </c>
      <c r="C2788" s="1" t="n">
        <v>46137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52.9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11160-2026</t>
        </is>
      </c>
      <c r="B2789" s="1" t="n">
        <v>46080.34474537037</v>
      </c>
      <c r="C2789" s="1" t="n">
        <v>46137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17704-2026</t>
        </is>
      </c>
      <c r="B2790" s="1" t="n">
        <v>46121</v>
      </c>
      <c r="C2790" s="1" t="n">
        <v>46137</v>
      </c>
      <c r="D2790" t="inlineStr">
        <is>
          <t>VÄSTERNORRLANDS LÄN</t>
        </is>
      </c>
      <c r="E2790" t="inlineStr">
        <is>
          <t>ÖRNSKÖLDSVIK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18051-2024</t>
        </is>
      </c>
      <c r="B2791" s="1" t="n">
        <v>45420</v>
      </c>
      <c r="C2791" s="1" t="n">
        <v>46137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71547-2021</t>
        </is>
      </c>
      <c r="B2792" s="1" t="n">
        <v>44540</v>
      </c>
      <c r="C2792" s="1" t="n">
        <v>46137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17947-2026</t>
        </is>
      </c>
      <c r="B2793" s="1" t="n">
        <v>46122.65401620371</v>
      </c>
      <c r="C2793" s="1" t="n">
        <v>46137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12980-2023</t>
        </is>
      </c>
      <c r="B2794" s="1" t="n">
        <v>45002</v>
      </c>
      <c r="C2794" s="1" t="n">
        <v>46137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5.2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55490-2023</t>
        </is>
      </c>
      <c r="B2795" s="1" t="n">
        <v>45238.54555555555</v>
      </c>
      <c r="C2795" s="1" t="n">
        <v>46137</v>
      </c>
      <c r="D2795" t="inlineStr">
        <is>
          <t>VÄSTERNORRLANDS LÄN</t>
        </is>
      </c>
      <c r="E2795" t="inlineStr">
        <is>
          <t>ÖRNSKÖLDSVIK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17875-2026</t>
        </is>
      </c>
      <c r="B2796" s="1" t="n">
        <v>46122.54253472222</v>
      </c>
      <c r="C2796" s="1" t="n">
        <v>46137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49025-2022</t>
        </is>
      </c>
      <c r="B2797" s="1" t="n">
        <v>44860.43298611111</v>
      </c>
      <c r="C2797" s="1" t="n">
        <v>46137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33233-2023</t>
        </is>
      </c>
      <c r="B2798" s="1" t="n">
        <v>45114</v>
      </c>
      <c r="C2798" s="1" t="n">
        <v>46137</v>
      </c>
      <c r="D2798" t="inlineStr">
        <is>
          <t>VÄSTERNORRLANDS LÄN</t>
        </is>
      </c>
      <c r="E2798" t="inlineStr">
        <is>
          <t>ÖRNSKÖLDSVIK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31192-2023</t>
        </is>
      </c>
      <c r="B2799" s="1" t="n">
        <v>45113</v>
      </c>
      <c r="C2799" s="1" t="n">
        <v>46137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61255-2024</t>
        </is>
      </c>
      <c r="B2800" s="1" t="n">
        <v>45644</v>
      </c>
      <c r="C2800" s="1" t="n">
        <v>46137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11197-2026</t>
        </is>
      </c>
      <c r="B2801" s="1" t="n">
        <v>46080.42792824074</v>
      </c>
      <c r="C2801" s="1" t="n">
        <v>46137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46137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8054-2024</t>
        </is>
      </c>
      <c r="B2803" s="1" t="n">
        <v>45351.36135416666</v>
      </c>
      <c r="C2803" s="1" t="n">
        <v>46137</v>
      </c>
      <c r="D2803" t="inlineStr">
        <is>
          <t>VÄSTERNORRLANDS LÄN</t>
        </is>
      </c>
      <c r="E2803" t="inlineStr">
        <is>
          <t>ÖRNSKÖLDSVIK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33258-2023</t>
        </is>
      </c>
      <c r="B2804" s="1" t="n">
        <v>45114</v>
      </c>
      <c r="C2804" s="1" t="n">
        <v>46137</v>
      </c>
      <c r="D2804" t="inlineStr">
        <is>
          <t>VÄSTERNORRLANDS LÄN</t>
        </is>
      </c>
      <c r="E2804" t="inlineStr">
        <is>
          <t>ÖRNSKÖLDSVIK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33261-2023</t>
        </is>
      </c>
      <c r="B2805" s="1" t="n">
        <v>45114</v>
      </c>
      <c r="C2805" s="1" t="n">
        <v>46137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33288-2023</t>
        </is>
      </c>
      <c r="B2806" s="1" t="n">
        <v>45127</v>
      </c>
      <c r="C2806" s="1" t="n">
        <v>46137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11196-2026</t>
        </is>
      </c>
      <c r="B2807" s="1" t="n">
        <v>46080.4278587963</v>
      </c>
      <c r="C2807" s="1" t="n">
        <v>46137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31873-2024</t>
        </is>
      </c>
      <c r="B2808" s="1" t="n">
        <v>45509.92914351852</v>
      </c>
      <c r="C2808" s="1" t="n">
        <v>46137</v>
      </c>
      <c r="D2808" t="inlineStr">
        <is>
          <t>VÄSTERNORRLANDS LÄN</t>
        </is>
      </c>
      <c r="E2808" t="inlineStr">
        <is>
          <t>ÖRNSKÖLDSVIK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44522-2023</t>
        </is>
      </c>
      <c r="B2809" s="1" t="n">
        <v>45189.47681712963</v>
      </c>
      <c r="C2809" s="1" t="n">
        <v>46137</v>
      </c>
      <c r="D2809" t="inlineStr">
        <is>
          <t>VÄSTERNORRLANDS LÄN</t>
        </is>
      </c>
      <c r="E2809" t="inlineStr">
        <is>
          <t>ÖRNSKÖLDSVIK</t>
        </is>
      </c>
      <c r="G2809" t="n">
        <v>22.6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48896-2024</t>
        </is>
      </c>
      <c r="B2810" s="1" t="n">
        <v>45594.34439814815</v>
      </c>
      <c r="C2810" s="1" t="n">
        <v>46137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5.8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18189-2026</t>
        </is>
      </c>
      <c r="B2811" s="1" t="n">
        <v>46125.68913194445</v>
      </c>
      <c r="C2811" s="1" t="n">
        <v>46137</v>
      </c>
      <c r="D2811" t="inlineStr">
        <is>
          <t>VÄSTERNORRLANDS LÄN</t>
        </is>
      </c>
      <c r="E2811" t="inlineStr">
        <is>
          <t>ÖRNSKÖLDSVIK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21479-2023</t>
        </is>
      </c>
      <c r="B2812" s="1" t="n">
        <v>45063</v>
      </c>
      <c r="C2812" s="1" t="n">
        <v>46137</v>
      </c>
      <c r="D2812" t="inlineStr">
        <is>
          <t>VÄSTERNORRLANDS LÄN</t>
        </is>
      </c>
      <c r="E2812" t="inlineStr">
        <is>
          <t>ÖRNSKÖLDSVIK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32185-2023</t>
        </is>
      </c>
      <c r="B2813" s="1" t="n">
        <v>45119.84378472222</v>
      </c>
      <c r="C2813" s="1" t="n">
        <v>46137</v>
      </c>
      <c r="D2813" t="inlineStr">
        <is>
          <t>VÄSTERNORRLANDS LÄN</t>
        </is>
      </c>
      <c r="E2813" t="inlineStr">
        <is>
          <t>ÖRNSKÖLDSVIK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18170-2026</t>
        </is>
      </c>
      <c r="B2814" s="1" t="n">
        <v>46125.65731481482</v>
      </c>
      <c r="C2814" s="1" t="n">
        <v>46137</v>
      </c>
      <c r="D2814" t="inlineStr">
        <is>
          <t>VÄSTERNORRLANDS LÄN</t>
        </is>
      </c>
      <c r="E2814" t="inlineStr">
        <is>
          <t>ÖRNSKÖLDSVIK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6273-2024</t>
        </is>
      </c>
      <c r="B2815" s="1" t="n">
        <v>45337.95451388889</v>
      </c>
      <c r="C2815" s="1" t="n">
        <v>46137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9.1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12477-2024</t>
        </is>
      </c>
      <c r="B2816" s="1" t="n">
        <v>45379</v>
      </c>
      <c r="C2816" s="1" t="n">
        <v>46137</v>
      </c>
      <c r="D2816" t="inlineStr">
        <is>
          <t>VÄSTERNORRLANDS LÄN</t>
        </is>
      </c>
      <c r="E2816" t="inlineStr">
        <is>
          <t>ÖRNSKÖLDSVIK</t>
        </is>
      </c>
      <c r="G2816" t="n">
        <v>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61392-2022</t>
        </is>
      </c>
      <c r="B2817" s="1" t="n">
        <v>44915.94341435185</v>
      </c>
      <c r="C2817" s="1" t="n">
        <v>46137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10160-2025</t>
        </is>
      </c>
      <c r="B2818" s="1" t="n">
        <v>45719</v>
      </c>
      <c r="C2818" s="1" t="n">
        <v>46137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18344-2026</t>
        </is>
      </c>
      <c r="B2819" s="1" t="n">
        <v>46125</v>
      </c>
      <c r="C2819" s="1" t="n">
        <v>46137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18026-2026</t>
        </is>
      </c>
      <c r="B2820" s="1" t="n">
        <v>46125.37658564815</v>
      </c>
      <c r="C2820" s="1" t="n">
        <v>46137</v>
      </c>
      <c r="D2820" t="inlineStr">
        <is>
          <t>VÄSTERNORRLANDS LÄN</t>
        </is>
      </c>
      <c r="E2820" t="inlineStr">
        <is>
          <t>ÖRNSKÖLDSVIK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34545-2022</t>
        </is>
      </c>
      <c r="B2821" s="1" t="n">
        <v>44793.93188657407</v>
      </c>
      <c r="C2821" s="1" t="n">
        <v>46137</v>
      </c>
      <c r="D2821" t="inlineStr">
        <is>
          <t>VÄSTERNORRLANDS LÄN</t>
        </is>
      </c>
      <c r="E2821" t="inlineStr">
        <is>
          <t>ÖRNSKÖLDSVIK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37578-2023</t>
        </is>
      </c>
      <c r="B2822" s="1" t="n">
        <v>45159.38454861111</v>
      </c>
      <c r="C2822" s="1" t="n">
        <v>46137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21324-2024</t>
        </is>
      </c>
      <c r="B2823" s="1" t="n">
        <v>45440.76388888889</v>
      </c>
      <c r="C2823" s="1" t="n">
        <v>46137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18009-2026</t>
        </is>
      </c>
      <c r="B2824" s="1" t="n">
        <v>46125.32677083334</v>
      </c>
      <c r="C2824" s="1" t="n">
        <v>46137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27854-2024</t>
        </is>
      </c>
      <c r="B2825" s="1" t="n">
        <v>45475.65396990741</v>
      </c>
      <c r="C2825" s="1" t="n">
        <v>46137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18014-2026</t>
        </is>
      </c>
      <c r="B2826" s="1" t="n">
        <v>46125.3409375</v>
      </c>
      <c r="C2826" s="1" t="n">
        <v>46137</v>
      </c>
      <c r="D2826" t="inlineStr">
        <is>
          <t>VÄSTERNORRLANDS LÄN</t>
        </is>
      </c>
      <c r="E2826" t="inlineStr">
        <is>
          <t>ÖRNSKÖLDSVIK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18028-2026</t>
        </is>
      </c>
      <c r="B2827" s="1" t="n">
        <v>46125.38245370371</v>
      </c>
      <c r="C2827" s="1" t="n">
        <v>46137</v>
      </c>
      <c r="D2827" t="inlineStr">
        <is>
          <t>VÄSTERNORRLANDS LÄN</t>
        </is>
      </c>
      <c r="E2827" t="inlineStr">
        <is>
          <t>ÖRNSKÖLDSVIK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22519-2024</t>
        </is>
      </c>
      <c r="B2828" s="1" t="n">
        <v>45447</v>
      </c>
      <c r="C2828" s="1" t="n">
        <v>46137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63729-2023</t>
        </is>
      </c>
      <c r="B2829" s="1" t="n">
        <v>45276</v>
      </c>
      <c r="C2829" s="1" t="n">
        <v>46137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63750-2023</t>
        </is>
      </c>
      <c r="B2830" s="1" t="n">
        <v>45277.8662962963</v>
      </c>
      <c r="C2830" s="1" t="n">
        <v>46137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Övriga Aktiebolag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7218-2025</t>
        </is>
      </c>
      <c r="B2831" s="1" t="n">
        <v>45702.47903935185</v>
      </c>
      <c r="C2831" s="1" t="n">
        <v>46137</v>
      </c>
      <c r="D2831" t="inlineStr">
        <is>
          <t>VÄSTERNORRLANDS LÄN</t>
        </is>
      </c>
      <c r="E2831" t="inlineStr">
        <is>
          <t>ÖRNSKÖLDSVIK</t>
        </is>
      </c>
      <c r="G2831" t="n">
        <v>5.6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18363-2026</t>
        </is>
      </c>
      <c r="B2832" s="1" t="n">
        <v>46125</v>
      </c>
      <c r="C2832" s="1" t="n">
        <v>46137</v>
      </c>
      <c r="D2832" t="inlineStr">
        <is>
          <t>VÄSTERNORRLANDS LÄN</t>
        </is>
      </c>
      <c r="E2832" t="inlineStr">
        <is>
          <t>ÖRNSKÖLDSVIK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18370-2026</t>
        </is>
      </c>
      <c r="B2833" s="1" t="n">
        <v>46125</v>
      </c>
      <c r="C2833" s="1" t="n">
        <v>46137</v>
      </c>
      <c r="D2833" t="inlineStr">
        <is>
          <t>VÄSTERNORRLANDS LÄN</t>
        </is>
      </c>
      <c r="E2833" t="inlineStr">
        <is>
          <t>ÖRNSKÖLDSVIK</t>
        </is>
      </c>
      <c r="G2833" t="n">
        <v>10.9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62342-2022</t>
        </is>
      </c>
      <c r="B2834" s="1" t="n">
        <v>44916</v>
      </c>
      <c r="C2834" s="1" t="n">
        <v>46137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18051-2026</t>
        </is>
      </c>
      <c r="B2835" s="1" t="n">
        <v>46125.42832175926</v>
      </c>
      <c r="C2835" s="1" t="n">
        <v>46137</v>
      </c>
      <c r="D2835" t="inlineStr">
        <is>
          <t>VÄSTERNORRLANDS LÄN</t>
        </is>
      </c>
      <c r="E2835" t="inlineStr">
        <is>
          <t>ÖRNSKÖLDSVIK</t>
        </is>
      </c>
      <c r="G2835" t="n">
        <v>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35555-2023</t>
        </is>
      </c>
      <c r="B2836" s="1" t="n">
        <v>45146</v>
      </c>
      <c r="C2836" s="1" t="n">
        <v>46137</v>
      </c>
      <c r="D2836" t="inlineStr">
        <is>
          <t>VÄSTERNORRLANDS LÄN</t>
        </is>
      </c>
      <c r="E2836" t="inlineStr">
        <is>
          <t>ÖRNSKÖLDSVIK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26706-2024</t>
        </is>
      </c>
      <c r="B2837" s="1" t="n">
        <v>45470.3927662037</v>
      </c>
      <c r="C2837" s="1" t="n">
        <v>46137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40342-2024</t>
        </is>
      </c>
      <c r="B2838" s="1" t="n">
        <v>45555.34199074074</v>
      </c>
      <c r="C2838" s="1" t="n">
        <v>46137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47342-2023</t>
        </is>
      </c>
      <c r="B2839" s="1" t="n">
        <v>45196</v>
      </c>
      <c r="C2839" s="1" t="n">
        <v>46137</v>
      </c>
      <c r="D2839" t="inlineStr">
        <is>
          <t>VÄSTERNORRLANDS LÄN</t>
        </is>
      </c>
      <c r="E2839" t="inlineStr">
        <is>
          <t>ÖRNSKÖLDSVIK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18756-2026</t>
        </is>
      </c>
      <c r="B2840" s="1" t="n">
        <v>46128.55694444444</v>
      </c>
      <c r="C2840" s="1" t="n">
        <v>46137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11960-2026</t>
        </is>
      </c>
      <c r="B2841" s="1" t="n">
        <v>46085</v>
      </c>
      <c r="C2841" s="1" t="n">
        <v>46137</v>
      </c>
      <c r="D2841" t="inlineStr">
        <is>
          <t>VÄSTERNORRLANDS LÄN</t>
        </is>
      </c>
      <c r="E2841" t="inlineStr">
        <is>
          <t>ÖRNSKÖLDSVIK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12170-2026</t>
        </is>
      </c>
      <c r="B2842" s="1" t="n">
        <v>46086.65668981482</v>
      </c>
      <c r="C2842" s="1" t="n">
        <v>46137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59163-2024</t>
        </is>
      </c>
      <c r="B2843" s="1" t="n">
        <v>45637.47483796296</v>
      </c>
      <c r="C2843" s="1" t="n">
        <v>46137</v>
      </c>
      <c r="D2843" t="inlineStr">
        <is>
          <t>VÄSTERNORRLANDS LÄN</t>
        </is>
      </c>
      <c r="E2843" t="inlineStr">
        <is>
          <t>ÖRNSKÖLDSVIK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38374-2022</t>
        </is>
      </c>
      <c r="B2844" s="1" t="n">
        <v>44812.68200231482</v>
      </c>
      <c r="C2844" s="1" t="n">
        <v>46137</v>
      </c>
      <c r="D2844" t="inlineStr">
        <is>
          <t>VÄSTERNORRLANDS LÄN</t>
        </is>
      </c>
      <c r="E2844" t="inlineStr">
        <is>
          <t>ÖRNSKÖLDSVIK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46826-2024</t>
        </is>
      </c>
      <c r="B2845" s="1" t="n">
        <v>45583.58082175926</v>
      </c>
      <c r="C2845" s="1" t="n">
        <v>46137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11845-2026</t>
        </is>
      </c>
      <c r="B2846" s="1" t="n">
        <v>46085.45684027778</v>
      </c>
      <c r="C2846" s="1" t="n">
        <v>46137</v>
      </c>
      <c r="D2846" t="inlineStr">
        <is>
          <t>VÄSTERNORRLANDS LÄN</t>
        </is>
      </c>
      <c r="E2846" t="inlineStr">
        <is>
          <t>ÖRNSKÖLDSVIK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62091-2022</t>
        </is>
      </c>
      <c r="B2847" s="1" t="n">
        <v>44919</v>
      </c>
      <c r="C2847" s="1" t="n">
        <v>46137</v>
      </c>
      <c r="D2847" t="inlineStr">
        <is>
          <t>VÄSTERNORRLANDS LÄN</t>
        </is>
      </c>
      <c r="E2847" t="inlineStr">
        <is>
          <t>ÖRNSKÖLDSVIK</t>
        </is>
      </c>
      <c r="G2847" t="n">
        <v>44.3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18367-2026</t>
        </is>
      </c>
      <c r="B2848" s="1" t="n">
        <v>46125</v>
      </c>
      <c r="C2848" s="1" t="n">
        <v>46137</v>
      </c>
      <c r="D2848" t="inlineStr">
        <is>
          <t>VÄSTERNORRLANDS LÄN</t>
        </is>
      </c>
      <c r="E2848" t="inlineStr">
        <is>
          <t>ÖRNSKÖLDSVIK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24164-2021</t>
        </is>
      </c>
      <c r="B2849" s="1" t="n">
        <v>44336</v>
      </c>
      <c r="C2849" s="1" t="n">
        <v>46137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49284-2023</t>
        </is>
      </c>
      <c r="B2850" s="1" t="n">
        <v>45210.7169212963</v>
      </c>
      <c r="C2850" s="1" t="n">
        <v>46137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58481-2024</t>
        </is>
      </c>
      <c r="B2851" s="1" t="n">
        <v>45635.39123842592</v>
      </c>
      <c r="C2851" s="1" t="n">
        <v>46137</v>
      </c>
      <c r="D2851" t="inlineStr">
        <is>
          <t>VÄSTERNORRLANDS LÄN</t>
        </is>
      </c>
      <c r="E2851" t="inlineStr">
        <is>
          <t>ÖRNSKÖLDSVIK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18641-2026</t>
        </is>
      </c>
      <c r="B2852" s="1" t="n">
        <v>46128.32653935185</v>
      </c>
      <c r="C2852" s="1" t="n">
        <v>46137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18715-2026</t>
        </is>
      </c>
      <c r="B2853" s="1" t="n">
        <v>46128.46392361111</v>
      </c>
      <c r="C2853" s="1" t="n">
        <v>46137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5.7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26776-2024</t>
        </is>
      </c>
      <c r="B2854" s="1" t="n">
        <v>45470</v>
      </c>
      <c r="C2854" s="1" t="n">
        <v>46137</v>
      </c>
      <c r="D2854" t="inlineStr">
        <is>
          <t>VÄSTERNORRLANDS LÄN</t>
        </is>
      </c>
      <c r="E2854" t="inlineStr">
        <is>
          <t>ÖRNSKÖLDSVIK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18532-2026</t>
        </is>
      </c>
      <c r="B2855" s="1" t="n">
        <v>46126</v>
      </c>
      <c r="C2855" s="1" t="n">
        <v>46137</v>
      </c>
      <c r="D2855" t="inlineStr">
        <is>
          <t>VÄSTERNORRLANDS LÄN</t>
        </is>
      </c>
      <c r="E2855" t="inlineStr">
        <is>
          <t>ÖRNSKÖLDSVIK</t>
        </is>
      </c>
      <c r="G2855" t="n">
        <v>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25218-2024</t>
        </is>
      </c>
      <c r="B2856" s="1" t="n">
        <v>45462.58224537037</v>
      </c>
      <c r="C2856" s="1" t="n">
        <v>46137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11804-2024</t>
        </is>
      </c>
      <c r="B2857" s="1" t="n">
        <v>45375</v>
      </c>
      <c r="C2857" s="1" t="n">
        <v>46137</v>
      </c>
      <c r="D2857" t="inlineStr">
        <is>
          <t>VÄSTERNORRLANDS LÄN</t>
        </is>
      </c>
      <c r="E2857" t="inlineStr">
        <is>
          <t>ÖRNSKÖLDSVIK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52548-2024</t>
        </is>
      </c>
      <c r="B2858" s="1" t="n">
        <v>45609</v>
      </c>
      <c r="C2858" s="1" t="n">
        <v>46137</v>
      </c>
      <c r="D2858" t="inlineStr">
        <is>
          <t>VÄSTERNORRLANDS LÄN</t>
        </is>
      </c>
      <c r="E2858" t="inlineStr">
        <is>
          <t>ÖRNSKÖLDSVIK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18630-2026</t>
        </is>
      </c>
      <c r="B2859" s="1" t="n">
        <v>46127.93202546296</v>
      </c>
      <c r="C2859" s="1" t="n">
        <v>46137</v>
      </c>
      <c r="D2859" t="inlineStr">
        <is>
          <t>VÄSTERNORRLANDS LÄN</t>
        </is>
      </c>
      <c r="E2859" t="inlineStr">
        <is>
          <t>ÖRNSKÖLDSVIK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64987-2021</t>
        </is>
      </c>
      <c r="B2860" s="1" t="n">
        <v>44514</v>
      </c>
      <c r="C2860" s="1" t="n">
        <v>46137</v>
      </c>
      <c r="D2860" t="inlineStr">
        <is>
          <t>VÄSTERNORRLANDS LÄN</t>
        </is>
      </c>
      <c r="E2860" t="inlineStr">
        <is>
          <t>ÖRNSKÖLDSVIK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37177-2024</t>
        </is>
      </c>
      <c r="B2861" s="1" t="n">
        <v>45539</v>
      </c>
      <c r="C2861" s="1" t="n">
        <v>46137</v>
      </c>
      <c r="D2861" t="inlineStr">
        <is>
          <t>VÄSTERNORRLANDS LÄN</t>
        </is>
      </c>
      <c r="E2861" t="inlineStr">
        <is>
          <t>ÖRNSKÖLDSVIK</t>
        </is>
      </c>
      <c r="G2861" t="n">
        <v>5.8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60161-2024</t>
        </is>
      </c>
      <c r="B2862" s="1" t="n">
        <v>45642.63049768518</v>
      </c>
      <c r="C2862" s="1" t="n">
        <v>46137</v>
      </c>
      <c r="D2862" t="inlineStr">
        <is>
          <t>VÄSTERNORRLANDS LÄN</t>
        </is>
      </c>
      <c r="E2862" t="inlineStr">
        <is>
          <t>ÖRNSKÖLDSVIK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8523-2024</t>
        </is>
      </c>
      <c r="B2863" s="1" t="n">
        <v>45351</v>
      </c>
      <c r="C2863" s="1" t="n">
        <v>46137</v>
      </c>
      <c r="D2863" t="inlineStr">
        <is>
          <t>VÄSTERNORRLANDS LÄN</t>
        </is>
      </c>
      <c r="E2863" t="inlineStr">
        <is>
          <t>ÖRNSKÖLDSVIK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42451-2024</t>
        </is>
      </c>
      <c r="B2864" s="1" t="n">
        <v>45565.44592592592</v>
      </c>
      <c r="C2864" s="1" t="n">
        <v>46137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42512-2024</t>
        </is>
      </c>
      <c r="B2865" s="1" t="n">
        <v>45565.53475694444</v>
      </c>
      <c r="C2865" s="1" t="n">
        <v>46137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12500-2026</t>
        </is>
      </c>
      <c r="B2866" s="1" t="n">
        <v>46090.57438657407</v>
      </c>
      <c r="C2866" s="1" t="n">
        <v>46137</v>
      </c>
      <c r="D2866" t="inlineStr">
        <is>
          <t>VÄSTERNORRLANDS LÄN</t>
        </is>
      </c>
      <c r="E2866" t="inlineStr">
        <is>
          <t>ÖRNSKÖLDSVIK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18861-2026</t>
        </is>
      </c>
      <c r="B2867" s="1" t="n">
        <v>46129</v>
      </c>
      <c r="C2867" s="1" t="n">
        <v>46137</v>
      </c>
      <c r="D2867" t="inlineStr">
        <is>
          <t>VÄSTERNORRLANDS LÄN</t>
        </is>
      </c>
      <c r="E2867" t="inlineStr">
        <is>
          <t>ÖRNSKÖLDSVIK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29179-2024</t>
        </is>
      </c>
      <c r="B2868" s="1" t="n">
        <v>45482.54008101852</v>
      </c>
      <c r="C2868" s="1" t="n">
        <v>46137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25278-2024</t>
        </is>
      </c>
      <c r="B2869" s="1" t="n">
        <v>45462.63206018518</v>
      </c>
      <c r="C2869" s="1" t="n">
        <v>46137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15590-2026</t>
        </is>
      </c>
      <c r="B2870" s="1" t="n">
        <v>46106</v>
      </c>
      <c r="C2870" s="1" t="n">
        <v>46137</v>
      </c>
      <c r="D2870" t="inlineStr">
        <is>
          <t>VÄSTERNORRLANDS LÄN</t>
        </is>
      </c>
      <c r="E2870" t="inlineStr">
        <is>
          <t>ÖRNSKÖLDSVIK</t>
        </is>
      </c>
      <c r="G2870" t="n">
        <v>11.4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12228-2026</t>
        </is>
      </c>
      <c r="B2871" s="1" t="n">
        <v>46087.38587962963</v>
      </c>
      <c r="C2871" s="1" t="n">
        <v>46137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20571-2025</t>
        </is>
      </c>
      <c r="B2872" s="1" t="n">
        <v>45775.6683912037</v>
      </c>
      <c r="C2872" s="1" t="n">
        <v>46137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17634-2026</t>
        </is>
      </c>
      <c r="B2873" s="1" t="n">
        <v>46121.48092592593</v>
      </c>
      <c r="C2873" s="1" t="n">
        <v>46137</v>
      </c>
      <c r="D2873" t="inlineStr">
        <is>
          <t>VÄSTERNORRLANDS LÄN</t>
        </is>
      </c>
      <c r="E2873" t="inlineStr">
        <is>
          <t>ÖRNSKÖLDSVIK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18953-2026</t>
        </is>
      </c>
      <c r="B2874" s="1" t="n">
        <v>46127</v>
      </c>
      <c r="C2874" s="1" t="n">
        <v>46137</v>
      </c>
      <c r="D2874" t="inlineStr">
        <is>
          <t>VÄSTERNORRLANDS LÄN</t>
        </is>
      </c>
      <c r="E2874" t="inlineStr">
        <is>
          <t>ÖRNSKÖLDSVIK</t>
        </is>
      </c>
      <c r="G2874" t="n">
        <v>13.4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45820-2023</t>
        </is>
      </c>
      <c r="B2875" s="1" t="n">
        <v>45189</v>
      </c>
      <c r="C2875" s="1" t="n">
        <v>46137</v>
      </c>
      <c r="D2875" t="inlineStr">
        <is>
          <t>VÄSTERNORRLANDS LÄN</t>
        </is>
      </c>
      <c r="E2875" t="inlineStr">
        <is>
          <t>ÖRNSKÖLDSVIK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18860-2026</t>
        </is>
      </c>
      <c r="B2876" s="1" t="n">
        <v>46129</v>
      </c>
      <c r="C2876" s="1" t="n">
        <v>46137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18862-2026</t>
        </is>
      </c>
      <c r="B2877" s="1" t="n">
        <v>46129</v>
      </c>
      <c r="C2877" s="1" t="n">
        <v>46137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3026-2023</t>
        </is>
      </c>
      <c r="B2878" s="1" t="n">
        <v>44945</v>
      </c>
      <c r="C2878" s="1" t="n">
        <v>46137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29151-2023</t>
        </is>
      </c>
      <c r="B2879" s="1" t="n">
        <v>45105</v>
      </c>
      <c r="C2879" s="1" t="n">
        <v>46137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12337-2026</t>
        </is>
      </c>
      <c r="B2880" s="1" t="n">
        <v>46087.64940972222</v>
      </c>
      <c r="C2880" s="1" t="n">
        <v>46137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Kommuner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12442-2026</t>
        </is>
      </c>
      <c r="B2881" s="1" t="n">
        <v>46090.47835648148</v>
      </c>
      <c r="C2881" s="1" t="n">
        <v>46137</v>
      </c>
      <c r="D2881" t="inlineStr">
        <is>
          <t>VÄSTERNORRLANDS LÄN</t>
        </is>
      </c>
      <c r="E2881" t="inlineStr">
        <is>
          <t>ÖRNSKÖLDSVIK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2846-2026</t>
        </is>
      </c>
      <c r="B2882" s="1" t="n">
        <v>46038</v>
      </c>
      <c r="C2882" s="1" t="n">
        <v>46137</v>
      </c>
      <c r="D2882" t="inlineStr">
        <is>
          <t>VÄSTERNORRLANDS LÄN</t>
        </is>
      </c>
      <c r="E2882" t="inlineStr">
        <is>
          <t>ÖRNSKÖLDSVIK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38811-2022</t>
        </is>
      </c>
      <c r="B2883" s="1" t="n">
        <v>44816</v>
      </c>
      <c r="C2883" s="1" t="n">
        <v>46137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46307-2023</t>
        </is>
      </c>
      <c r="B2884" s="1" t="n">
        <v>45197</v>
      </c>
      <c r="C2884" s="1" t="n">
        <v>46137</v>
      </c>
      <c r="D2884" t="inlineStr">
        <is>
          <t>VÄSTERNORRLANDS LÄN</t>
        </is>
      </c>
      <c r="E2884" t="inlineStr">
        <is>
          <t>ÖRNSKÖLDSVIK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18976-2026</t>
        </is>
      </c>
      <c r="B2885" s="1" t="n">
        <v>46129.61527777778</v>
      </c>
      <c r="C2885" s="1" t="n">
        <v>46137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1531-2025</t>
        </is>
      </c>
      <c r="B2886" s="1" t="n">
        <v>45670.4811574074</v>
      </c>
      <c r="C2886" s="1" t="n">
        <v>46137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2849-2026</t>
        </is>
      </c>
      <c r="B2887" s="1" t="n">
        <v>46038</v>
      </c>
      <c r="C2887" s="1" t="n">
        <v>46137</v>
      </c>
      <c r="D2887" t="inlineStr">
        <is>
          <t>VÄSTERNORRLANDS LÄN</t>
        </is>
      </c>
      <c r="E2887" t="inlineStr">
        <is>
          <t>ÖRNSKÖLDSVIK</t>
        </is>
      </c>
      <c r="G2887" t="n">
        <v>5.2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33187-2024</t>
        </is>
      </c>
      <c r="B2888" s="1" t="n">
        <v>45518</v>
      </c>
      <c r="C2888" s="1" t="n">
        <v>46137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18906-2026</t>
        </is>
      </c>
      <c r="B2889" s="1" t="n">
        <v>46129.50202546296</v>
      </c>
      <c r="C2889" s="1" t="n">
        <v>46137</v>
      </c>
      <c r="D2889" t="inlineStr">
        <is>
          <t>VÄSTERNORRLANDS LÄN</t>
        </is>
      </c>
      <c r="E2889" t="inlineStr">
        <is>
          <t>ÖRNSKÖLDSVIK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32515-2024</t>
        </is>
      </c>
      <c r="B2890" s="1" t="n">
        <v>45513</v>
      </c>
      <c r="C2890" s="1" t="n">
        <v>46137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32540-2024</t>
        </is>
      </c>
      <c r="B2891" s="1" t="n">
        <v>45513</v>
      </c>
      <c r="C2891" s="1" t="n">
        <v>46137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40742-2021</t>
        </is>
      </c>
      <c r="B2892" s="1" t="n">
        <v>44420.67804398148</v>
      </c>
      <c r="C2892" s="1" t="n">
        <v>46137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19660-2026</t>
        </is>
      </c>
      <c r="B2893" s="1" t="n">
        <v>46134.60659722222</v>
      </c>
      <c r="C2893" s="1" t="n">
        <v>46137</v>
      </c>
      <c r="D2893" t="inlineStr">
        <is>
          <t>VÄSTERNORRLANDS LÄN</t>
        </is>
      </c>
      <c r="E2893" t="inlineStr">
        <is>
          <t>ÖRNSKÖLDSVIK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19566-2026</t>
        </is>
      </c>
      <c r="B2894" s="1" t="n">
        <v>46132</v>
      </c>
      <c r="C2894" s="1" t="n">
        <v>46137</v>
      </c>
      <c r="D2894" t="inlineStr">
        <is>
          <t>VÄSTERNORRLANDS LÄN</t>
        </is>
      </c>
      <c r="E2894" t="inlineStr">
        <is>
          <t>ÖRNSKÖLDSVIK</t>
        </is>
      </c>
      <c r="G2894" t="n">
        <v>7.5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46977-2024</t>
        </is>
      </c>
      <c r="B2895" s="1" t="n">
        <v>45586.3478125</v>
      </c>
      <c r="C2895" s="1" t="n">
        <v>46137</v>
      </c>
      <c r="D2895" t="inlineStr">
        <is>
          <t>VÄSTERNORRLANDS LÄN</t>
        </is>
      </c>
      <c r="E2895" t="inlineStr">
        <is>
          <t>ÖRNSKÖLDSVIK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28711-2024</t>
        </is>
      </c>
      <c r="B2896" s="1" t="n">
        <v>45478</v>
      </c>
      <c r="C2896" s="1" t="n">
        <v>46137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19493-2026</t>
        </is>
      </c>
      <c r="B2897" s="1" t="n">
        <v>46134.32127314815</v>
      </c>
      <c r="C2897" s="1" t="n">
        <v>46137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19651-2026</t>
        </is>
      </c>
      <c r="B2898" s="1" t="n">
        <v>46134.59922453704</v>
      </c>
      <c r="C2898" s="1" t="n">
        <v>46137</v>
      </c>
      <c r="D2898" t="inlineStr">
        <is>
          <t>VÄSTERNORRLANDS LÄN</t>
        </is>
      </c>
      <c r="E2898" t="inlineStr">
        <is>
          <t>ÖRNSKÖLDSVIK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18178-2024</t>
        </is>
      </c>
      <c r="B2899" s="1" t="n">
        <v>45420</v>
      </c>
      <c r="C2899" s="1" t="n">
        <v>46137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29498-2023</t>
        </is>
      </c>
      <c r="B2900" s="1" t="n">
        <v>45106.59748842593</v>
      </c>
      <c r="C2900" s="1" t="n">
        <v>46137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19490-2026</t>
        </is>
      </c>
      <c r="B2901" s="1" t="n">
        <v>46134.31622685185</v>
      </c>
      <c r="C2901" s="1" t="n">
        <v>46137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19588-2026</t>
        </is>
      </c>
      <c r="B2902" s="1" t="n">
        <v>46132</v>
      </c>
      <c r="C2902" s="1" t="n">
        <v>46137</v>
      </c>
      <c r="D2902" t="inlineStr">
        <is>
          <t>VÄSTERNORRLANDS LÄN</t>
        </is>
      </c>
      <c r="E2902" t="inlineStr">
        <is>
          <t>ÖRNSKÖLDSVIK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40197-2022</t>
        </is>
      </c>
      <c r="B2903" s="1" t="n">
        <v>44818</v>
      </c>
      <c r="C2903" s="1" t="n">
        <v>46137</v>
      </c>
      <c r="D2903" t="inlineStr">
        <is>
          <t>VÄSTERNORRLANDS LÄN</t>
        </is>
      </c>
      <c r="E2903" t="inlineStr">
        <is>
          <t>ÖRNSKÖLDSVIK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12906-2026</t>
        </is>
      </c>
      <c r="B2904" s="1" t="n">
        <v>46092.5734837963</v>
      </c>
      <c r="C2904" s="1" t="n">
        <v>46137</v>
      </c>
      <c r="D2904" t="inlineStr">
        <is>
          <t>VÄSTERNORRLANDS LÄN</t>
        </is>
      </c>
      <c r="E2904" t="inlineStr">
        <is>
          <t>ÖRNSKÖLDSVIK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12908-2026</t>
        </is>
      </c>
      <c r="B2905" s="1" t="n">
        <v>46092.57359953703</v>
      </c>
      <c r="C2905" s="1" t="n">
        <v>46137</v>
      </c>
      <c r="D2905" t="inlineStr">
        <is>
          <t>VÄSTERNORRLANDS LÄN</t>
        </is>
      </c>
      <c r="E2905" t="inlineStr">
        <is>
          <t>ÖRNSKÖLDSVIK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63039-2021</t>
        </is>
      </c>
      <c r="B2906" s="1" t="n">
        <v>44505</v>
      </c>
      <c r="C2906" s="1" t="n">
        <v>46137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52467-2022</t>
        </is>
      </c>
      <c r="B2907" s="1" t="n">
        <v>44874</v>
      </c>
      <c r="C2907" s="1" t="n">
        <v>46137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57157-2024</t>
        </is>
      </c>
      <c r="B2908" s="1" t="n">
        <v>45629</v>
      </c>
      <c r="C2908" s="1" t="n">
        <v>46137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12907-2026</t>
        </is>
      </c>
      <c r="B2909" s="1" t="n">
        <v>46092.57351851852</v>
      </c>
      <c r="C2909" s="1" t="n">
        <v>46137</v>
      </c>
      <c r="D2909" t="inlineStr">
        <is>
          <t>VÄSTERNORRLANDS LÄN</t>
        </is>
      </c>
      <c r="E2909" t="inlineStr">
        <is>
          <t>ÖRNSKÖLDSVIK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2177-2025</t>
        </is>
      </c>
      <c r="B2910" s="1" t="n">
        <v>45673.34099537037</v>
      </c>
      <c r="C2910" s="1" t="n">
        <v>46137</v>
      </c>
      <c r="D2910" t="inlineStr">
        <is>
          <t>VÄSTERNORRLANDS LÄN</t>
        </is>
      </c>
      <c r="E2910" t="inlineStr">
        <is>
          <t>ÖRNSKÖLDSVIK</t>
        </is>
      </c>
      <c r="G2910" t="n">
        <v>5.1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3231-2025</t>
        </is>
      </c>
      <c r="B2911" s="1" t="n">
        <v>45679.4852662037</v>
      </c>
      <c r="C2911" s="1" t="n">
        <v>46137</v>
      </c>
      <c r="D2911" t="inlineStr">
        <is>
          <t>VÄSTERNORRLANDS LÄN</t>
        </is>
      </c>
      <c r="E2911" t="inlineStr">
        <is>
          <t>ÖRNSKÖLDSVIK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441-2024</t>
        </is>
      </c>
      <c r="B2912" s="1" t="n">
        <v>45296.60201388889</v>
      </c>
      <c r="C2912" s="1" t="n">
        <v>46137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52379-2024</t>
        </is>
      </c>
      <c r="B2913" s="1" t="n">
        <v>45609.4071412037</v>
      </c>
      <c r="C2913" s="1" t="n">
        <v>46137</v>
      </c>
      <c r="D2913" t="inlineStr">
        <is>
          <t>VÄSTERNORRLANDS LÄN</t>
        </is>
      </c>
      <c r="E2913" t="inlineStr">
        <is>
          <t>ÖRNSKÖLDSVIK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28827-2023</t>
        </is>
      </c>
      <c r="B2914" s="1" t="n">
        <v>45104</v>
      </c>
      <c r="C2914" s="1" t="n">
        <v>46137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42603-2023</t>
        </is>
      </c>
      <c r="B2915" s="1" t="n">
        <v>45181.4537037037</v>
      </c>
      <c r="C2915" s="1" t="n">
        <v>46137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59222-2022</t>
        </is>
      </c>
      <c r="B2916" s="1" t="n">
        <v>44904</v>
      </c>
      <c r="C2916" s="1" t="n">
        <v>46137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7.4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13815-2023</t>
        </is>
      </c>
      <c r="B2917" s="1" t="n">
        <v>45007.57248842593</v>
      </c>
      <c r="C2917" s="1" t="n">
        <v>46137</v>
      </c>
      <c r="D2917" t="inlineStr">
        <is>
          <t>VÄSTERNORRLANDS LÄN</t>
        </is>
      </c>
      <c r="E2917" t="inlineStr">
        <is>
          <t>ÖRNSKÖLDSVIK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30453-2023</t>
        </is>
      </c>
      <c r="B2918" s="1" t="n">
        <v>45111.57388888889</v>
      </c>
      <c r="C2918" s="1" t="n">
        <v>46137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29184-2023</t>
        </is>
      </c>
      <c r="B2919" s="1" t="n">
        <v>45105.53993055555</v>
      </c>
      <c r="C2919" s="1" t="n">
        <v>46137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29200-2023</t>
        </is>
      </c>
      <c r="B2920" s="1" t="n">
        <v>45105</v>
      </c>
      <c r="C2920" s="1" t="n">
        <v>46137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45565-2024</t>
        </is>
      </c>
      <c r="B2921" s="1" t="n">
        <v>45579</v>
      </c>
      <c r="C2921" s="1" t="n">
        <v>46137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22417-2024</t>
        </is>
      </c>
      <c r="B2922" s="1" t="n">
        <v>45446.69421296296</v>
      </c>
      <c r="C2922" s="1" t="n">
        <v>46137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17219-2022</t>
        </is>
      </c>
      <c r="B2923" s="1" t="n">
        <v>44677</v>
      </c>
      <c r="C2923" s="1" t="n">
        <v>46137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8.6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18933-2026</t>
        </is>
      </c>
      <c r="B2924" s="1" t="n">
        <v>46129</v>
      </c>
      <c r="C2924" s="1" t="n">
        <v>46137</v>
      </c>
      <c r="D2924" t="inlineStr">
        <is>
          <t>VÄSTERNORRLANDS LÄN</t>
        </is>
      </c>
      <c r="E2924" t="inlineStr">
        <is>
          <t>ÖRNSKÖLDSVIK</t>
        </is>
      </c>
      <c r="G2924" t="n">
        <v>23.2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62544-2021</t>
        </is>
      </c>
      <c r="B2925" s="1" t="n">
        <v>44503.6136574074</v>
      </c>
      <c r="C2925" s="1" t="n">
        <v>46137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45826-2024</t>
        </is>
      </c>
      <c r="B2926" s="1" t="n">
        <v>45579.82322916666</v>
      </c>
      <c r="C2926" s="1" t="n">
        <v>46137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19636-2026</t>
        </is>
      </c>
      <c r="B2927" s="1" t="n">
        <v>46134.57337962963</v>
      </c>
      <c r="C2927" s="1" t="n">
        <v>46137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9.9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19657-2026</t>
        </is>
      </c>
      <c r="B2928" s="1" t="n">
        <v>46134.60425925926</v>
      </c>
      <c r="C2928" s="1" t="n">
        <v>46137</v>
      </c>
      <c r="D2928" t="inlineStr">
        <is>
          <t>VÄSTERNORRLANDS LÄN</t>
        </is>
      </c>
      <c r="E2928" t="inlineStr">
        <is>
          <t>ÖRNSKÖLDSVIK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39268-2023</t>
        </is>
      </c>
      <c r="B2929" s="1" t="n">
        <v>45162</v>
      </c>
      <c r="C2929" s="1" t="n">
        <v>46137</v>
      </c>
      <c r="D2929" t="inlineStr">
        <is>
          <t>VÄSTERNORRLANDS LÄN</t>
        </is>
      </c>
      <c r="E2929" t="inlineStr">
        <is>
          <t>ÖRNSKÖLDSVIK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39313-2023</t>
        </is>
      </c>
      <c r="B2930" s="1" t="n">
        <v>45166.58332175926</v>
      </c>
      <c r="C2930" s="1" t="n">
        <v>46137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19655-2026</t>
        </is>
      </c>
      <c r="B2931" s="1" t="n">
        <v>46134.60186342592</v>
      </c>
      <c r="C2931" s="1" t="n">
        <v>46137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19658-2026</t>
        </is>
      </c>
      <c r="B2932" s="1" t="n">
        <v>46134.6054050926</v>
      </c>
      <c r="C2932" s="1" t="n">
        <v>46137</v>
      </c>
      <c r="D2932" t="inlineStr">
        <is>
          <t>VÄSTERNORRLANDS LÄN</t>
        </is>
      </c>
      <c r="E2932" t="inlineStr">
        <is>
          <t>ÖRNSKÖLDSVIK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57604-2024</t>
        </is>
      </c>
      <c r="B2933" s="1" t="n">
        <v>45630.53177083333</v>
      </c>
      <c r="C2933" s="1" t="n">
        <v>46137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SCA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12946-2026</t>
        </is>
      </c>
      <c r="B2934" s="1" t="n">
        <v>46092.62706018519</v>
      </c>
      <c r="C2934" s="1" t="n">
        <v>46137</v>
      </c>
      <c r="D2934" t="inlineStr">
        <is>
          <t>VÄSTERNORRLANDS LÄN</t>
        </is>
      </c>
      <c r="E2934" t="inlineStr">
        <is>
          <t>ÖRNSKÖLDSVIK</t>
        </is>
      </c>
      <c r="G2934" t="n">
        <v>10.6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38867-2024</t>
        </is>
      </c>
      <c r="B2935" s="1" t="n">
        <v>45547.63798611111</v>
      </c>
      <c r="C2935" s="1" t="n">
        <v>46137</v>
      </c>
      <c r="D2935" t="inlineStr">
        <is>
          <t>VÄSTERNORRLANDS LÄN</t>
        </is>
      </c>
      <c r="E2935" t="inlineStr">
        <is>
          <t>ÖRNSKÖLDSVIK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45945-2023</t>
        </is>
      </c>
      <c r="B2936" s="1" t="n">
        <v>45195</v>
      </c>
      <c r="C2936" s="1" t="n">
        <v>46137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25107-2024</t>
        </is>
      </c>
      <c r="B2937" s="1" t="n">
        <v>45462.43282407407</v>
      </c>
      <c r="C2937" s="1" t="n">
        <v>46137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19492-2026</t>
        </is>
      </c>
      <c r="B2938" s="1" t="n">
        <v>46134.31856481481</v>
      </c>
      <c r="C2938" s="1" t="n">
        <v>46137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11393-2026</t>
        </is>
      </c>
      <c r="B2939" s="1" t="n">
        <v>46083</v>
      </c>
      <c r="C2939" s="1" t="n">
        <v>46137</v>
      </c>
      <c r="D2939" t="inlineStr">
        <is>
          <t>VÄSTERNORRLANDS LÄN</t>
        </is>
      </c>
      <c r="E2939" t="inlineStr">
        <is>
          <t>ÖRNSKÖLDSVIK</t>
        </is>
      </c>
      <c r="G2939" t="n">
        <v>59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10153-2025</t>
        </is>
      </c>
      <c r="B2940" s="1" t="n">
        <v>45719.64228009259</v>
      </c>
      <c r="C2940" s="1" t="n">
        <v>46137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13668-2026</t>
        </is>
      </c>
      <c r="B2941" s="1" t="n">
        <v>46094</v>
      </c>
      <c r="C2941" s="1" t="n">
        <v>46137</v>
      </c>
      <c r="D2941" t="inlineStr">
        <is>
          <t>VÄSTERNORRLANDS LÄN</t>
        </is>
      </c>
      <c r="E2941" t="inlineStr">
        <is>
          <t>ÖRNSKÖLDSVIK</t>
        </is>
      </c>
      <c r="G2941" t="n">
        <v>26.6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38745-2024</t>
        </is>
      </c>
      <c r="B2942" s="1" t="n">
        <v>45547.42443287037</v>
      </c>
      <c r="C2942" s="1" t="n">
        <v>46137</v>
      </c>
      <c r="D2942" t="inlineStr">
        <is>
          <t>VÄSTERNORRLANDS LÄN</t>
        </is>
      </c>
      <c r="E2942" t="inlineStr">
        <is>
          <t>ÖRNSKÖLDSVIK</t>
        </is>
      </c>
      <c r="G2942" t="n">
        <v>4.8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26658-2023</t>
        </is>
      </c>
      <c r="B2943" s="1" t="n">
        <v>45092.94011574074</v>
      </c>
      <c r="C2943" s="1" t="n">
        <v>46137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19951-2026</t>
        </is>
      </c>
      <c r="B2944" s="1" t="n">
        <v>46136.39743055555</v>
      </c>
      <c r="C2944" s="1" t="n">
        <v>46137</v>
      </c>
      <c r="D2944" t="inlineStr">
        <is>
          <t>VÄSTERNORRLANDS LÄN</t>
        </is>
      </c>
      <c r="E2944" t="inlineStr">
        <is>
          <t>ÖRNSKÖLDSVIK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34132-2024</t>
        </is>
      </c>
      <c r="B2945" s="1" t="n">
        <v>45524</v>
      </c>
      <c r="C2945" s="1" t="n">
        <v>46137</v>
      </c>
      <c r="D2945" t="inlineStr">
        <is>
          <t>VÄSTERNORRLANDS LÄN</t>
        </is>
      </c>
      <c r="E2945" t="inlineStr">
        <is>
          <t>ÖRNSKÖLDSVIK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13178-2026</t>
        </is>
      </c>
      <c r="B2946" s="1" t="n">
        <v>46093.58555555555</v>
      </c>
      <c r="C2946" s="1" t="n">
        <v>46137</v>
      </c>
      <c r="D2946" t="inlineStr">
        <is>
          <t>VÄSTERNORRLANDS LÄN</t>
        </is>
      </c>
      <c r="E2946" t="inlineStr">
        <is>
          <t>ÖRNSKÖLDSVIK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13400-2026</t>
        </is>
      </c>
      <c r="B2947" s="1" t="n">
        <v>46094.4465162037</v>
      </c>
      <c r="C2947" s="1" t="n">
        <v>46137</v>
      </c>
      <c r="D2947" t="inlineStr">
        <is>
          <t>VÄSTERNORRLANDS LÄN</t>
        </is>
      </c>
      <c r="E2947" t="inlineStr">
        <is>
          <t>ÖRNSKÖLDSVIK</t>
        </is>
      </c>
      <c r="G2947" t="n">
        <v>10.4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18944-2026</t>
        </is>
      </c>
      <c r="B2948" s="1" t="n">
        <v>46129</v>
      </c>
      <c r="C2948" s="1" t="n">
        <v>46137</v>
      </c>
      <c r="D2948" t="inlineStr">
        <is>
          <t>VÄSTERNORRLANDS LÄN</t>
        </is>
      </c>
      <c r="E2948" t="inlineStr">
        <is>
          <t>ÖRNSKÖLDSVIK</t>
        </is>
      </c>
      <c r="G2948" t="n">
        <v>16.9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51783-2024</t>
        </is>
      </c>
      <c r="B2949" s="1" t="n">
        <v>45607.45813657407</v>
      </c>
      <c r="C2949" s="1" t="n">
        <v>46137</v>
      </c>
      <c r="D2949" t="inlineStr">
        <is>
          <t>VÄSTERNORRLANDS LÄN</t>
        </is>
      </c>
      <c r="E2949" t="inlineStr">
        <is>
          <t>ÖRNSKÖLDSVIK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19965-2026</t>
        </is>
      </c>
      <c r="B2950" s="1" t="n">
        <v>46136.42392361111</v>
      </c>
      <c r="C2950" s="1" t="n">
        <v>46137</v>
      </c>
      <c r="D2950" t="inlineStr">
        <is>
          <t>VÄSTERNORRLANDS LÄN</t>
        </is>
      </c>
      <c r="E2950" t="inlineStr">
        <is>
          <t>ÖRNSKÖLDSVIK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19105-2026</t>
        </is>
      </c>
      <c r="B2951" s="1" t="n">
        <v>46132.44585648148</v>
      </c>
      <c r="C2951" s="1" t="n">
        <v>46137</v>
      </c>
      <c r="D2951" t="inlineStr">
        <is>
          <t>VÄSTERNORRLANDS LÄN</t>
        </is>
      </c>
      <c r="E2951" t="inlineStr">
        <is>
          <t>ÖRNSKÖLDSVIK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49831-2024</t>
        </is>
      </c>
      <c r="B2952" s="1" t="n">
        <v>45597.42854166667</v>
      </c>
      <c r="C2952" s="1" t="n">
        <v>46137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8664-2025</t>
        </is>
      </c>
      <c r="B2953" s="1" t="n">
        <v>45712.40648148148</v>
      </c>
      <c r="C2953" s="1" t="n">
        <v>46137</v>
      </c>
      <c r="D2953" t="inlineStr">
        <is>
          <t>VÄSTERNORRLANDS LÄN</t>
        </is>
      </c>
      <c r="E2953" t="inlineStr">
        <is>
          <t>ÖRNSKÖLDSVIK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13183-2026</t>
        </is>
      </c>
      <c r="B2954" s="1" t="n">
        <v>46093.59131944444</v>
      </c>
      <c r="C2954" s="1" t="n">
        <v>46137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24487-2023</t>
        </is>
      </c>
      <c r="B2955" s="1" t="n">
        <v>45082.61065972222</v>
      </c>
      <c r="C2955" s="1" t="n">
        <v>46137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13787-2022</t>
        </is>
      </c>
      <c r="B2956" s="1" t="n">
        <v>44649</v>
      </c>
      <c r="C2956" s="1" t="n">
        <v>46137</v>
      </c>
      <c r="D2956" t="inlineStr">
        <is>
          <t>VÄSTERNORRLANDS LÄN</t>
        </is>
      </c>
      <c r="E2956" t="inlineStr">
        <is>
          <t>ÖRNSKÖLDSVIK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36070-2021</t>
        </is>
      </c>
      <c r="B2957" s="1" t="n">
        <v>44386</v>
      </c>
      <c r="C2957" s="1" t="n">
        <v>46137</v>
      </c>
      <c r="D2957" t="inlineStr">
        <is>
          <t>VÄSTERNORRLANDS LÄN</t>
        </is>
      </c>
      <c r="E2957" t="inlineStr">
        <is>
          <t>ÖRNSKÖLDSVIK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25921-2021</t>
        </is>
      </c>
      <c r="B2958" s="1" t="n">
        <v>44344.44788194444</v>
      </c>
      <c r="C2958" s="1" t="n">
        <v>46137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10794-2025</t>
        </is>
      </c>
      <c r="B2959" s="1" t="n">
        <v>45722</v>
      </c>
      <c r="C2959" s="1" t="n">
        <v>46137</v>
      </c>
      <c r="D2959" t="inlineStr">
        <is>
          <t>VÄSTERNORRLANDS LÄN</t>
        </is>
      </c>
      <c r="E2959" t="inlineStr">
        <is>
          <t>ÖRNSKÖLDSVIK</t>
        </is>
      </c>
      <c r="G2959" t="n">
        <v>14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19869-2026</t>
        </is>
      </c>
      <c r="B2960" s="1" t="n">
        <v>46134</v>
      </c>
      <c r="C2960" s="1" t="n">
        <v>46137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20063-2026</t>
        </is>
      </c>
      <c r="B2961" s="1" t="n">
        <v>46136.58952546296</v>
      </c>
      <c r="C2961" s="1" t="n">
        <v>46137</v>
      </c>
      <c r="D2961" t="inlineStr">
        <is>
          <t>VÄSTERNORRLANDS LÄN</t>
        </is>
      </c>
      <c r="E2961" t="inlineStr">
        <is>
          <t>ÖRNSKÖLDSVIK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27509-2022</t>
        </is>
      </c>
      <c r="B2962" s="1" t="n">
        <v>44742</v>
      </c>
      <c r="C2962" s="1" t="n">
        <v>46137</v>
      </c>
      <c r="D2962" t="inlineStr">
        <is>
          <t>VÄSTERNORRLANDS LÄN</t>
        </is>
      </c>
      <c r="E2962" t="inlineStr">
        <is>
          <t>ÖRNSKÖLDSVIK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27522-2022</t>
        </is>
      </c>
      <c r="B2963" s="1" t="n">
        <v>44742</v>
      </c>
      <c r="C2963" s="1" t="n">
        <v>46137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863-2024</t>
        </is>
      </c>
      <c r="B2964" s="1" t="n">
        <v>45301.28461805556</v>
      </c>
      <c r="C2964" s="1" t="n">
        <v>46137</v>
      </c>
      <c r="D2964" t="inlineStr">
        <is>
          <t>VÄSTERNORRLANDS LÄN</t>
        </is>
      </c>
      <c r="E2964" t="inlineStr">
        <is>
          <t>ÖRNSKÖLDSVIK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31693-2024</t>
        </is>
      </c>
      <c r="B2965" s="1" t="n">
        <v>45507.95694444444</v>
      </c>
      <c r="C2965" s="1" t="n">
        <v>46137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8.9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48304-2024</t>
        </is>
      </c>
      <c r="B2966" s="1" t="n">
        <v>45590.47163194444</v>
      </c>
      <c r="C2966" s="1" t="n">
        <v>46137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6907-2025</t>
        </is>
      </c>
      <c r="B2967" s="1" t="n">
        <v>45701.42153935185</v>
      </c>
      <c r="C2967" s="1" t="n">
        <v>46137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61324-2023</t>
        </is>
      </c>
      <c r="B2968" s="1" t="n">
        <v>45261</v>
      </c>
      <c r="C2968" s="1" t="n">
        <v>46137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10480-2025</t>
        </is>
      </c>
      <c r="B2969" s="1" t="n">
        <v>45721.32282407407</v>
      </c>
      <c r="C2969" s="1" t="n">
        <v>46137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31256-2023</t>
        </is>
      </c>
      <c r="B2970" s="1" t="n">
        <v>45114</v>
      </c>
      <c r="C2970" s="1" t="n">
        <v>46137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24994-2023</t>
        </is>
      </c>
      <c r="B2971" s="1" t="n">
        <v>45085.64601851852</v>
      </c>
      <c r="C2971" s="1" t="n">
        <v>46137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57469-2023</t>
        </is>
      </c>
      <c r="B2972" s="1" t="n">
        <v>45240</v>
      </c>
      <c r="C2972" s="1" t="n">
        <v>46137</v>
      </c>
      <c r="D2972" t="inlineStr">
        <is>
          <t>VÄSTERNORRLANDS LÄN</t>
        </is>
      </c>
      <c r="E2972" t="inlineStr">
        <is>
          <t>ÖRNSKÖLDSVIK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57480-2023</t>
        </is>
      </c>
      <c r="B2973" s="1" t="n">
        <v>45240</v>
      </c>
      <c r="C2973" s="1" t="n">
        <v>46137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35379-2023</t>
        </is>
      </c>
      <c r="B2974" s="1" t="n">
        <v>45145</v>
      </c>
      <c r="C2974" s="1" t="n">
        <v>46137</v>
      </c>
      <c r="D2974" t="inlineStr">
        <is>
          <t>VÄSTERNORRLANDS LÄN</t>
        </is>
      </c>
      <c r="E2974" t="inlineStr">
        <is>
          <t>ÖRNSKÖLDSVIK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59040-2024</t>
        </is>
      </c>
      <c r="B2975" s="1" t="n">
        <v>45636.71914351852</v>
      </c>
      <c r="C2975" s="1" t="n">
        <v>46137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47582-2023</t>
        </is>
      </c>
      <c r="B2976" s="1" t="n">
        <v>45197</v>
      </c>
      <c r="C2976" s="1" t="n">
        <v>46137</v>
      </c>
      <c r="D2976" t="inlineStr">
        <is>
          <t>VÄSTERNORRLANDS LÄN</t>
        </is>
      </c>
      <c r="E2976" t="inlineStr">
        <is>
          <t>ÖRNSKÖLDSVIK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34800-2024</t>
        </is>
      </c>
      <c r="B2977" s="1" t="n">
        <v>45526.68189814815</v>
      </c>
      <c r="C2977" s="1" t="n">
        <v>46137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31464-2023</t>
        </is>
      </c>
      <c r="B2978" s="1" t="n">
        <v>45104</v>
      </c>
      <c r="C2978" s="1" t="n">
        <v>46137</v>
      </c>
      <c r="D2978" t="inlineStr">
        <is>
          <t>VÄSTERNORRLANDS LÄN</t>
        </is>
      </c>
      <c r="E2978" t="inlineStr">
        <is>
          <t>ÖRNSKÖLDSVIK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44345-2024</t>
        </is>
      </c>
      <c r="B2979" s="1" t="n">
        <v>45573.62283564815</v>
      </c>
      <c r="C2979" s="1" t="n">
        <v>46137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46204-2024</t>
        </is>
      </c>
      <c r="B2980" s="1" t="n">
        <v>45581.53958333333</v>
      </c>
      <c r="C2980" s="1" t="n">
        <v>46137</v>
      </c>
      <c r="D2980" t="inlineStr">
        <is>
          <t>VÄSTERNORRLANDS LÄN</t>
        </is>
      </c>
      <c r="E2980" t="inlineStr">
        <is>
          <t>ÖRNSKÖLDSVIK</t>
        </is>
      </c>
      <c r="G2980" t="n">
        <v>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50217-2022</t>
        </is>
      </c>
      <c r="B2981" s="1" t="n">
        <v>44865</v>
      </c>
      <c r="C2981" s="1" t="n">
        <v>46137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39550-2024</t>
        </is>
      </c>
      <c r="B2982" s="1" t="n">
        <v>45552.32645833334</v>
      </c>
      <c r="C2982" s="1" t="n">
        <v>46137</v>
      </c>
      <c r="D2982" t="inlineStr">
        <is>
          <t>VÄSTERNORRLANDS LÄN</t>
        </is>
      </c>
      <c r="E2982" t="inlineStr">
        <is>
          <t>ÖRNSKÖLDSVIK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42366-2022</t>
        </is>
      </c>
      <c r="B2983" s="1" t="n">
        <v>44831.38560185185</v>
      </c>
      <c r="C2983" s="1" t="n">
        <v>46137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37920-2023</t>
        </is>
      </c>
      <c r="B2984" s="1" t="n">
        <v>45160</v>
      </c>
      <c r="C2984" s="1" t="n">
        <v>46137</v>
      </c>
      <c r="D2984" t="inlineStr">
        <is>
          <t>VÄSTERNORRLANDS LÄN</t>
        </is>
      </c>
      <c r="E2984" t="inlineStr">
        <is>
          <t>ÖRNSKÖLDSVIK</t>
        </is>
      </c>
      <c r="G2984" t="n">
        <v>6.8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13549-2023</t>
        </is>
      </c>
      <c r="B2985" s="1" t="n">
        <v>45006.45888888889</v>
      </c>
      <c r="C2985" s="1" t="n">
        <v>46137</v>
      </c>
      <c r="D2985" t="inlineStr">
        <is>
          <t>VÄSTERNORRLANDS LÄN</t>
        </is>
      </c>
      <c r="E2985" t="inlineStr">
        <is>
          <t>ÖRNSKÖLDSVIK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48605-2024</t>
        </is>
      </c>
      <c r="B2986" s="1" t="n">
        <v>45593.4483912037</v>
      </c>
      <c r="C2986" s="1" t="n">
        <v>46137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60324-2023</t>
        </is>
      </c>
      <c r="B2987" s="1" t="n">
        <v>45258</v>
      </c>
      <c r="C2987" s="1" t="n">
        <v>46137</v>
      </c>
      <c r="D2987" t="inlineStr">
        <is>
          <t>VÄSTERNORRLANDS LÄN</t>
        </is>
      </c>
      <c r="E2987" t="inlineStr">
        <is>
          <t>ÖRNSKÖLDSVIK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26378-2024</t>
        </is>
      </c>
      <c r="B2988" s="1" t="n">
        <v>45469.41646990741</v>
      </c>
      <c r="C2988" s="1" t="n">
        <v>46137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35416-2022</t>
        </is>
      </c>
      <c r="B2989" s="1" t="n">
        <v>44798</v>
      </c>
      <c r="C2989" s="1" t="n">
        <v>46137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69296-2021</t>
        </is>
      </c>
      <c r="B2990" s="1" t="n">
        <v>44531.45909722222</v>
      </c>
      <c r="C2990" s="1" t="n">
        <v>46137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41435-2024</t>
        </is>
      </c>
      <c r="B2991" s="1" t="n">
        <v>45560</v>
      </c>
      <c r="C2991" s="1" t="n">
        <v>46137</v>
      </c>
      <c r="D2991" t="inlineStr">
        <is>
          <t>VÄSTERNORRLANDS LÄN</t>
        </is>
      </c>
      <c r="E2991" t="inlineStr">
        <is>
          <t>ÖRNSKÖLDSVIK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41520-2024</t>
        </is>
      </c>
      <c r="B2992" s="1" t="n">
        <v>45560.47858796296</v>
      </c>
      <c r="C2992" s="1" t="n">
        <v>46137</v>
      </c>
      <c r="D2992" t="inlineStr">
        <is>
          <t>VÄSTERNORRLANDS LÄN</t>
        </is>
      </c>
      <c r="E2992" t="inlineStr">
        <is>
          <t>ÖRNSKÖLDSVIK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26052-2024</t>
        </is>
      </c>
      <c r="B2993" s="1" t="n">
        <v>45468.34039351852</v>
      </c>
      <c r="C2993" s="1" t="n">
        <v>46137</v>
      </c>
      <c r="D2993" t="inlineStr">
        <is>
          <t>VÄSTERNORRLANDS LÄN</t>
        </is>
      </c>
      <c r="E2993" t="inlineStr">
        <is>
          <t>ÖRNSKÖLDSVIK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26059-2024</t>
        </is>
      </c>
      <c r="B2994" s="1" t="n">
        <v>45468.34836805556</v>
      </c>
      <c r="C2994" s="1" t="n">
        <v>46137</v>
      </c>
      <c r="D2994" t="inlineStr">
        <is>
          <t>VÄSTERNORRLANDS LÄN</t>
        </is>
      </c>
      <c r="E2994" t="inlineStr">
        <is>
          <t>ÖRNSKÖLDSVIK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8053-2024</t>
        </is>
      </c>
      <c r="B2995" s="1" t="n">
        <v>45351.35907407408</v>
      </c>
      <c r="C2995" s="1" t="n">
        <v>46137</v>
      </c>
      <c r="D2995" t="inlineStr">
        <is>
          <t>VÄSTERNORRLANDS LÄN</t>
        </is>
      </c>
      <c r="E2995" t="inlineStr">
        <is>
          <t>ÖRNSKÖLDSVIK</t>
        </is>
      </c>
      <c r="G2995" t="n">
        <v>6.2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21533-2024</t>
        </is>
      </c>
      <c r="B2996" s="1" t="n">
        <v>45441</v>
      </c>
      <c r="C2996" s="1" t="n">
        <v>46137</v>
      </c>
      <c r="D2996" t="inlineStr">
        <is>
          <t>VÄSTERNORRLANDS LÄN</t>
        </is>
      </c>
      <c r="E2996" t="inlineStr">
        <is>
          <t>ÖRNSKÖLDSVIK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58055-2023</t>
        </is>
      </c>
      <c r="B2997" s="1" t="n">
        <v>45247</v>
      </c>
      <c r="C2997" s="1" t="n">
        <v>46137</v>
      </c>
      <c r="D2997" t="inlineStr">
        <is>
          <t>VÄSTERNORRLANDS LÄN</t>
        </is>
      </c>
      <c r="E2997" t="inlineStr">
        <is>
          <t>ÖRNSKÖLDSVIK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15606-2024</t>
        </is>
      </c>
      <c r="B2998" s="1" t="n">
        <v>45401.9252662037</v>
      </c>
      <c r="C2998" s="1" t="n">
        <v>46137</v>
      </c>
      <c r="D2998" t="inlineStr">
        <is>
          <t>VÄSTERNORRLANDS LÄN</t>
        </is>
      </c>
      <c r="E2998" t="inlineStr">
        <is>
          <t>ÖRNSKÖLDSVIK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14117-2024</t>
        </is>
      </c>
      <c r="B2999" s="1" t="n">
        <v>45392</v>
      </c>
      <c r="C2999" s="1" t="n">
        <v>46137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14124-2024</t>
        </is>
      </c>
      <c r="B3000" s="1" t="n">
        <v>45392</v>
      </c>
      <c r="C3000" s="1" t="n">
        <v>46137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56979-2024</t>
        </is>
      </c>
      <c r="B3001" s="1" t="n">
        <v>45628.68003472222</v>
      </c>
      <c r="C3001" s="1" t="n">
        <v>46137</v>
      </c>
      <c r="D3001" t="inlineStr">
        <is>
          <t>VÄSTERNORRLANDS LÄN</t>
        </is>
      </c>
      <c r="E3001" t="inlineStr">
        <is>
          <t>ÖRNSKÖLDSVIK</t>
        </is>
      </c>
      <c r="G3001" t="n">
        <v>11.6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53371-2023</t>
        </is>
      </c>
      <c r="B3002" s="1" t="n">
        <v>45229</v>
      </c>
      <c r="C3002" s="1" t="n">
        <v>46137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60462-2022</t>
        </is>
      </c>
      <c r="B3003" s="1" t="n">
        <v>44904</v>
      </c>
      <c r="C3003" s="1" t="n">
        <v>46137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Kyrkan</t>
        </is>
      </c>
      <c r="G3003" t="n">
        <v>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61085-2022</t>
        </is>
      </c>
      <c r="B3004" s="1" t="n">
        <v>44915.39061342592</v>
      </c>
      <c r="C3004" s="1" t="n">
        <v>46137</v>
      </c>
      <c r="D3004" t="inlineStr">
        <is>
          <t>VÄSTERNORRLANDS LÄN</t>
        </is>
      </c>
      <c r="E3004" t="inlineStr">
        <is>
          <t>ÖRNSKÖLDSVIK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61090-2022</t>
        </is>
      </c>
      <c r="B3005" s="1" t="n">
        <v>44915.39385416666</v>
      </c>
      <c r="C3005" s="1" t="n">
        <v>46137</v>
      </c>
      <c r="D3005" t="inlineStr">
        <is>
          <t>VÄSTERNORRLANDS LÄN</t>
        </is>
      </c>
      <c r="E3005" t="inlineStr">
        <is>
          <t>ÖRNSKÖLDSVIK</t>
        </is>
      </c>
      <c r="G3005" t="n">
        <v>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7474-2024</t>
        </is>
      </c>
      <c r="B3006" s="1" t="n">
        <v>45345.9500462963</v>
      </c>
      <c r="C3006" s="1" t="n">
        <v>46137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SCA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25926-2024</t>
        </is>
      </c>
      <c r="B3007" s="1" t="n">
        <v>45467.6140162037</v>
      </c>
      <c r="C3007" s="1" t="n">
        <v>46137</v>
      </c>
      <c r="D3007" t="inlineStr">
        <is>
          <t>VÄSTERNORRLANDS LÄN</t>
        </is>
      </c>
      <c r="E3007" t="inlineStr">
        <is>
          <t>ÖRNSKÖLDSVIK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19977-2023</t>
        </is>
      </c>
      <c r="B3008" s="1" t="n">
        <v>45054.58861111111</v>
      </c>
      <c r="C3008" s="1" t="n">
        <v>46137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32850-2022</t>
        </is>
      </c>
      <c r="B3009" s="1" t="n">
        <v>44784</v>
      </c>
      <c r="C3009" s="1" t="n">
        <v>46137</v>
      </c>
      <c r="D3009" t="inlineStr">
        <is>
          <t>VÄSTERNORRLANDS LÄN</t>
        </is>
      </c>
      <c r="E3009" t="inlineStr">
        <is>
          <t>ÖRNSKÖLDSVIK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59771-2024</t>
        </is>
      </c>
      <c r="B3010" s="1" t="n">
        <v>45638</v>
      </c>
      <c r="C3010" s="1" t="n">
        <v>46137</v>
      </c>
      <c r="D3010" t="inlineStr">
        <is>
          <t>VÄSTERNORRLANDS LÄN</t>
        </is>
      </c>
      <c r="E3010" t="inlineStr">
        <is>
          <t>ÖRNSKÖLDSVIK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21234-2023</t>
        </is>
      </c>
      <c r="B3011" s="1" t="n">
        <v>45058</v>
      </c>
      <c r="C3011" s="1" t="n">
        <v>46137</v>
      </c>
      <c r="D3011" t="inlineStr">
        <is>
          <t>VÄSTERNORRLANDS LÄN</t>
        </is>
      </c>
      <c r="E3011" t="inlineStr">
        <is>
          <t>ÖRNSKÖLDSVIK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23471-2023</t>
        </is>
      </c>
      <c r="B3012" s="1" t="n">
        <v>45076</v>
      </c>
      <c r="C3012" s="1" t="n">
        <v>46137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50362-2023</t>
        </is>
      </c>
      <c r="B3013" s="1" t="n">
        <v>45209</v>
      </c>
      <c r="C3013" s="1" t="n">
        <v>46137</v>
      </c>
      <c r="D3013" t="inlineStr">
        <is>
          <t>VÄSTERNORRLANDS LÄN</t>
        </is>
      </c>
      <c r="E3013" t="inlineStr">
        <is>
          <t>ÖRNSKÖLDSVIK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20551-2024</t>
        </is>
      </c>
      <c r="B3014" s="1" t="n">
        <v>45436.35076388889</v>
      </c>
      <c r="C3014" s="1" t="n">
        <v>46137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43373-2024</t>
        </is>
      </c>
      <c r="B3015" s="1" t="n">
        <v>45568.58913194444</v>
      </c>
      <c r="C3015" s="1" t="n">
        <v>46137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34904-2022</t>
        </is>
      </c>
      <c r="B3016" s="1" t="n">
        <v>44796</v>
      </c>
      <c r="C3016" s="1" t="n">
        <v>46137</v>
      </c>
      <c r="D3016" t="inlineStr">
        <is>
          <t>VÄSTERNORRLANDS LÄN</t>
        </is>
      </c>
      <c r="E3016" t="inlineStr">
        <is>
          <t>ÖRNSKÖLDSVIK</t>
        </is>
      </c>
      <c r="G3016" t="n">
        <v>9.699999999999999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28467-2023</t>
        </is>
      </c>
      <c r="B3017" s="1" t="n">
        <v>45103</v>
      </c>
      <c r="C3017" s="1" t="n">
        <v>46137</v>
      </c>
      <c r="D3017" t="inlineStr">
        <is>
          <t>VÄSTERNORRLANDS LÄN</t>
        </is>
      </c>
      <c r="E3017" t="inlineStr">
        <is>
          <t>ÖRNSKÖLDSVIK</t>
        </is>
      </c>
      <c r="G3017" t="n">
        <v>8.1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9052-2025</t>
        </is>
      </c>
      <c r="B3018" s="1" t="n">
        <v>45713.63570601852</v>
      </c>
      <c r="C3018" s="1" t="n">
        <v>46137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23094-2024</t>
        </is>
      </c>
      <c r="B3019" s="1" t="n">
        <v>45450.5243287037</v>
      </c>
      <c r="C3019" s="1" t="n">
        <v>46137</v>
      </c>
      <c r="D3019" t="inlineStr">
        <is>
          <t>VÄSTERNORRLANDS LÄN</t>
        </is>
      </c>
      <c r="E3019" t="inlineStr">
        <is>
          <t>ÖRNSKÖLDSVIK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23097-2024</t>
        </is>
      </c>
      <c r="B3020" s="1" t="n">
        <v>45450.52642361111</v>
      </c>
      <c r="C3020" s="1" t="n">
        <v>46137</v>
      </c>
      <c r="D3020" t="inlineStr">
        <is>
          <t>VÄSTERNORRLANDS LÄN</t>
        </is>
      </c>
      <c r="E3020" t="inlineStr">
        <is>
          <t>ÖRNSKÖLDSVIK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18199-2023</t>
        </is>
      </c>
      <c r="B3021" s="1" t="n">
        <v>45041</v>
      </c>
      <c r="C3021" s="1" t="n">
        <v>46137</v>
      </c>
      <c r="D3021" t="inlineStr">
        <is>
          <t>VÄSTERNORRLANDS LÄN</t>
        </is>
      </c>
      <c r="E3021" t="inlineStr">
        <is>
          <t>ÖRNSKÖLDSVIK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10296-2023</t>
        </is>
      </c>
      <c r="B3022" s="1" t="n">
        <v>44986</v>
      </c>
      <c r="C3022" s="1" t="n">
        <v>46137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9.4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25068-2024</t>
        </is>
      </c>
      <c r="B3023" s="1" t="n">
        <v>45462.36707175926</v>
      </c>
      <c r="C3023" s="1" t="n">
        <v>46137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53806-2023</t>
        </is>
      </c>
      <c r="B3024" s="1" t="n">
        <v>45231</v>
      </c>
      <c r="C3024" s="1" t="n">
        <v>46137</v>
      </c>
      <c r="D3024" t="inlineStr">
        <is>
          <t>VÄSTERNORRLANDS LÄN</t>
        </is>
      </c>
      <c r="E3024" t="inlineStr">
        <is>
          <t>ÖRNSKÖLDSVIK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27084-2024</t>
        </is>
      </c>
      <c r="B3025" s="1" t="n">
        <v>45471</v>
      </c>
      <c r="C3025" s="1" t="n">
        <v>46137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16336-2024</t>
        </is>
      </c>
      <c r="B3026" s="1" t="n">
        <v>45407.55550925926</v>
      </c>
      <c r="C3026" s="1" t="n">
        <v>46137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7382-2025</t>
        </is>
      </c>
      <c r="B3027" s="1" t="n">
        <v>45705.32261574074</v>
      </c>
      <c r="C3027" s="1" t="n">
        <v>46137</v>
      </c>
      <c r="D3027" t="inlineStr">
        <is>
          <t>VÄSTERNORRLANDS LÄN</t>
        </is>
      </c>
      <c r="E3027" t="inlineStr">
        <is>
          <t>ÖRNSKÖLDSVIK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58342-2024</t>
        </is>
      </c>
      <c r="B3028" s="1" t="n">
        <v>45632</v>
      </c>
      <c r="C3028" s="1" t="n">
        <v>46137</v>
      </c>
      <c r="D3028" t="inlineStr">
        <is>
          <t>VÄSTERNORRLANDS LÄN</t>
        </is>
      </c>
      <c r="E3028" t="inlineStr">
        <is>
          <t>ÖRNSKÖLDSVIK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28281-2024</t>
        </is>
      </c>
      <c r="B3029" s="1" t="n">
        <v>45477.46048611111</v>
      </c>
      <c r="C3029" s="1" t="n">
        <v>46137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18417-2023</t>
        </is>
      </c>
      <c r="B3030" s="1" t="n">
        <v>45042</v>
      </c>
      <c r="C3030" s="1" t="n">
        <v>46137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11468-2024</t>
        </is>
      </c>
      <c r="B3031" s="1" t="n">
        <v>45372.59917824074</v>
      </c>
      <c r="C3031" s="1" t="n">
        <v>46137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327-2024</t>
        </is>
      </c>
      <c r="B3032" s="1" t="n">
        <v>45295</v>
      </c>
      <c r="C3032" s="1" t="n">
        <v>46137</v>
      </c>
      <c r="D3032" t="inlineStr">
        <is>
          <t>VÄSTERNORRLANDS LÄN</t>
        </is>
      </c>
      <c r="E3032" t="inlineStr">
        <is>
          <t>ÖRNSKÖLDSVIK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36323-2023</t>
        </is>
      </c>
      <c r="B3033" s="1" t="n">
        <v>45152</v>
      </c>
      <c r="C3033" s="1" t="n">
        <v>46137</v>
      </c>
      <c r="D3033" t="inlineStr">
        <is>
          <t>VÄSTERNORRLANDS LÄN</t>
        </is>
      </c>
      <c r="E3033" t="inlineStr">
        <is>
          <t>ÖRNSKÖLDSVIK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36326-2023</t>
        </is>
      </c>
      <c r="B3034" s="1" t="n">
        <v>45152</v>
      </c>
      <c r="C3034" s="1" t="n">
        <v>46137</v>
      </c>
      <c r="D3034" t="inlineStr">
        <is>
          <t>VÄSTERNORRLANDS LÄN</t>
        </is>
      </c>
      <c r="E3034" t="inlineStr">
        <is>
          <t>ÖRNSKÖLDSVIK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50975-2024</t>
        </is>
      </c>
      <c r="B3035" s="1" t="n">
        <v>45603</v>
      </c>
      <c r="C3035" s="1" t="n">
        <v>46137</v>
      </c>
      <c r="D3035" t="inlineStr">
        <is>
          <t>VÄSTERNORRLANDS LÄN</t>
        </is>
      </c>
      <c r="E3035" t="inlineStr">
        <is>
          <t>ÖRNSKÖLDSVIK</t>
        </is>
      </c>
      <c r="G3035" t="n">
        <v>15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3966-2023</t>
        </is>
      </c>
      <c r="B3036" s="1" t="n">
        <v>44952</v>
      </c>
      <c r="C3036" s="1" t="n">
        <v>46137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4575-2024</t>
        </is>
      </c>
      <c r="B3037" s="1" t="n">
        <v>45327</v>
      </c>
      <c r="C3037" s="1" t="n">
        <v>46137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51272-2023</t>
        </is>
      </c>
      <c r="B3038" s="1" t="n">
        <v>45219.51002314815</v>
      </c>
      <c r="C3038" s="1" t="n">
        <v>46137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6.9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32592-2024</t>
        </is>
      </c>
      <c r="B3039" s="1" t="n">
        <v>45513.59996527778</v>
      </c>
      <c r="C3039" s="1" t="n">
        <v>46137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55165-2023</t>
        </is>
      </c>
      <c r="B3040" s="1" t="n">
        <v>45237</v>
      </c>
      <c r="C3040" s="1" t="n">
        <v>46137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10369-2023</t>
        </is>
      </c>
      <c r="B3041" s="1" t="n">
        <v>44980</v>
      </c>
      <c r="C3041" s="1" t="n">
        <v>46137</v>
      </c>
      <c r="D3041" t="inlineStr">
        <is>
          <t>VÄSTERNORRLANDS LÄN</t>
        </is>
      </c>
      <c r="E3041" t="inlineStr">
        <is>
          <t>ÖRNSKÖLDSVIK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41174-2023</t>
        </is>
      </c>
      <c r="B3042" s="1" t="n">
        <v>45174</v>
      </c>
      <c r="C3042" s="1" t="n">
        <v>46137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46911-2021</t>
        </is>
      </c>
      <c r="B3043" s="1" t="n">
        <v>44446</v>
      </c>
      <c r="C3043" s="1" t="n">
        <v>46137</v>
      </c>
      <c r="D3043" t="inlineStr">
        <is>
          <t>VÄSTERNORRLANDS LÄN</t>
        </is>
      </c>
      <c r="E3043" t="inlineStr">
        <is>
          <t>ÖRNSKÖLDSVIK</t>
        </is>
      </c>
      <c r="G3043" t="n">
        <v>14.9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39920-2023</t>
        </is>
      </c>
      <c r="B3044" s="1" t="n">
        <v>45168.47075231482</v>
      </c>
      <c r="C3044" s="1" t="n">
        <v>46137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20529-2024</t>
        </is>
      </c>
      <c r="B3045" s="1" t="n">
        <v>45435</v>
      </c>
      <c r="C3045" s="1" t="n">
        <v>46137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250-2024</t>
        </is>
      </c>
      <c r="B3046" s="1" t="n">
        <v>45294</v>
      </c>
      <c r="C3046" s="1" t="n">
        <v>46137</v>
      </c>
      <c r="D3046" t="inlineStr">
        <is>
          <t>VÄSTERNORRLANDS LÄN</t>
        </is>
      </c>
      <c r="E3046" t="inlineStr">
        <is>
          <t>ÖRNSKÖLDSVIK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35602-2023</t>
        </is>
      </c>
      <c r="B3047" s="1" t="n">
        <v>45147.5024537037</v>
      </c>
      <c r="C3047" s="1" t="n">
        <v>46137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35624-2023</t>
        </is>
      </c>
      <c r="B3048" s="1" t="n">
        <v>45147.54612268518</v>
      </c>
      <c r="C3048" s="1" t="n">
        <v>46137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34674-2024</t>
        </is>
      </c>
      <c r="B3049" s="1" t="n">
        <v>45526</v>
      </c>
      <c r="C3049" s="1" t="n">
        <v>46137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683-2024</t>
        </is>
      </c>
      <c r="B3050" s="1" t="n">
        <v>45300</v>
      </c>
      <c r="C3050" s="1" t="n">
        <v>46137</v>
      </c>
      <c r="D3050" t="inlineStr">
        <is>
          <t>VÄSTERNORRLANDS LÄN</t>
        </is>
      </c>
      <c r="E3050" t="inlineStr">
        <is>
          <t>ÖRNSKÖLDSVIK</t>
        </is>
      </c>
      <c r="G3050" t="n">
        <v>4.4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30381-2023</t>
        </is>
      </c>
      <c r="B3051" s="1" t="n">
        <v>45111</v>
      </c>
      <c r="C3051" s="1" t="n">
        <v>46137</v>
      </c>
      <c r="D3051" t="inlineStr">
        <is>
          <t>VÄSTERNORRLANDS LÄN</t>
        </is>
      </c>
      <c r="E3051" t="inlineStr">
        <is>
          <t>ÖRNSKÖLDSVIK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48010-2023</t>
        </is>
      </c>
      <c r="B3052" s="1" t="n">
        <v>45204</v>
      </c>
      <c r="C3052" s="1" t="n">
        <v>46137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46008-2024</t>
        </is>
      </c>
      <c r="B3053" s="1" t="n">
        <v>45580.66515046296</v>
      </c>
      <c r="C3053" s="1" t="n">
        <v>46137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46010-2024</t>
        </is>
      </c>
      <c r="B3054" s="1" t="n">
        <v>45580.67363425926</v>
      </c>
      <c r="C3054" s="1" t="n">
        <v>46137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60720-2024</t>
        </is>
      </c>
      <c r="B3055" s="1" t="n">
        <v>45638</v>
      </c>
      <c r="C3055" s="1" t="n">
        <v>46137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56485-2022</t>
        </is>
      </c>
      <c r="B3056" s="1" t="n">
        <v>44887</v>
      </c>
      <c r="C3056" s="1" t="n">
        <v>46137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436-2024</t>
        </is>
      </c>
      <c r="B3057" s="1" t="n">
        <v>45296.59412037037</v>
      </c>
      <c r="C3057" s="1" t="n">
        <v>46137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61120-2024</t>
        </is>
      </c>
      <c r="B3058" s="1" t="n">
        <v>45645.57042824074</v>
      </c>
      <c r="C3058" s="1" t="n">
        <v>46137</v>
      </c>
      <c r="D3058" t="inlineStr">
        <is>
          <t>VÄSTERNORRLANDS LÄN</t>
        </is>
      </c>
      <c r="E3058" t="inlineStr">
        <is>
          <t>ÖRNSKÖLDSVIK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61146-2024</t>
        </is>
      </c>
      <c r="B3059" s="1" t="n">
        <v>45645.58689814815</v>
      </c>
      <c r="C3059" s="1" t="n">
        <v>46137</v>
      </c>
      <c r="D3059" t="inlineStr">
        <is>
          <t>VÄSTERNORRLANDS LÄN</t>
        </is>
      </c>
      <c r="E3059" t="inlineStr">
        <is>
          <t>ÖRNSKÖLDSVIK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61147-2024</t>
        </is>
      </c>
      <c r="B3060" s="1" t="n">
        <v>45645.5871412037</v>
      </c>
      <c r="C3060" s="1" t="n">
        <v>46137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68866-2021</t>
        </is>
      </c>
      <c r="B3061" s="1" t="n">
        <v>44529</v>
      </c>
      <c r="C3061" s="1" t="n">
        <v>46137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8266-2025</t>
        </is>
      </c>
      <c r="B3062" s="1" t="n">
        <v>45708</v>
      </c>
      <c r="C3062" s="1" t="n">
        <v>46137</v>
      </c>
      <c r="D3062" t="inlineStr">
        <is>
          <t>VÄSTERNORRLANDS LÄN</t>
        </is>
      </c>
      <c r="E3062" t="inlineStr">
        <is>
          <t>ÖRNSKÖLDSVIK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47982-2024</t>
        </is>
      </c>
      <c r="B3063" s="1" t="n">
        <v>45589.41234953704</v>
      </c>
      <c r="C3063" s="1" t="n">
        <v>46137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20286-2024</t>
        </is>
      </c>
      <c r="B3064" s="1" t="n">
        <v>45435.22626157408</v>
      </c>
      <c r="C3064" s="1" t="n">
        <v>46137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20322-2024</t>
        </is>
      </c>
      <c r="B3065" s="1" t="n">
        <v>45435.3975462963</v>
      </c>
      <c r="C3065" s="1" t="n">
        <v>46137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33583-2024</t>
        </is>
      </c>
      <c r="B3066" s="1" t="n">
        <v>45520.34469907408</v>
      </c>
      <c r="C3066" s="1" t="n">
        <v>46137</v>
      </c>
      <c r="D3066" t="inlineStr">
        <is>
          <t>VÄSTERNORRLANDS LÄN</t>
        </is>
      </c>
      <c r="E3066" t="inlineStr">
        <is>
          <t>ÖRNSKÖLDSVIK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33616-2024</t>
        </is>
      </c>
      <c r="B3067" s="1" t="n">
        <v>45520.4027662037</v>
      </c>
      <c r="C3067" s="1" t="n">
        <v>46137</v>
      </c>
      <c r="D3067" t="inlineStr">
        <is>
          <t>VÄSTERNORRLANDS LÄN</t>
        </is>
      </c>
      <c r="E3067" t="inlineStr">
        <is>
          <t>ÖRNSKÖLDSVIK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48704-2023</t>
        </is>
      </c>
      <c r="B3068" s="1" t="n">
        <v>45208</v>
      </c>
      <c r="C3068" s="1" t="n">
        <v>46137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12191-2025</t>
        </is>
      </c>
      <c r="B3069" s="1" t="n">
        <v>45729</v>
      </c>
      <c r="C3069" s="1" t="n">
        <v>46137</v>
      </c>
      <c r="D3069" t="inlineStr">
        <is>
          <t>VÄSTERNORRLANDS LÄN</t>
        </is>
      </c>
      <c r="E3069" t="inlineStr">
        <is>
          <t>ÖRNSKÖLDSVIK</t>
        </is>
      </c>
      <c r="G3069" t="n">
        <v>4.4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45215-2024</t>
        </is>
      </c>
      <c r="B3070" s="1" t="n">
        <v>45575.73666666666</v>
      </c>
      <c r="C3070" s="1" t="n">
        <v>46137</v>
      </c>
      <c r="D3070" t="inlineStr">
        <is>
          <t>VÄSTERNORRLANDS LÄN</t>
        </is>
      </c>
      <c r="E3070" t="inlineStr">
        <is>
          <t>ÖRNSKÖLDSVIK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45287-2024</t>
        </is>
      </c>
      <c r="B3071" s="1" t="n">
        <v>45576.3875</v>
      </c>
      <c r="C3071" s="1" t="n">
        <v>46137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54613-2024</t>
        </is>
      </c>
      <c r="B3072" s="1" t="n">
        <v>45617.70974537037</v>
      </c>
      <c r="C3072" s="1" t="n">
        <v>46137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33757-2022</t>
        </is>
      </c>
      <c r="B3073" s="1" t="n">
        <v>44789</v>
      </c>
      <c r="C3073" s="1" t="n">
        <v>46137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21.6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46356-2024</t>
        </is>
      </c>
      <c r="B3074" s="1" t="n">
        <v>45582.34539351852</v>
      </c>
      <c r="C3074" s="1" t="n">
        <v>46137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39969-2024</t>
        </is>
      </c>
      <c r="B3075" s="1" t="n">
        <v>45553.59498842592</v>
      </c>
      <c r="C3075" s="1" t="n">
        <v>46137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58710-2024</t>
        </is>
      </c>
      <c r="B3076" s="1" t="n">
        <v>45635.64413194444</v>
      </c>
      <c r="C3076" s="1" t="n">
        <v>46137</v>
      </c>
      <c r="D3076" t="inlineStr">
        <is>
          <t>VÄSTERNORRLANDS LÄN</t>
        </is>
      </c>
      <c r="E3076" t="inlineStr">
        <is>
          <t>ÖRNSKÖLDSVIK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37087-2023</t>
        </is>
      </c>
      <c r="B3077" s="1" t="n">
        <v>45154</v>
      </c>
      <c r="C3077" s="1" t="n">
        <v>46137</v>
      </c>
      <c r="D3077" t="inlineStr">
        <is>
          <t>VÄSTERNORRLANDS LÄN</t>
        </is>
      </c>
      <c r="E3077" t="inlineStr">
        <is>
          <t>ÖRNSKÖLDSVIK</t>
        </is>
      </c>
      <c r="G3077" t="n">
        <v>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6745-2024</t>
        </is>
      </c>
      <c r="B3078" s="1" t="n">
        <v>45342.42465277778</v>
      </c>
      <c r="C3078" s="1" t="n">
        <v>46137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52416-2023</t>
        </is>
      </c>
      <c r="B3079" s="1" t="n">
        <v>45225</v>
      </c>
      <c r="C3079" s="1" t="n">
        <v>46137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46137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34014-2023</t>
        </is>
      </c>
      <c r="B3081" s="1" t="n">
        <v>45124</v>
      </c>
      <c r="C3081" s="1" t="n">
        <v>46137</v>
      </c>
      <c r="D3081" t="inlineStr">
        <is>
          <t>VÄSTERNORRLANDS LÄN</t>
        </is>
      </c>
      <c r="E3081" t="inlineStr">
        <is>
          <t>ÖRNSKÖLDSVIK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34406-2024</t>
        </is>
      </c>
      <c r="B3082" s="1" t="n">
        <v>45525.45870370371</v>
      </c>
      <c r="C3082" s="1" t="n">
        <v>46137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63660-2023</t>
        </is>
      </c>
      <c r="B3083" s="1" t="n">
        <v>45275</v>
      </c>
      <c r="C3083" s="1" t="n">
        <v>46137</v>
      </c>
      <c r="D3083" t="inlineStr">
        <is>
          <t>VÄSTERNORRLANDS LÄN</t>
        </is>
      </c>
      <c r="E3083" t="inlineStr">
        <is>
          <t>ÖRNSKÖLDSVIK</t>
        </is>
      </c>
      <c r="G3083" t="n">
        <v>16.3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44490-2022</t>
        </is>
      </c>
      <c r="B3084" s="1" t="n">
        <v>44840</v>
      </c>
      <c r="C3084" s="1" t="n">
        <v>46137</v>
      </c>
      <c r="D3084" t="inlineStr">
        <is>
          <t>VÄSTERNORRLANDS LÄN</t>
        </is>
      </c>
      <c r="E3084" t="inlineStr">
        <is>
          <t>ÖRNSKÖLDSVIK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31785-2024</t>
        </is>
      </c>
      <c r="B3085" s="1" t="n">
        <v>45509.50349537037</v>
      </c>
      <c r="C3085" s="1" t="n">
        <v>46137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31786-2024</t>
        </is>
      </c>
      <c r="B3086" s="1" t="n">
        <v>45509.50989583333</v>
      </c>
      <c r="C3086" s="1" t="n">
        <v>46137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22861-2023</t>
        </is>
      </c>
      <c r="B3087" s="1" t="n">
        <v>45070</v>
      </c>
      <c r="C3087" s="1" t="n">
        <v>46137</v>
      </c>
      <c r="D3087" t="inlineStr">
        <is>
          <t>VÄSTERNORRLANDS LÄN</t>
        </is>
      </c>
      <c r="E3087" t="inlineStr">
        <is>
          <t>ÖRNSKÖLDSVIK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39636-2024</t>
        </is>
      </c>
      <c r="B3088" s="1" t="n">
        <v>45552.44849537037</v>
      </c>
      <c r="C3088" s="1" t="n">
        <v>46137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SCA</t>
        </is>
      </c>
      <c r="G3088" t="n">
        <v>6.5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51755-2024</t>
        </is>
      </c>
      <c r="B3089" s="1" t="n">
        <v>45607.43230324074</v>
      </c>
      <c r="C3089" s="1" t="n">
        <v>46137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39723-2024</t>
        </is>
      </c>
      <c r="B3090" s="1" t="n">
        <v>45552.61725694445</v>
      </c>
      <c r="C3090" s="1" t="n">
        <v>46137</v>
      </c>
      <c r="D3090" t="inlineStr">
        <is>
          <t>VÄSTERNORRLANDS LÄN</t>
        </is>
      </c>
      <c r="E3090" t="inlineStr">
        <is>
          <t>ÖRNSKÖLDSVIK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13665-2025</t>
        </is>
      </c>
      <c r="B3091" s="1" t="n">
        <v>45736.81542824074</v>
      </c>
      <c r="C3091" s="1" t="n">
        <v>46137</v>
      </c>
      <c r="D3091" t="inlineStr">
        <is>
          <t>VÄSTERNORRLANDS LÄN</t>
        </is>
      </c>
      <c r="E3091" t="inlineStr">
        <is>
          <t>ÖRNSKÖLDSVIK</t>
        </is>
      </c>
      <c r="G3091" t="n">
        <v>13.7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55023-2023</t>
        </is>
      </c>
      <c r="B3092" s="1" t="n">
        <v>45237</v>
      </c>
      <c r="C3092" s="1" t="n">
        <v>46137</v>
      </c>
      <c r="D3092" t="inlineStr">
        <is>
          <t>VÄSTERNORRLANDS LÄN</t>
        </is>
      </c>
      <c r="E3092" t="inlineStr">
        <is>
          <t>ÖRNSKÖLDSVIK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42356-2023</t>
        </is>
      </c>
      <c r="B3093" s="1" t="n">
        <v>45180</v>
      </c>
      <c r="C3093" s="1" t="n">
        <v>46137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37048-2024</t>
        </is>
      </c>
      <c r="B3094" s="1" t="n">
        <v>45539.42946759259</v>
      </c>
      <c r="C3094" s="1" t="n">
        <v>46137</v>
      </c>
      <c r="D3094" t="inlineStr">
        <is>
          <t>VÄSTERNORRLANDS LÄN</t>
        </is>
      </c>
      <c r="E3094" t="inlineStr">
        <is>
          <t>ÖRNSKÖLDSVIK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56991-2024</t>
        </is>
      </c>
      <c r="B3095" s="1" t="n">
        <v>45628.70171296296</v>
      </c>
      <c r="C3095" s="1" t="n">
        <v>46137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38296-2024</t>
        </is>
      </c>
      <c r="B3096" s="1" t="n">
        <v>45545.6296412037</v>
      </c>
      <c r="C3096" s="1" t="n">
        <v>46137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63044-2023</t>
        </is>
      </c>
      <c r="B3097" s="1" t="n">
        <v>45272.89729166667</v>
      </c>
      <c r="C3097" s="1" t="n">
        <v>46137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Övriga Aktiebolag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63916-2023</t>
        </is>
      </c>
      <c r="B3098" s="1" t="n">
        <v>45278</v>
      </c>
      <c r="C3098" s="1" t="n">
        <v>46137</v>
      </c>
      <c r="D3098" t="inlineStr">
        <is>
          <t>VÄSTERNORRLANDS LÄN</t>
        </is>
      </c>
      <c r="E3098" t="inlineStr">
        <is>
          <t>ÖRNSKÖLDSVIK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42566-2024</t>
        </is>
      </c>
      <c r="B3099" s="1" t="n">
        <v>45565</v>
      </c>
      <c r="C3099" s="1" t="n">
        <v>46137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37524-2024</t>
        </is>
      </c>
      <c r="B3100" s="1" t="n">
        <v>45541.39768518518</v>
      </c>
      <c r="C3100" s="1" t="n">
        <v>46137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40572-2021</t>
        </is>
      </c>
      <c r="B3101" s="1" t="n">
        <v>44420</v>
      </c>
      <c r="C3101" s="1" t="n">
        <v>46137</v>
      </c>
      <c r="D3101" t="inlineStr">
        <is>
          <t>VÄSTERNORRLANDS LÄN</t>
        </is>
      </c>
      <c r="E3101" t="inlineStr">
        <is>
          <t>ÖRNSKÖLDSVIK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19121-2024</t>
        </is>
      </c>
      <c r="B3102" s="1" t="n">
        <v>45427</v>
      </c>
      <c r="C3102" s="1" t="n">
        <v>46137</v>
      </c>
      <c r="D3102" t="inlineStr">
        <is>
          <t>VÄSTERNORRLANDS LÄN</t>
        </is>
      </c>
      <c r="E3102" t="inlineStr">
        <is>
          <t>ÖRNSKÖLDSVIK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37338-2023</t>
        </is>
      </c>
      <c r="B3103" s="1" t="n">
        <v>45156</v>
      </c>
      <c r="C3103" s="1" t="n">
        <v>46137</v>
      </c>
      <c r="D3103" t="inlineStr">
        <is>
          <t>VÄSTERNORRLANDS LÄN</t>
        </is>
      </c>
      <c r="E3103" t="inlineStr">
        <is>
          <t>ÖRNSKÖLDSVIK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196-2025</t>
        </is>
      </c>
      <c r="B3104" s="1" t="n">
        <v>45659.79658564815</v>
      </c>
      <c r="C3104" s="1" t="n">
        <v>46137</v>
      </c>
      <c r="D3104" t="inlineStr">
        <is>
          <t>VÄSTERNORRLANDS LÄN</t>
        </is>
      </c>
      <c r="E3104" t="inlineStr">
        <is>
          <t>ÖRNSKÖLDSVIK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22289-2024</t>
        </is>
      </c>
      <c r="B3105" s="1" t="n">
        <v>45446</v>
      </c>
      <c r="C3105" s="1" t="n">
        <v>46137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27800-2024</t>
        </is>
      </c>
      <c r="B3106" s="1" t="n">
        <v>45475.5671875</v>
      </c>
      <c r="C3106" s="1" t="n">
        <v>46137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8670-2024</t>
        </is>
      </c>
      <c r="B3107" s="1" t="n">
        <v>45356</v>
      </c>
      <c r="C3107" s="1" t="n">
        <v>46137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21147-2024</t>
        </is>
      </c>
      <c r="B3108" s="1" t="n">
        <v>45440.40049768519</v>
      </c>
      <c r="C3108" s="1" t="n">
        <v>46137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21235-2024</t>
        </is>
      </c>
      <c r="B3109" s="1" t="n">
        <v>45440</v>
      </c>
      <c r="C3109" s="1" t="n">
        <v>46137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4103-2024</t>
        </is>
      </c>
      <c r="B3110" s="1" t="n">
        <v>45323</v>
      </c>
      <c r="C3110" s="1" t="n">
        <v>46137</v>
      </c>
      <c r="D3110" t="inlineStr">
        <is>
          <t>VÄSTERNORRLANDS LÄN</t>
        </is>
      </c>
      <c r="E3110" t="inlineStr">
        <is>
          <t>ÖRNSKÖLDSVIK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25002-2024</t>
        </is>
      </c>
      <c r="B3111" s="1" t="n">
        <v>45461.78789351852</v>
      </c>
      <c r="C3111" s="1" t="n">
        <v>46137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30207-2024</t>
        </is>
      </c>
      <c r="B3112" s="1" t="n">
        <v>45488</v>
      </c>
      <c r="C3112" s="1" t="n">
        <v>46137</v>
      </c>
      <c r="D3112" t="inlineStr">
        <is>
          <t>VÄSTERNORRLANDS LÄN</t>
        </is>
      </c>
      <c r="E3112" t="inlineStr">
        <is>
          <t>ÖRNSKÖLDSVIK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30209-2024</t>
        </is>
      </c>
      <c r="B3113" s="1" t="n">
        <v>45488</v>
      </c>
      <c r="C3113" s="1" t="n">
        <v>46137</v>
      </c>
      <c r="D3113" t="inlineStr">
        <is>
          <t>VÄSTERNORRLANDS LÄN</t>
        </is>
      </c>
      <c r="E3113" t="inlineStr">
        <is>
          <t>ÖRNSKÖLDSVIK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20217-2023</t>
        </is>
      </c>
      <c r="B3114" s="1" t="n">
        <v>45054</v>
      </c>
      <c r="C3114" s="1" t="n">
        <v>46137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16692-2024</t>
        </is>
      </c>
      <c r="B3115" s="1" t="n">
        <v>45408</v>
      </c>
      <c r="C3115" s="1" t="n">
        <v>46137</v>
      </c>
      <c r="D3115" t="inlineStr">
        <is>
          <t>VÄSTERNORRLANDS LÄN</t>
        </is>
      </c>
      <c r="E3115" t="inlineStr">
        <is>
          <t>ÖRNSKÖLDSVIK</t>
        </is>
      </c>
      <c r="G3115" t="n">
        <v>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30282-2021</t>
        </is>
      </c>
      <c r="B3116" s="1" t="n">
        <v>44364</v>
      </c>
      <c r="C3116" s="1" t="n">
        <v>46137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62968-2021</t>
        </is>
      </c>
      <c r="B3117" s="1" t="n">
        <v>44505.30230324074</v>
      </c>
      <c r="C3117" s="1" t="n">
        <v>46137</v>
      </c>
      <c r="D3117" t="inlineStr">
        <is>
          <t>VÄSTERNORRLANDS LÄN</t>
        </is>
      </c>
      <c r="E3117" t="inlineStr">
        <is>
          <t>ÖRNSKÖLDSVIK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43928-2023</t>
        </is>
      </c>
      <c r="B3118" s="1" t="n">
        <v>45182</v>
      </c>
      <c r="C3118" s="1" t="n">
        <v>46137</v>
      </c>
      <c r="D3118" t="inlineStr">
        <is>
          <t>VÄSTERNORRLANDS LÄN</t>
        </is>
      </c>
      <c r="E3118" t="inlineStr">
        <is>
          <t>ÖRNSKÖLDSVIK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26723-2024</t>
        </is>
      </c>
      <c r="B3119" s="1" t="n">
        <v>45470.42023148148</v>
      </c>
      <c r="C3119" s="1" t="n">
        <v>46137</v>
      </c>
      <c r="D3119" t="inlineStr">
        <is>
          <t>VÄSTERNORRLANDS LÄN</t>
        </is>
      </c>
      <c r="E3119" t="inlineStr">
        <is>
          <t>ÖRNSKÖLDSVIK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30263-2024</t>
        </is>
      </c>
      <c r="B3120" s="1" t="n">
        <v>45489</v>
      </c>
      <c r="C3120" s="1" t="n">
        <v>46137</v>
      </c>
      <c r="D3120" t="inlineStr">
        <is>
          <t>VÄSTERNORRLANDS LÄN</t>
        </is>
      </c>
      <c r="E3120" t="inlineStr">
        <is>
          <t>ÖRNSKÖLDSVIK</t>
        </is>
      </c>
      <c r="G3120" t="n">
        <v>11.5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44210-2023</t>
        </is>
      </c>
      <c r="B3121" s="1" t="n">
        <v>45188</v>
      </c>
      <c r="C3121" s="1" t="n">
        <v>46137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5437-2025</t>
        </is>
      </c>
      <c r="B3122" s="1" t="n">
        <v>45692</v>
      </c>
      <c r="C3122" s="1" t="n">
        <v>46137</v>
      </c>
      <c r="D3122" t="inlineStr">
        <is>
          <t>VÄSTERNORRLANDS LÄN</t>
        </is>
      </c>
      <c r="E3122" t="inlineStr">
        <is>
          <t>ÖRNSKÖLDSVIK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51302-2024</t>
        </is>
      </c>
      <c r="B3123" s="1" t="n">
        <v>45604.30118055556</v>
      </c>
      <c r="C3123" s="1" t="n">
        <v>46137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43245-2023</t>
        </is>
      </c>
      <c r="B3124" s="1" t="n">
        <v>45183</v>
      </c>
      <c r="C3124" s="1" t="n">
        <v>46137</v>
      </c>
      <c r="D3124" t="inlineStr">
        <is>
          <t>VÄSTERNORRLANDS LÄN</t>
        </is>
      </c>
      <c r="E3124" t="inlineStr">
        <is>
          <t>ÖRNSKÖLDSVIK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40590-2023</t>
        </is>
      </c>
      <c r="B3125" s="1" t="n">
        <v>45170</v>
      </c>
      <c r="C3125" s="1" t="n">
        <v>46137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51717-2024</t>
        </is>
      </c>
      <c r="B3126" s="1" t="n">
        <v>45607.37754629629</v>
      </c>
      <c r="C3126" s="1" t="n">
        <v>46137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19440-2025</t>
        </is>
      </c>
      <c r="B3127" s="1" t="n">
        <v>45770.30425925926</v>
      </c>
      <c r="C3127" s="1" t="n">
        <v>46137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19446-2025</t>
        </is>
      </c>
      <c r="B3128" s="1" t="n">
        <v>45770.32109953704</v>
      </c>
      <c r="C3128" s="1" t="n">
        <v>46137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11033-2025</t>
        </is>
      </c>
      <c r="B3129" s="1" t="n">
        <v>45723</v>
      </c>
      <c r="C3129" s="1" t="n">
        <v>46137</v>
      </c>
      <c r="D3129" t="inlineStr">
        <is>
          <t>VÄSTERNORRLANDS LÄN</t>
        </is>
      </c>
      <c r="E3129" t="inlineStr">
        <is>
          <t>ÖRNSKÖLDSVIK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59876-2021</t>
        </is>
      </c>
      <c r="B3130" s="1" t="n">
        <v>44494</v>
      </c>
      <c r="C3130" s="1" t="n">
        <v>46137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49494-2024</t>
        </is>
      </c>
      <c r="B3131" s="1" t="n">
        <v>45596.36549768518</v>
      </c>
      <c r="C3131" s="1" t="n">
        <v>46137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8983-2025</t>
        </is>
      </c>
      <c r="B3132" s="1" t="n">
        <v>45713.53502314815</v>
      </c>
      <c r="C3132" s="1" t="n">
        <v>46137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40153-2024</t>
        </is>
      </c>
      <c r="B3133" s="1" t="n">
        <v>45554.5266087963</v>
      </c>
      <c r="C3133" s="1" t="n">
        <v>46137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48609-2024</t>
        </is>
      </c>
      <c r="B3134" s="1" t="n">
        <v>45593.45111111111</v>
      </c>
      <c r="C3134" s="1" t="n">
        <v>46137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5765-2025</t>
        </is>
      </c>
      <c r="B3135" s="1" t="n">
        <v>45694.57601851852</v>
      </c>
      <c r="C3135" s="1" t="n">
        <v>46137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37133-2024</t>
        </is>
      </c>
      <c r="B3136" s="1" t="n">
        <v>45539.57289351852</v>
      </c>
      <c r="C3136" s="1" t="n">
        <v>46137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52719-2024</t>
        </is>
      </c>
      <c r="B3137" s="1" t="n">
        <v>45610.43710648148</v>
      </c>
      <c r="C3137" s="1" t="n">
        <v>46137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33368-2024</t>
        </is>
      </c>
      <c r="B3138" s="1" t="n">
        <v>45519</v>
      </c>
      <c r="C3138" s="1" t="n">
        <v>46137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47667-2023</t>
        </is>
      </c>
      <c r="B3139" s="1" t="n">
        <v>45203</v>
      </c>
      <c r="C3139" s="1" t="n">
        <v>46137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>
      <c r="A3140" t="inlineStr">
        <is>
          <t>A 41045-2024</t>
        </is>
      </c>
      <c r="B3140" s="1" t="n">
        <v>45559.36673611111</v>
      </c>
      <c r="C3140" s="1" t="n">
        <v>46137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2026-04-25T11:02:20Z</dcterms:created>
  <dcterms:modified xmlns:dcterms="http://purl.org/dc/terms/" xmlns:xsi="http://www.w3.org/2001/XMLSchema-instance" xsi:type="dcterms:W3CDTF">2026-04-25T11:02:23Z</dcterms:modified>
</cp:coreProperties>
</file>