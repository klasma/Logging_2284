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46321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46321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46321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46321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46321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46321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46321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46321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46321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10398-2026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46077</v>
      </c>
      <c r="E11" s="1" t="n">
        <v>46321</v>
      </c>
      <c r="F11" t="inlineStr">
        <is>
          <t>VÄSTERNORRLANDS LÄN</t>
        </is>
      </c>
      <c r="G11" t="inlineStr">
        <is>
          <t>ÖRNSKÖLDSVIK</t>
        </is>
      </c>
      <c r="I11" t="n">
        <v>29.2</v>
      </c>
      <c r="J11" t="n">
        <v>5</v>
      </c>
      <c r="K11" t="n">
        <v>3</v>
      </c>
      <c r="L11" t="n">
        <v>6</v>
      </c>
      <c r="M11" t="n">
        <v>2</v>
      </c>
      <c r="N11" t="n">
        <v>0</v>
      </c>
      <c r="O11" t="n">
        <v>0</v>
      </c>
      <c r="P11" t="n">
        <v>0</v>
      </c>
      <c r="Q11" t="n">
        <v>8</v>
      </c>
      <c r="R11" t="n">
        <v>2</v>
      </c>
      <c r="S11" t="n">
        <v>14</v>
      </c>
      <c r="T11" t="n">
        <v>47</v>
      </c>
      <c r="U11" t="n">
        <v>47</v>
      </c>
      <c r="V11" s="2" t="inlineStr">
        <is>
          <t>Aspgelélav
Garnlav
Lunglav
Skogshare
Talltita
Tretåig hackspett
Ullticka
Älg
Rävticka
Skinnlav
Vedticka
Järpe
Spillkråka
Tjäder</t>
        </is>
      </c>
      <c r="W11">
        <f>HYPERLINK("https://klasma.github.io/Logging_2284/artfynd/A 10398-2026 artfynd.xlsx", "A 10398-2026")</f>
        <v/>
      </c>
      <c r="X11">
        <f>HYPERLINK("https://klasma.github.io/Logging_2284/kartor/A 10398-2026 karta.png", "A 10398-2026")</f>
        <v/>
      </c>
      <c r="Y11">
        <f>HYPERLINK("https://klasma.github.io/Logging_2284/kartor_geotiff/A 10398-2026 georefererad karta.tif", "A 10398-2026")</f>
        <v/>
      </c>
      <c r="AA11">
        <f>HYPERLINK("https://klasma.github.io/Logging_2284/klagomål/A 10398-2026 FSC-klagomål.docx", "A 10398-2026")</f>
        <v/>
      </c>
      <c r="AB11">
        <f>HYPERLINK("https://klasma.github.io/Logging_2284/klagomålsmail/A 10398-2026 FSC-klagomål mail.docx", "A 10398-2026")</f>
        <v/>
      </c>
      <c r="AC11">
        <f>HYPERLINK("https://klasma.github.io/Logging_2284/tillsyn/A 10398-2026 tillsynsbegäran.docx", "A 10398-2026")</f>
        <v/>
      </c>
      <c r="AD11">
        <f>HYPERLINK("https://klasma.github.io/Logging_2284/tillsynsmail/A 10398-2026 tillsynsbegäran mail.docx", "A 10398-2026")</f>
        <v/>
      </c>
      <c r="AE11">
        <f>HYPERLINK("https://klasma.github.io/Logging_2284/fåglar/A 10398-2026 prioriterade fågelarter.docx", "A 10398-2026")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46321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46321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41080-2026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46321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Kyrkan</t>
        </is>
      </c>
      <c r="I14" t="n">
        <v>6.5</v>
      </c>
      <c r="J14" t="n">
        <v>5</v>
      </c>
      <c r="K14" t="n">
        <v>4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13</v>
      </c>
      <c r="T14" t="n">
        <v>28</v>
      </c>
      <c r="U14" t="n">
        <v>28</v>
      </c>
      <c r="V14" s="2" t="inlineStr">
        <is>
          <t>Garnlav
Knärot
Lunglav
Rosenticka
Talltita
Tretåig hackspett
Ullticka
Bårdlav
Korallblylav
Stor aspticka
Vedticka
Spillkråka
Tofsmes</t>
        </is>
      </c>
      <c r="W14">
        <f>HYPERLINK("https://klasma.github.io/Logging_2284/artfynd/A 41080-2026 artfynd.xlsx", "A 41080-2026")</f>
        <v/>
      </c>
      <c r="X14">
        <f>HYPERLINK("https://klasma.github.io/Logging_2284/kartor/A 41080-2026 karta.png", "A 41080-2026")</f>
        <v/>
      </c>
      <c r="Y14">
        <f>HYPERLINK("https://klasma.github.io/Logging_2284/kartor_geotiff/A 41080-2026 georefererad karta.tif", "A 41080-2026")</f>
        <v/>
      </c>
      <c r="Z14">
        <f>HYPERLINK("https://klasma.github.io/Logging_2284/knärot/A 41080-2026 karta knärot.png", "A 41080-2026")</f>
        <v/>
      </c>
      <c r="AA14">
        <f>HYPERLINK("https://klasma.github.io/Logging_2284/klagomål/A 41080-2026 FSC-klagomål.docx", "A 41080-2026")</f>
        <v/>
      </c>
      <c r="AB14">
        <f>HYPERLINK("https://klasma.github.io/Logging_2284/klagomålsmail/A 41080-2026 FSC-klagomål mail.docx", "A 41080-2026")</f>
        <v/>
      </c>
      <c r="AC14">
        <f>HYPERLINK("https://klasma.github.io/Logging_2284/tillsyn/A 41080-2026 tillsynsbegäran.docx", "A 41080-2026")</f>
        <v/>
      </c>
      <c r="AD14">
        <f>HYPERLINK("https://klasma.github.io/Logging_2284/tillsynsmail/A 41080-2026 tillsynsbegäran mail.docx", "A 41080-2026")</f>
        <v/>
      </c>
      <c r="AE14">
        <f>HYPERLINK("https://klasma.github.io/Logging_2284/fåglar/A 41080-2026 prioriterade fågelarter.docx", "A 41080-2026")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46321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50533-2023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45217</v>
      </c>
      <c r="E16" s="1" t="n">
        <v>46321</v>
      </c>
      <c r="F16" t="inlineStr">
        <is>
          <t>VÄSTERNORRLANDS LÄN</t>
        </is>
      </c>
      <c r="G16" t="inlineStr">
        <is>
          <t>ÖRNSKÖLDSVIK</t>
        </is>
      </c>
      <c r="I16" t="n">
        <v>2</v>
      </c>
      <c r="J16" t="n">
        <v>4</v>
      </c>
      <c r="K16" t="n">
        <v>1</v>
      </c>
      <c r="L16" t="n">
        <v>8</v>
      </c>
      <c r="M16" t="n">
        <v>2</v>
      </c>
      <c r="N16" t="n">
        <v>0</v>
      </c>
      <c r="O16" t="n">
        <v>0</v>
      </c>
      <c r="P16" t="n">
        <v>0</v>
      </c>
      <c r="Q16" t="n">
        <v>10</v>
      </c>
      <c r="R16" t="n">
        <v>2</v>
      </c>
      <c r="S16" t="n">
        <v>13</v>
      </c>
      <c r="T16" t="n">
        <v>17</v>
      </c>
      <c r="U16" t="n">
        <v>17</v>
      </c>
      <c r="V16" s="2" t="inlineStr">
        <is>
          <t>Knärot
Skrovlig taggsvamp
Gammelgransskål
Lunglav
Orange taggsvamp
Skarp dropptaggsvamp
Talltita
Vedskivlav
Violettgrå tagellav
Vågticka
Skinnlav
Järpe
Spillkråka</t>
        </is>
      </c>
      <c r="W16">
        <f>HYPERLINK("https://klasma.github.io/Logging_2284/artfynd/A 50533-2023 artfynd.xlsx", "A 50533-2023")</f>
        <v/>
      </c>
      <c r="X16">
        <f>HYPERLINK("https://klasma.github.io/Logging_2284/kartor/A 50533-2023 karta.png", "A 50533-2023")</f>
        <v/>
      </c>
      <c r="Y16">
        <f>HYPERLINK("https://klasma.github.io/Logging_2284/kartor_geotiff/A 50533-2023 georefererad karta.tif", "A 50533-2023")</f>
        <v/>
      </c>
      <c r="Z16">
        <f>HYPERLINK("https://klasma.github.io/Logging_2284/knärot/A 50533-2023 karta knärot.png", "A 50533-2023")</f>
        <v/>
      </c>
      <c r="AA16">
        <f>HYPERLINK("https://klasma.github.io/Logging_2284/klagomål/A 50533-2023 FSC-klagomål.docx", "A 50533-2023")</f>
        <v/>
      </c>
      <c r="AB16">
        <f>HYPERLINK("https://klasma.github.io/Logging_2284/klagomålsmail/A 50533-2023 FSC-klagomål mail.docx", "A 50533-2023")</f>
        <v/>
      </c>
      <c r="AC16">
        <f>HYPERLINK("https://klasma.github.io/Logging_2284/tillsyn/A 50533-2023 tillsynsbegäran.docx", "A 50533-2023")</f>
        <v/>
      </c>
      <c r="AD16">
        <f>HYPERLINK("https://klasma.github.io/Logging_2284/tillsynsmail/A 50533-2023 tillsynsbegäran mail.docx", "A 50533-2023")</f>
        <v/>
      </c>
      <c r="AE16">
        <f>HYPERLINK("https://klasma.github.io/Logging_2284/fåglar/A 50533-2023 prioriterade fågelarter.docx", "A 50533-2023")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46321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46321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46321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46321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30045-2026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46206</v>
      </c>
      <c r="E21" s="1" t="n">
        <v>46321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1.6</v>
      </c>
      <c r="J21" t="n">
        <v>2</v>
      </c>
      <c r="K21" t="n">
        <v>2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10</v>
      </c>
      <c r="T21" t="n">
        <v>14</v>
      </c>
      <c r="U21" t="n">
        <v>0</v>
      </c>
      <c r="V21" s="2" t="inlineStr">
        <is>
          <t>Garnlav
Blågrå svartspik
Gammelgransskål
Lunglav
Ullticka
Vitgrynig nållav
Granriska
Vedticka
Spillkråka
Kungsfågel</t>
        </is>
      </c>
      <c r="W21">
        <f>HYPERLINK("https://klasma.github.io/Logging_2284/artfynd/A 30045-2026 artfynd.xlsx", "A 30045-2026")</f>
        <v/>
      </c>
      <c r="X21">
        <f>HYPERLINK("https://klasma.github.io/Logging_2284/kartor/A 30045-2026 karta.png", "A 30045-2026")</f>
        <v/>
      </c>
      <c r="Y21">
        <f>HYPERLINK("https://klasma.github.io/Logging_2284/kartor_geotiff/A 30045-2026 georefererad karta.tif", "A 30045-2026")</f>
        <v/>
      </c>
      <c r="AA21">
        <f>HYPERLINK("https://klasma.github.io/Logging_2284/klagomål/A 30045-2026 FSC-klagomål.docx", "A 30045-2026")</f>
        <v/>
      </c>
      <c r="AB21">
        <f>HYPERLINK("https://klasma.github.io/Logging_2284/klagomålsmail/A 30045-2026 FSC-klagomål mail.docx", "A 30045-2026")</f>
        <v/>
      </c>
      <c r="AC21">
        <f>HYPERLINK("https://klasma.github.io/Logging_2284/tillsyn/A 30045-2026 tillsynsbegäran.docx", "A 30045-2026")</f>
        <v/>
      </c>
      <c r="AD21">
        <f>HYPERLINK("https://klasma.github.io/Logging_2284/tillsynsmail/A 30045-2026 tillsynsbegäran mail.docx", "A 30045-2026")</f>
        <v/>
      </c>
      <c r="AE21">
        <f>HYPERLINK("https://klasma.github.io/Logging_2284/fåglar/A 30045-2026 prioriterade fågelarter.docx", "A 30045-2026")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46321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46321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41079-2026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46321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Kyrkan</t>
        </is>
      </c>
      <c r="I24" t="n">
        <v>3.4</v>
      </c>
      <c r="J24" t="n">
        <v>4</v>
      </c>
      <c r="K24" t="n">
        <v>3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9</v>
      </c>
      <c r="T24" t="n">
        <v>24</v>
      </c>
      <c r="U24" t="n">
        <v>24</v>
      </c>
      <c r="V24" s="2" t="inlineStr">
        <is>
          <t>Rosenticka
Talltita
Tretåig hackspett
Ullticka
Korallblylav
Vedticka
Vågbandad barkbock
Spillkråka
Tofsmes</t>
        </is>
      </c>
      <c r="W24">
        <f>HYPERLINK("https://klasma.github.io/Logging_2284/artfynd/A 41079-2026 artfynd.xlsx", "A 41079-2026")</f>
        <v/>
      </c>
      <c r="X24">
        <f>HYPERLINK("https://klasma.github.io/Logging_2284/kartor/A 41079-2026 karta.png", "A 41079-2026")</f>
        <v/>
      </c>
      <c r="Y24">
        <f>HYPERLINK("https://klasma.github.io/Logging_2284/kartor_geotiff/A 41079-2026 georefererad karta.tif", "A 41079-2026")</f>
        <v/>
      </c>
      <c r="AA24">
        <f>HYPERLINK("https://klasma.github.io/Logging_2284/klagomål/A 41079-2026 FSC-klagomål.docx", "A 41079-2026")</f>
        <v/>
      </c>
      <c r="AB24">
        <f>HYPERLINK("https://klasma.github.io/Logging_2284/klagomålsmail/A 41079-2026 FSC-klagomål mail.docx", "A 41079-2026")</f>
        <v/>
      </c>
      <c r="AC24">
        <f>HYPERLINK("https://klasma.github.io/Logging_2284/tillsyn/A 41079-2026 tillsynsbegäran.docx", "A 41079-2026")</f>
        <v/>
      </c>
      <c r="AD24">
        <f>HYPERLINK("https://klasma.github.io/Logging_2284/tillsynsmail/A 41079-2026 tillsynsbegäran mail.docx", "A 41079-2026")</f>
        <v/>
      </c>
      <c r="AE24">
        <f>HYPERLINK("https://klasma.github.io/Logging_2284/fåglar/A 41079-2026 prioriterade fågelarter.docx", "A 41079-2026")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46321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46321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46321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57858-2022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44898</v>
      </c>
      <c r="E28" s="1" t="n">
        <v>46321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4.8</v>
      </c>
      <c r="J28" t="n">
        <v>4</v>
      </c>
      <c r="K28" t="n">
        <v>1</v>
      </c>
      <c r="L28" t="n">
        <v>4</v>
      </c>
      <c r="M28" t="n">
        <v>2</v>
      </c>
      <c r="N28" t="n">
        <v>0</v>
      </c>
      <c r="O28" t="n">
        <v>0</v>
      </c>
      <c r="P28" t="n">
        <v>0</v>
      </c>
      <c r="Q28" t="n">
        <v>6</v>
      </c>
      <c r="R28" t="n">
        <v>2</v>
      </c>
      <c r="S28" t="n">
        <v>7</v>
      </c>
      <c r="T28" t="n">
        <v>8</v>
      </c>
      <c r="U28" t="n">
        <v>8</v>
      </c>
      <c r="V28" s="2" t="inlineStr">
        <is>
          <t>Garnlav
Knärot
Kolflarnlav
Lavskrika
Lunglav
Tretåig hackspett
Plattlummer</t>
        </is>
      </c>
      <c r="W28">
        <f>HYPERLINK("https://klasma.github.io/Logging_2284/artfynd/A 57858-2022 artfynd.xlsx", "A 57858-2022")</f>
        <v/>
      </c>
      <c r="X28">
        <f>HYPERLINK("https://klasma.github.io/Logging_2284/kartor/A 57858-2022 karta.png", "A 57858-2022")</f>
        <v/>
      </c>
      <c r="Y28">
        <f>HYPERLINK("https://klasma.github.io/Logging_2284/kartor_geotiff/A 57858-2022 georefererad karta.tif", "A 57858-2022")</f>
        <v/>
      </c>
      <c r="Z28">
        <f>HYPERLINK("https://klasma.github.io/Logging_2284/knärot/A 57858-2022 karta knärot.png", "A 57858-2022")</f>
        <v/>
      </c>
      <c r="AA28">
        <f>HYPERLINK("https://klasma.github.io/Logging_2284/klagomål/A 57858-2022 FSC-klagomål.docx", "A 57858-2022")</f>
        <v/>
      </c>
      <c r="AB28">
        <f>HYPERLINK("https://klasma.github.io/Logging_2284/klagomålsmail/A 57858-2022 FSC-klagomål mail.docx", "A 57858-2022")</f>
        <v/>
      </c>
      <c r="AC28">
        <f>HYPERLINK("https://klasma.github.io/Logging_2284/tillsyn/A 57858-2022 tillsynsbegäran.docx", "A 57858-2022")</f>
        <v/>
      </c>
      <c r="AD28">
        <f>HYPERLINK("https://klasma.github.io/Logging_2284/tillsynsmail/A 57858-2022 tillsynsbegäran mail.docx", "A 57858-2022")</f>
        <v/>
      </c>
      <c r="AE28">
        <f>HYPERLINK("https://klasma.github.io/Logging_2284/fåglar/A 57858-2022 prioriterade fågelarter.docx", "A 57858-2022")</f>
        <v/>
      </c>
    </row>
    <row r="29" ht="15" customHeight="1">
      <c r="A29" t="inlineStr">
        <is>
          <t>A 27533-2024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45474</v>
      </c>
      <c r="E29" s="1" t="n">
        <v>46321</v>
      </c>
      <c r="F29" t="inlineStr">
        <is>
          <t>VÄSTERNORRLANDS LÄN</t>
        </is>
      </c>
      <c r="G29" t="inlineStr">
        <is>
          <t>ÖRNSKÖLDSVIK</t>
        </is>
      </c>
      <c r="I29" t="n">
        <v>8.699999999999999</v>
      </c>
      <c r="J29" t="n">
        <v>3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23</v>
      </c>
      <c r="U29" t="n">
        <v>23</v>
      </c>
      <c r="V29" s="2" t="inlineStr">
        <is>
          <t>Knärot
Lunglav
Rynkskinn
Ullticka
Spindelblomster
Spädstarr
Fläcknycklar</t>
        </is>
      </c>
      <c r="W29">
        <f>HYPERLINK("https://klasma.github.io/Logging_2284/artfynd/A 27533-2024 artfynd.xlsx", "A 27533-2024")</f>
        <v/>
      </c>
      <c r="X29">
        <f>HYPERLINK("https://klasma.github.io/Logging_2284/kartor/A 27533-2024 karta.png", "A 27533-2024")</f>
        <v/>
      </c>
      <c r="Y29">
        <f>HYPERLINK("https://klasma.github.io/Logging_2284/kartor_geotiff/A 27533-2024 georefererad karta.tif", "A 27533-2024")</f>
        <v/>
      </c>
      <c r="Z29">
        <f>HYPERLINK("https://klasma.github.io/Logging_2284/knärot/A 27533-2024 karta knärot.png", "A 27533-2024")</f>
        <v/>
      </c>
      <c r="AA29">
        <f>HYPERLINK("https://klasma.github.io/Logging_2284/klagomål/A 27533-2024 FSC-klagomål.docx", "A 27533-2024")</f>
        <v/>
      </c>
      <c r="AB29">
        <f>HYPERLINK("https://klasma.github.io/Logging_2284/klagomålsmail/A 27533-2024 FSC-klagomål mail.docx", "A 27533-2024")</f>
        <v/>
      </c>
      <c r="AC29">
        <f>HYPERLINK("https://klasma.github.io/Logging_2284/tillsyn/A 27533-2024 tillsynsbegäran.docx", "A 27533-2024")</f>
        <v/>
      </c>
      <c r="AD29">
        <f>HYPERLINK("https://klasma.github.io/Logging_2284/tillsynsmail/A 27533-2024 tillsynsbegäran mail.docx", "A 27533-2024")</f>
        <v/>
      </c>
    </row>
    <row r="30" ht="15" customHeight="1">
      <c r="A30" t="inlineStr">
        <is>
          <t>A 2011-2023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44939</v>
      </c>
      <c r="E30" s="1" t="n">
        <v>46321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7.4</v>
      </c>
      <c r="J30" t="n">
        <v>1</v>
      </c>
      <c r="K30" t="n">
        <v>2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7</v>
      </c>
      <c r="T30" t="n">
        <v>7</v>
      </c>
      <c r="U30" t="n">
        <v>7</v>
      </c>
      <c r="V30" s="2" t="inlineStr">
        <is>
          <t>Garnlav
Kolflarnlav
Lunglav
Tallticka
Vedflamlav
Spindelblomster
Stuplav</t>
        </is>
      </c>
      <c r="W30">
        <f>HYPERLINK("https://klasma.github.io/Logging_2284/artfynd/A 2011-2023 artfynd.xlsx", "A 2011-2023")</f>
        <v/>
      </c>
      <c r="X30">
        <f>HYPERLINK("https://klasma.github.io/Logging_2284/kartor/A 2011-2023 karta.png", "A 2011-2023")</f>
        <v/>
      </c>
      <c r="Y30">
        <f>HYPERLINK("https://klasma.github.io/Logging_2284/kartor_geotiff/A 2011-2023 georefererad karta.tif", "A 2011-2023")</f>
        <v/>
      </c>
      <c r="AA30">
        <f>HYPERLINK("https://klasma.github.io/Logging_2284/klagomål/A 2011-2023 FSC-klagomål.docx", "A 2011-2023")</f>
        <v/>
      </c>
      <c r="AB30">
        <f>HYPERLINK("https://klasma.github.io/Logging_2284/klagomålsmail/A 2011-2023 FSC-klagomål mail.docx", "A 2011-2023")</f>
        <v/>
      </c>
      <c r="AC30">
        <f>HYPERLINK("https://klasma.github.io/Logging_2284/tillsyn/A 2011-2023 tillsynsbegäran.docx", "A 2011-2023")</f>
        <v/>
      </c>
      <c r="AD30">
        <f>HYPERLINK("https://klasma.github.io/Logging_2284/tillsynsmail/A 2011-2023 tillsynsbegäran mail.docx", "A 2011-2023")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46321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46321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46321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46321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46321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46321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46321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61109-2022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44908</v>
      </c>
      <c r="E38" s="1" t="n">
        <v>46321</v>
      </c>
      <c r="F38" t="inlineStr">
        <is>
          <t>VÄSTERNORRLANDS LÄN</t>
        </is>
      </c>
      <c r="G38" t="inlineStr">
        <is>
          <t>ÖRNSKÖLDSVIK</t>
        </is>
      </c>
      <c r="I38" t="n">
        <v>3.6</v>
      </c>
      <c r="J38" t="n">
        <v>5</v>
      </c>
      <c r="K38" t="n">
        <v>0</v>
      </c>
      <c r="L38" t="n">
        <v>2</v>
      </c>
      <c r="M38" t="n">
        <v>2</v>
      </c>
      <c r="N38" t="n">
        <v>1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11</v>
      </c>
      <c r="U38" t="n">
        <v>9</v>
      </c>
      <c r="V38" s="2" t="inlineStr">
        <is>
          <t>Storspov
Brunfläckig pärlemorfjäril
Knärot
Gulsparv
Sädesärla
Grönsiska</t>
        </is>
      </c>
      <c r="W38">
        <f>HYPERLINK("https://klasma.github.io/Logging_2284/artfynd/A 61109-2022 artfynd.xlsx", "A 61109-2022")</f>
        <v/>
      </c>
      <c r="X38">
        <f>HYPERLINK("https://klasma.github.io/Logging_2284/kartor/A 61109-2022 karta.png", "A 61109-2022")</f>
        <v/>
      </c>
      <c r="Y38">
        <f>HYPERLINK("https://klasma.github.io/Logging_2284/kartor_geotiff/A 61109-2022 georefererad karta.tif", "A 61109-2022")</f>
        <v/>
      </c>
      <c r="Z38">
        <f>HYPERLINK("https://klasma.github.io/Logging_2284/knärot/A 61109-2022 karta knärot.png", "A 61109-2022")</f>
        <v/>
      </c>
      <c r="AA38">
        <f>HYPERLINK("https://klasma.github.io/Logging_2284/klagomål/A 61109-2022 FSC-klagomål.docx", "A 61109-2022")</f>
        <v/>
      </c>
      <c r="AB38">
        <f>HYPERLINK("https://klasma.github.io/Logging_2284/klagomålsmail/A 61109-2022 FSC-klagomål mail.docx", "A 61109-2022")</f>
        <v/>
      </c>
      <c r="AC38">
        <f>HYPERLINK("https://klasma.github.io/Logging_2284/tillsyn/A 61109-2022 tillsynsbegäran.docx", "A 61109-2022")</f>
        <v/>
      </c>
      <c r="AD38">
        <f>HYPERLINK("https://klasma.github.io/Logging_2284/tillsynsmail/A 61109-2022 tillsynsbegäran mail.docx", "A 61109-2022")</f>
        <v/>
      </c>
      <c r="AE38">
        <f>HYPERLINK("https://klasma.github.io/Logging_2284/fåglar/A 61109-2022 prioriterade fågelarter.docx", "A 61109-2022")</f>
        <v/>
      </c>
    </row>
    <row r="39" ht="15" customHeight="1">
      <c r="A39" t="inlineStr">
        <is>
          <t>A 50264-2024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46321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3.6</v>
      </c>
      <c r="J39" t="n">
        <v>1</v>
      </c>
      <c r="K39" t="n">
        <v>3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6</v>
      </c>
      <c r="T39" t="n">
        <v>6</v>
      </c>
      <c r="U39" t="n">
        <v>0</v>
      </c>
      <c r="V39" s="2" t="inlineStr">
        <is>
          <t>Knärot
Lunglav
Ullticka
Bårdlav
Skinnlav
Stuplav</t>
        </is>
      </c>
      <c r="W39">
        <f>HYPERLINK("https://klasma.github.io/Logging_2284/artfynd/A 50264-2024 artfynd.xlsx", "A 50264-2024")</f>
        <v/>
      </c>
      <c r="X39">
        <f>HYPERLINK("https://klasma.github.io/Logging_2284/kartor/A 50264-2024 karta.png", "A 50264-2024")</f>
        <v/>
      </c>
      <c r="Y39">
        <f>HYPERLINK("https://klasma.github.io/Logging_2284/kartor_geotiff/A 50264-2024 georefererad karta.tif", "A 50264-2024")</f>
        <v/>
      </c>
      <c r="Z39">
        <f>HYPERLINK("https://klasma.github.io/Logging_2284/knärot/A 50264-2024 karta knärot.png", "A 50264-2024")</f>
        <v/>
      </c>
      <c r="AA39">
        <f>HYPERLINK("https://klasma.github.io/Logging_2284/klagomål/A 50264-2024 FSC-klagomål.docx", "A 50264-2024")</f>
        <v/>
      </c>
      <c r="AB39">
        <f>HYPERLINK("https://klasma.github.io/Logging_2284/klagomålsmail/A 50264-2024 FSC-klagomål mail.docx", "A 50264-2024")</f>
        <v/>
      </c>
      <c r="AC39">
        <f>HYPERLINK("https://klasma.github.io/Logging_2284/tillsyn/A 50264-2024 tillsynsbegäran.docx", "A 50264-2024")</f>
        <v/>
      </c>
      <c r="AD39">
        <f>HYPERLINK("https://klasma.github.io/Logging_2284/tillsynsmail/A 50264-2024 tillsynsbegäran mail.docx", "A 50264-2024")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46321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46321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t="n">
        <v>0</v>
      </c>
      <c r="V41" s="2" t="inlineStr">
        <is>
          <t>Garnlav
Gränsticka
Knärot
Lunglav
Ullticka
Stuplav</t>
        </is>
      </c>
      <c r="W41">
        <f>HYPERLINK("https://klasma.github.io/Logging_2284/artfynd/A 63343-2025 artfynd.xlsx", "A 63343-2025")</f>
        <v/>
      </c>
      <c r="X41">
        <f>HYPERLINK("https://klasma.github.io/Logging_2284/kartor/A 63343-2025 karta.png", "A 63343-2025")</f>
        <v/>
      </c>
      <c r="Y41">
        <f>HYPERLINK("https://klasma.github.io/Logging_2284/kartor_geotiff/A 63343-2025 georefererad karta.tif", "A 63343-2025")</f>
        <v/>
      </c>
      <c r="Z41">
        <f>HYPERLINK("https://klasma.github.io/Logging_2284/knärot/A 63343-2025 karta knärot.png", "A 63343-2025")</f>
        <v/>
      </c>
      <c r="AA41">
        <f>HYPERLINK("https://klasma.github.io/Logging_2284/klagomål/A 63343-2025 FSC-klagomål.docx", "A 63343-2025")</f>
        <v/>
      </c>
      <c r="AB41">
        <f>HYPERLINK("https://klasma.github.io/Logging_2284/klagomålsmail/A 63343-2025 FSC-klagomål mail.docx", "A 63343-2025")</f>
        <v/>
      </c>
      <c r="AC41">
        <f>HYPERLINK("https://klasma.github.io/Logging_2284/tillsyn/A 63343-2025 tillsynsbegäran.docx", "A 63343-2025")</f>
        <v/>
      </c>
      <c r="AD41">
        <f>HYPERLINK("https://klasma.github.io/Logging_2284/tillsynsmail/A 63343-2025 tillsynsbegäran mail.docx", "A 63343-2025")</f>
        <v/>
      </c>
    </row>
    <row r="42" ht="15" customHeight="1">
      <c r="A42" t="inlineStr">
        <is>
          <t>A 38179-2026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46281</v>
      </c>
      <c r="E42" s="1" t="n">
        <v>46321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2.6</v>
      </c>
      <c r="J42" t="n">
        <v>2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10</v>
      </c>
      <c r="U42" t="n">
        <v>7</v>
      </c>
      <c r="V42" s="2" t="inlineStr">
        <is>
          <t>Garnlav
Rynkskinn
Ullticka
Blodticka
Spindelblomster
Fläcknycklar</t>
        </is>
      </c>
      <c r="W42">
        <f>HYPERLINK("https://klasma.github.io/Logging_2284/artfynd/A 38179-2026 artfynd.xlsx", "A 38179-2026")</f>
        <v/>
      </c>
      <c r="X42">
        <f>HYPERLINK("https://klasma.github.io/Logging_2284/kartor/A 38179-2026 karta.png", "A 38179-2026")</f>
        <v/>
      </c>
      <c r="Y42">
        <f>HYPERLINK("https://klasma.github.io/Logging_2284/kartor_geotiff/A 38179-2026 georefererad karta.tif", "A 38179-2026")</f>
        <v/>
      </c>
      <c r="AA42">
        <f>HYPERLINK("https://klasma.github.io/Logging_2284/klagomål/A 38179-2026 FSC-klagomål.docx", "A 38179-2026")</f>
        <v/>
      </c>
      <c r="AB42">
        <f>HYPERLINK("https://klasma.github.io/Logging_2284/klagomålsmail/A 38179-2026 FSC-klagomål mail.docx", "A 38179-2026")</f>
        <v/>
      </c>
      <c r="AC42">
        <f>HYPERLINK("https://klasma.github.io/Logging_2284/tillsyn/A 38179-2026 tillsynsbegäran.docx", "A 38179-2026")</f>
        <v/>
      </c>
      <c r="AD42">
        <f>HYPERLINK("https://klasma.github.io/Logging_2284/tillsynsmail/A 38179-2026 tillsynsbegäran mail.docx", "A 38179-2026")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46321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A 36299-2026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46321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3.5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Garnlav
Blå taggsvamp
Dropptaggsvamp
Motaggsvamp
Mörk kolflarnlav
Vitgrynig nållav</t>
        </is>
      </c>
      <c r="W44">
        <f>HYPERLINK("https://klasma.github.io/Logging_2284/artfynd/A 36299-2026 artfynd.xlsx", "A 36299-2026")</f>
        <v/>
      </c>
      <c r="X44">
        <f>HYPERLINK("https://klasma.github.io/Logging_2284/kartor/A 36299-2026 karta.png", "A 36299-2026")</f>
        <v/>
      </c>
      <c r="Y44">
        <f>HYPERLINK("https://klasma.github.io/Logging_2284/kartor_geotiff/A 36299-2026 georefererad karta.tif", "A 36299-2026")</f>
        <v/>
      </c>
      <c r="AA44">
        <f>HYPERLINK("https://klasma.github.io/Logging_2284/klagomål/A 36299-2026 FSC-klagomål.docx", "A 36299-2026")</f>
        <v/>
      </c>
      <c r="AB44">
        <f>HYPERLINK("https://klasma.github.io/Logging_2284/klagomålsmail/A 36299-2026 FSC-klagomål mail.docx", "A 36299-2026")</f>
        <v/>
      </c>
      <c r="AC44">
        <f>HYPERLINK("https://klasma.github.io/Logging_2284/tillsyn/A 36299-2026 tillsynsbegäran.docx", "A 36299-2026")</f>
        <v/>
      </c>
      <c r="AD44">
        <f>HYPERLINK("https://klasma.github.io/Logging_2284/tillsynsmail/A 36299-2026 tillsynsbegäran mail.docx", "A 36299-2026")</f>
        <v/>
      </c>
    </row>
    <row r="45" ht="15" customHeight="1">
      <c r="A45" t="inlineStr">
        <is>
          <t>A 46423-2024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46321</v>
      </c>
      <c r="F45" t="inlineStr">
        <is>
          <t>VÄSTERNORRLANDS LÄN</t>
        </is>
      </c>
      <c r="G45" t="inlineStr">
        <is>
          <t>ÖRNSKÖLDSVIK</t>
        </is>
      </c>
      <c r="I45" t="n">
        <v>2.4</v>
      </c>
      <c r="J45" t="n">
        <v>1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Lunglav
Rosenticka
Rynkskinn
Talltita
Ullticka</t>
        </is>
      </c>
      <c r="W45">
        <f>HYPERLINK("https://klasma.github.io/Logging_2284/artfynd/A 46423-2024 artfynd.xlsx", "A 46423-2024")</f>
        <v/>
      </c>
      <c r="X45">
        <f>HYPERLINK("https://klasma.github.io/Logging_2284/kartor/A 46423-2024 karta.png", "A 46423-2024")</f>
        <v/>
      </c>
      <c r="Y45">
        <f>HYPERLINK("https://klasma.github.io/Logging_2284/kartor_geotiff/A 46423-2024 georefererad karta.tif", "A 46423-2024")</f>
        <v/>
      </c>
      <c r="AA45">
        <f>HYPERLINK("https://klasma.github.io/Logging_2284/klagomål/A 46423-2024 FSC-klagomål.docx", "A 46423-2024")</f>
        <v/>
      </c>
      <c r="AB45">
        <f>HYPERLINK("https://klasma.github.io/Logging_2284/klagomålsmail/A 46423-2024 FSC-klagomål mail.docx", "A 46423-2024")</f>
        <v/>
      </c>
      <c r="AC45">
        <f>HYPERLINK("https://klasma.github.io/Logging_2284/tillsyn/A 46423-2024 tillsynsbegäran.docx", "A 46423-2024")</f>
        <v/>
      </c>
      <c r="AD45">
        <f>HYPERLINK("https://klasma.github.io/Logging_2284/tillsynsmail/A 46423-2024 tillsynsbegäran mail.docx", "A 46423-2024")</f>
        <v/>
      </c>
      <c r="AE45">
        <f>HYPERLINK("https://klasma.github.io/Logging_2284/fåglar/A 46423-2024 prioriterade fågelarter.docx", "A 46423-2024")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46321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46321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46321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14959-2023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45015</v>
      </c>
      <c r="E49" s="1" t="n">
        <v>46321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8.4</v>
      </c>
      <c r="J49" t="n">
        <v>0</v>
      </c>
      <c r="K49" t="n">
        <v>3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9</v>
      </c>
      <c r="U49" t="n">
        <v>0</v>
      </c>
      <c r="V49" s="2" t="inlineStr">
        <is>
          <t>Aspgelélav
Lunglav
Korallblylav
Skinnlav
Stuplav</t>
        </is>
      </c>
      <c r="W49">
        <f>HYPERLINK("https://klasma.github.io/Logging_2284/artfynd/A 14959-2023 artfynd.xlsx", "A 14959-2023")</f>
        <v/>
      </c>
      <c r="X49">
        <f>HYPERLINK("https://klasma.github.io/Logging_2284/kartor/A 14959-2023 karta.png", "A 14959-2023")</f>
        <v/>
      </c>
      <c r="Y49">
        <f>HYPERLINK("https://klasma.github.io/Logging_2284/kartor_geotiff/A 14959-2023 georefererad karta.tif", "A 14959-2023")</f>
        <v/>
      </c>
      <c r="AA49">
        <f>HYPERLINK("https://klasma.github.io/Logging_2284/klagomål/A 14959-2023 FSC-klagomål.docx", "A 14959-2023")</f>
        <v/>
      </c>
      <c r="AB49">
        <f>HYPERLINK("https://klasma.github.io/Logging_2284/klagomålsmail/A 14959-2023 FSC-klagomål mail.docx", "A 14959-2023")</f>
        <v/>
      </c>
      <c r="AC49">
        <f>HYPERLINK("https://klasma.github.io/Logging_2284/tillsyn/A 14959-2023 tillsynsbegäran.docx", "A 14959-2023")</f>
        <v/>
      </c>
      <c r="AD49">
        <f>HYPERLINK("https://klasma.github.io/Logging_2284/tillsynsmail/A 14959-2023 tillsynsbegäran mail.docx", "A 14959-2023")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46321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t="n">
        <v>8</v>
      </c>
      <c r="V50" s="2" t="inlineStr">
        <is>
          <t>Knärot
Ullticka
Tjäder
Fläcknycklar
Revlummer</t>
        </is>
      </c>
      <c r="W50">
        <f>HYPERLINK("https://klasma.github.io/Logging_2284/artfynd/A 62584-2023 artfynd.xlsx", "A 62584-2023")</f>
        <v/>
      </c>
      <c r="X50">
        <f>HYPERLINK("https://klasma.github.io/Logging_2284/kartor/A 62584-2023 karta.png", "A 62584-2023")</f>
        <v/>
      </c>
      <c r="Y50">
        <f>HYPERLINK("https://klasma.github.io/Logging_2284/kartor_geotiff/A 62584-2023 georefererad karta.tif", "A 62584-2023")</f>
        <v/>
      </c>
      <c r="Z50">
        <f>HYPERLINK("https://klasma.github.io/Logging_2284/knärot/A 62584-2023 karta knärot.png", "A 62584-2023")</f>
        <v/>
      </c>
      <c r="AA50">
        <f>HYPERLINK("https://klasma.github.io/Logging_2284/klagomål/A 62584-2023 FSC-klagomål.docx", "A 62584-2023")</f>
        <v/>
      </c>
      <c r="AB50">
        <f>HYPERLINK("https://klasma.github.io/Logging_2284/klagomålsmail/A 62584-2023 FSC-klagomål mail.docx", "A 62584-2023")</f>
        <v/>
      </c>
      <c r="AC50">
        <f>HYPERLINK("https://klasma.github.io/Logging_2284/tillsyn/A 62584-2023 tillsynsbegäran.docx", "A 62584-2023")</f>
        <v/>
      </c>
      <c r="AD50">
        <f>HYPERLINK("https://klasma.github.io/Logging_2284/tillsynsmail/A 62584-2023 tillsynsbegäran mail.docx", "A 62584-2023")</f>
        <v/>
      </c>
      <c r="AE50">
        <f>HYPERLINK("https://klasma.github.io/Logging_2284/fåglar/A 62584-2023 prioriterade fågelarter.docx", "A 62584-2023")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46321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t="n">
        <v>0</v>
      </c>
      <c r="V51" s="2" t="inlineStr">
        <is>
          <t>Liten hornflikmossa
Timmerskapania
Vedtrappmossa
Skogshakmossa
Stor aspticka</t>
        </is>
      </c>
      <c r="W51">
        <f>HYPERLINK("https://klasma.github.io/Logging_2284/artfynd/A 54155-2023 artfynd.xlsx", "A 54155-2023")</f>
        <v/>
      </c>
      <c r="X51">
        <f>HYPERLINK("https://klasma.github.io/Logging_2284/kartor/A 54155-2023 karta.png", "A 54155-2023")</f>
        <v/>
      </c>
      <c r="Y51">
        <f>HYPERLINK("https://klasma.github.io/Logging_2284/kartor_geotiff/A 54155-2023 georefererad karta.tif", "A 54155-2023")</f>
        <v/>
      </c>
      <c r="AA51">
        <f>HYPERLINK("https://klasma.github.io/Logging_2284/klagomål/A 54155-2023 FSC-klagomål.docx", "A 54155-2023")</f>
        <v/>
      </c>
      <c r="AB51">
        <f>HYPERLINK("https://klasma.github.io/Logging_2284/klagomålsmail/A 54155-2023 FSC-klagomål mail.docx", "A 54155-2023")</f>
        <v/>
      </c>
      <c r="AC51">
        <f>HYPERLINK("https://klasma.github.io/Logging_2284/tillsyn/A 54155-2023 tillsynsbegäran.docx", "A 54155-2023")</f>
        <v/>
      </c>
      <c r="AD51">
        <f>HYPERLINK("https://klasma.github.io/Logging_2284/tillsynsmail/A 54155-2023 tillsynsbegäran mail.docx", "A 54155-2023")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46321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46321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46321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A 3544-2024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45320</v>
      </c>
      <c r="E55" s="1" t="n">
        <v>46321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7.3</v>
      </c>
      <c r="J55" t="n">
        <v>0</v>
      </c>
      <c r="K55" t="n">
        <v>1</v>
      </c>
      <c r="L55" t="n">
        <v>2</v>
      </c>
      <c r="M55" t="n">
        <v>2</v>
      </c>
      <c r="N55" t="n">
        <v>0</v>
      </c>
      <c r="O55" t="n">
        <v>0</v>
      </c>
      <c r="P55" t="n">
        <v>0</v>
      </c>
      <c r="Q55" t="n">
        <v>4</v>
      </c>
      <c r="R55" t="n">
        <v>2</v>
      </c>
      <c r="S55" t="n">
        <v>5</v>
      </c>
      <c r="T55" t="n">
        <v>5</v>
      </c>
      <c r="U55" t="n">
        <v>0</v>
      </c>
      <c r="V55" s="2" t="inlineStr">
        <is>
          <t>Garnlav
Gräddporing
Doftskinn
Reliktbock
Grovticka</t>
        </is>
      </c>
      <c r="W55">
        <f>HYPERLINK("https://klasma.github.io/Logging_2284/artfynd/A 3544-2024 artfynd.xlsx", "A 3544-2024")</f>
        <v/>
      </c>
      <c r="X55">
        <f>HYPERLINK("https://klasma.github.io/Logging_2284/kartor/A 3544-2024 karta.png", "A 3544-2024")</f>
        <v/>
      </c>
      <c r="Y55">
        <f>HYPERLINK("https://klasma.github.io/Logging_2284/kartor_geotiff/A 3544-2024 georefererad karta.tif", "A 3544-2024")</f>
        <v/>
      </c>
      <c r="AA55">
        <f>HYPERLINK("https://klasma.github.io/Logging_2284/klagomål/A 3544-2024 FSC-klagomål.docx", "A 3544-2024")</f>
        <v/>
      </c>
      <c r="AB55">
        <f>HYPERLINK("https://klasma.github.io/Logging_2284/klagomålsmail/A 3544-2024 FSC-klagomål mail.docx", "A 3544-2024")</f>
        <v/>
      </c>
      <c r="AC55">
        <f>HYPERLINK("https://klasma.github.io/Logging_2284/tillsyn/A 3544-2024 tillsynsbegäran.docx", "A 3544-2024")</f>
        <v/>
      </c>
      <c r="AD55">
        <f>HYPERLINK("https://klasma.github.io/Logging_2284/tillsynsmail/A 3544-2024 tillsynsbegäran mail.docx", "A 3544-2024")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46321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46321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46321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46321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46321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46321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46321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46321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46321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46321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6571-2025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46321</v>
      </c>
      <c r="F66" t="inlineStr">
        <is>
          <t>VÄSTERNORRLANDS LÄN</t>
        </is>
      </c>
      <c r="G66" t="inlineStr">
        <is>
          <t>ÖRNSKÖLDSVIK</t>
        </is>
      </c>
      <c r="I66" t="n">
        <v>1.8</v>
      </c>
      <c r="J66" t="n">
        <v>2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16</v>
      </c>
      <c r="U66" t="n">
        <v>0</v>
      </c>
      <c r="V66" s="2" t="inlineStr">
        <is>
          <t>Knärot
Ullticka
Vedticka
Fläcknycklar</t>
        </is>
      </c>
      <c r="W66">
        <f>HYPERLINK("https://klasma.github.io/Logging_2284/artfynd/A 6571-2025 artfynd.xlsx", "A 6571-2025")</f>
        <v/>
      </c>
      <c r="X66">
        <f>HYPERLINK("https://klasma.github.io/Logging_2284/kartor/A 6571-2025 karta.png", "A 6571-2025")</f>
        <v/>
      </c>
      <c r="Y66">
        <f>HYPERLINK("https://klasma.github.io/Logging_2284/kartor_geotiff/A 6571-2025 georefererad karta.tif", "A 6571-2025")</f>
        <v/>
      </c>
      <c r="Z66">
        <f>HYPERLINK("https://klasma.github.io/Logging_2284/knärot/A 6571-2025 karta knärot.png", "A 6571-2025")</f>
        <v/>
      </c>
      <c r="AA66">
        <f>HYPERLINK("https://klasma.github.io/Logging_2284/klagomål/A 6571-2025 FSC-klagomål.docx", "A 6571-2025")</f>
        <v/>
      </c>
      <c r="AB66">
        <f>HYPERLINK("https://klasma.github.io/Logging_2284/klagomålsmail/A 6571-2025 FSC-klagomål mail.docx", "A 6571-2025")</f>
        <v/>
      </c>
      <c r="AC66">
        <f>HYPERLINK("https://klasma.github.io/Logging_2284/tillsyn/A 6571-2025 tillsynsbegäran.docx", "A 6571-2025")</f>
        <v/>
      </c>
      <c r="AD66">
        <f>HYPERLINK("https://klasma.github.io/Logging_2284/tillsynsmail/A 6571-2025 tillsynsbegäran mail.docx", "A 6571-2025")</f>
        <v/>
      </c>
    </row>
    <row r="67" ht="15" customHeight="1">
      <c r="A67" t="inlineStr">
        <is>
          <t>A 12698-2024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45384</v>
      </c>
      <c r="E67" s="1" t="n">
        <v>46321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7.3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5</v>
      </c>
      <c r="U67" t="n">
        <v>0</v>
      </c>
      <c r="V67" s="2" t="inlineStr">
        <is>
          <t>Garnlav
Kolflarnlav
Reliktbock
Tallticka</t>
        </is>
      </c>
      <c r="W67">
        <f>HYPERLINK("https://klasma.github.io/Logging_2284/artfynd/A 12698-2024 artfynd.xlsx", "A 12698-2024")</f>
        <v/>
      </c>
      <c r="X67">
        <f>HYPERLINK("https://klasma.github.io/Logging_2284/kartor/A 12698-2024 karta.png", "A 12698-2024")</f>
        <v/>
      </c>
      <c r="Y67">
        <f>HYPERLINK("https://klasma.github.io/Logging_2284/kartor_geotiff/A 12698-2024 georefererad karta.tif", "A 12698-2024")</f>
        <v/>
      </c>
      <c r="AA67">
        <f>HYPERLINK("https://klasma.github.io/Logging_2284/klagomål/A 12698-2024 FSC-klagomål.docx", "A 12698-2024")</f>
        <v/>
      </c>
      <c r="AB67">
        <f>HYPERLINK("https://klasma.github.io/Logging_2284/klagomålsmail/A 12698-2024 FSC-klagomål mail.docx", "A 12698-2024")</f>
        <v/>
      </c>
      <c r="AC67">
        <f>HYPERLINK("https://klasma.github.io/Logging_2284/tillsyn/A 12698-2024 tillsynsbegäran.docx", "A 12698-2024")</f>
        <v/>
      </c>
      <c r="AD67">
        <f>HYPERLINK("https://klasma.github.io/Logging_2284/tillsynsmail/A 12698-2024 tillsynsbegäran mail.docx", "A 12698-2024")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46321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A 49701-2023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45212</v>
      </c>
      <c r="E69" s="1" t="n">
        <v>46321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11.8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9</v>
      </c>
      <c r="U69" t="n">
        <v>9</v>
      </c>
      <c r="V69" s="2" t="inlineStr">
        <is>
          <t>Dropptaggsvamp
Mjölsvärting
Motaggsvamp
Tallriska</t>
        </is>
      </c>
      <c r="W69">
        <f>HYPERLINK("https://klasma.github.io/Logging_2284/artfynd/A 49701-2023 artfynd.xlsx", "A 49701-2023")</f>
        <v/>
      </c>
      <c r="X69">
        <f>HYPERLINK("https://klasma.github.io/Logging_2284/kartor/A 49701-2023 karta.png", "A 49701-2023")</f>
        <v/>
      </c>
      <c r="Y69">
        <f>HYPERLINK("https://klasma.github.io/Logging_2284/kartor_geotiff/A 49701-2023 georefererad karta.tif", "A 49701-2023")</f>
        <v/>
      </c>
      <c r="AA69">
        <f>HYPERLINK("https://klasma.github.io/Logging_2284/klagomål/A 49701-2023 FSC-klagomål.docx", "A 49701-2023")</f>
        <v/>
      </c>
      <c r="AB69">
        <f>HYPERLINK("https://klasma.github.io/Logging_2284/klagomålsmail/A 49701-2023 FSC-klagomål mail.docx", "A 49701-2023")</f>
        <v/>
      </c>
      <c r="AC69">
        <f>HYPERLINK("https://klasma.github.io/Logging_2284/tillsyn/A 49701-2023 tillsynsbegäran.docx", "A 49701-2023")</f>
        <v/>
      </c>
      <c r="AD69">
        <f>HYPERLINK("https://klasma.github.io/Logging_2284/tillsynsmail/A 49701-2023 tillsynsbegäran mail.docx", "A 49701-2023")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46321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46321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46321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46321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46321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46321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12288-2024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45378</v>
      </c>
      <c r="E76" s="1" t="n">
        <v>46321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4.7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Vedskivlav
Luddlav</t>
        </is>
      </c>
      <c r="W76">
        <f>HYPERLINK("https://klasma.github.io/Logging_2284/artfynd/A 12288-2024 artfynd.xlsx", "A 12288-2024")</f>
        <v/>
      </c>
      <c r="X76">
        <f>HYPERLINK("https://klasma.github.io/Logging_2284/kartor/A 12288-2024 karta.png", "A 12288-2024")</f>
        <v/>
      </c>
      <c r="Y76">
        <f>HYPERLINK("https://klasma.github.io/Logging_2284/kartor_geotiff/A 12288-2024 georefererad karta.tif", "A 12288-2024")</f>
        <v/>
      </c>
      <c r="AA76">
        <f>HYPERLINK("https://klasma.github.io/Logging_2284/klagomål/A 12288-2024 FSC-klagomål.docx", "A 12288-2024")</f>
        <v/>
      </c>
      <c r="AB76">
        <f>HYPERLINK("https://klasma.github.io/Logging_2284/klagomålsmail/A 12288-2024 FSC-klagomål mail.docx", "A 12288-2024")</f>
        <v/>
      </c>
      <c r="AC76">
        <f>HYPERLINK("https://klasma.github.io/Logging_2284/tillsyn/A 12288-2024 tillsynsbegäran.docx", "A 12288-2024")</f>
        <v/>
      </c>
      <c r="AD76">
        <f>HYPERLINK("https://klasma.github.io/Logging_2284/tillsynsmail/A 12288-2024 tillsynsbegäran mail.docx", "A 12288-2024")</f>
        <v/>
      </c>
    </row>
    <row r="77" ht="15" customHeight="1">
      <c r="A77" t="inlineStr">
        <is>
          <t>A 28993-2026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46321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SCA</t>
        </is>
      </c>
      <c r="I77" t="n">
        <v>1.1</v>
      </c>
      <c r="J77" t="n">
        <v>0</v>
      </c>
      <c r="K77" t="n">
        <v>0</v>
      </c>
      <c r="L77" t="n">
        <v>2</v>
      </c>
      <c r="M77" t="n">
        <v>1</v>
      </c>
      <c r="N77" t="n">
        <v>0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5</v>
      </c>
      <c r="U77" t="n">
        <v>0</v>
      </c>
      <c r="V77" s="2" t="inlineStr">
        <is>
          <t>Garnlav
Doftskinn
Gammelgransskål</t>
        </is>
      </c>
      <c r="W77">
        <f>HYPERLINK("https://klasma.github.io/Logging_2284/artfynd/A 28993-2026 artfynd.xlsx", "A 28993-2026")</f>
        <v/>
      </c>
      <c r="X77">
        <f>HYPERLINK("https://klasma.github.io/Logging_2284/kartor/A 28993-2026 karta.png", "A 28993-2026")</f>
        <v/>
      </c>
      <c r="Y77">
        <f>HYPERLINK("https://klasma.github.io/Logging_2284/kartor_geotiff/A 28993-2026 georefererad karta.tif", "A 28993-2026")</f>
        <v/>
      </c>
      <c r="AA77">
        <f>HYPERLINK("https://klasma.github.io/Logging_2284/klagomål/A 28993-2026 FSC-klagomål.docx", "A 28993-2026")</f>
        <v/>
      </c>
      <c r="AB77">
        <f>HYPERLINK("https://klasma.github.io/Logging_2284/klagomålsmail/A 28993-2026 FSC-klagomål mail.docx", "A 28993-2026")</f>
        <v/>
      </c>
      <c r="AC77">
        <f>HYPERLINK("https://klasma.github.io/Logging_2284/tillsyn/A 28993-2026 tillsynsbegäran.docx", "A 28993-2026")</f>
        <v/>
      </c>
      <c r="AD77">
        <f>HYPERLINK("https://klasma.github.io/Logging_2284/tillsynsmail/A 28993-2026 tillsynsbegäran mail.docx", "A 28993-2026")</f>
        <v/>
      </c>
    </row>
    <row r="78" ht="15" customHeight="1">
      <c r="A78" t="inlineStr">
        <is>
          <t>A 56530-2022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46321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2.2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Violettgrå tagellav
Skinnlav</t>
        </is>
      </c>
      <c r="W78">
        <f>HYPERLINK("https://klasma.github.io/Logging_2284/artfynd/A 56530-2022 artfynd.xlsx", "A 56530-2022")</f>
        <v/>
      </c>
      <c r="X78">
        <f>HYPERLINK("https://klasma.github.io/Logging_2284/kartor/A 56530-2022 karta.png", "A 56530-2022")</f>
        <v/>
      </c>
      <c r="Y78">
        <f>HYPERLINK("https://klasma.github.io/Logging_2284/kartor_geotiff/A 56530-2022 georefererad karta.tif", "A 56530-2022")</f>
        <v/>
      </c>
      <c r="AA78">
        <f>HYPERLINK("https://klasma.github.io/Logging_2284/klagomål/A 56530-2022 FSC-klagomål.docx", "A 56530-2022")</f>
        <v/>
      </c>
      <c r="AB78">
        <f>HYPERLINK("https://klasma.github.io/Logging_2284/klagomålsmail/A 56530-2022 FSC-klagomål mail.docx", "A 56530-2022")</f>
        <v/>
      </c>
      <c r="AC78">
        <f>HYPERLINK("https://klasma.github.io/Logging_2284/tillsyn/A 56530-2022 tillsynsbegäran.docx", "A 56530-2022")</f>
        <v/>
      </c>
      <c r="AD78">
        <f>HYPERLINK("https://klasma.github.io/Logging_2284/tillsynsmail/A 56530-2022 tillsynsbegäran mail.docx", "A 56530-2022")</f>
        <v/>
      </c>
    </row>
    <row r="79" ht="15" customHeight="1">
      <c r="A79" t="inlineStr">
        <is>
          <t>A 16195-2026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46111</v>
      </c>
      <c r="E79" s="1" t="n">
        <v>46321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SCA</t>
        </is>
      </c>
      <c r="I79" t="n">
        <v>0.6</v>
      </c>
      <c r="J79" t="n">
        <v>0</v>
      </c>
      <c r="K79" t="n">
        <v>0</v>
      </c>
      <c r="L79" t="n">
        <v>2</v>
      </c>
      <c r="M79" t="n">
        <v>1</v>
      </c>
      <c r="N79" t="n">
        <v>0</v>
      </c>
      <c r="O79" t="n">
        <v>0</v>
      </c>
      <c r="P79" t="n">
        <v>0</v>
      </c>
      <c r="Q79" t="n">
        <v>3</v>
      </c>
      <c r="R79" t="n">
        <v>1</v>
      </c>
      <c r="S79" t="n">
        <v>3</v>
      </c>
      <c r="T79" t="n">
        <v>3</v>
      </c>
      <c r="U79" t="n">
        <v>0</v>
      </c>
      <c r="V79" s="2" t="inlineStr">
        <is>
          <t>Garnlav
Dropptaggsvamp
Lunglav</t>
        </is>
      </c>
      <c r="W79">
        <f>HYPERLINK("https://klasma.github.io/Logging_2284/artfynd/A 16195-2026 artfynd.xlsx", "A 16195-2026")</f>
        <v/>
      </c>
      <c r="X79">
        <f>HYPERLINK("https://klasma.github.io/Logging_2284/kartor/A 16195-2026 karta.png", "A 16195-2026")</f>
        <v/>
      </c>
      <c r="Y79">
        <f>HYPERLINK("https://klasma.github.io/Logging_2284/kartor_geotiff/A 16195-2026 georefererad karta.tif", "A 16195-2026")</f>
        <v/>
      </c>
      <c r="AA79">
        <f>HYPERLINK("https://klasma.github.io/Logging_2284/klagomål/A 16195-2026 FSC-klagomål.docx", "A 16195-2026")</f>
        <v/>
      </c>
      <c r="AB79">
        <f>HYPERLINK("https://klasma.github.io/Logging_2284/klagomålsmail/A 16195-2026 FSC-klagomål mail.docx", "A 16195-2026")</f>
        <v/>
      </c>
      <c r="AC79">
        <f>HYPERLINK("https://klasma.github.io/Logging_2284/tillsyn/A 16195-2026 tillsynsbegäran.docx", "A 16195-2026")</f>
        <v/>
      </c>
      <c r="AD79">
        <f>HYPERLINK("https://klasma.github.io/Logging_2284/tillsynsmail/A 16195-2026 tillsynsbegäran mail.docx", "A 16195-2026")</f>
        <v/>
      </c>
    </row>
    <row r="80" ht="15" customHeight="1">
      <c r="A80" t="inlineStr">
        <is>
          <t>A 43490-2026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46315</v>
      </c>
      <c r="E80" s="1" t="n">
        <v>46321</v>
      </c>
      <c r="F80" t="inlineStr">
        <is>
          <t>VÄSTERNORRLANDS LÄN</t>
        </is>
      </c>
      <c r="G80" t="inlineStr">
        <is>
          <t>ÖRNSKÖLDSVIK</t>
        </is>
      </c>
      <c r="I80" t="n">
        <v>9.300000000000001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Kolflarnlav
Sotvaxskivling
Vedtrappmossa</t>
        </is>
      </c>
      <c r="W80">
        <f>HYPERLINK("https://klasma.github.io/Logging_2284/artfynd/A 43490-2026 artfynd.xlsx", "A 43490-2026")</f>
        <v/>
      </c>
      <c r="X80">
        <f>HYPERLINK("https://klasma.github.io/Logging_2284/kartor/A 43490-2026 karta.png", "A 43490-2026")</f>
        <v/>
      </c>
      <c r="Y80">
        <f>HYPERLINK("https://klasma.github.io/Logging_2284/kartor_geotiff/A 43490-2026 georefererad karta.tif", "A 43490-2026")</f>
        <v/>
      </c>
      <c r="AA80">
        <f>HYPERLINK("https://klasma.github.io/Logging_2284/klagomål/A 43490-2026 FSC-klagomål.docx", "A 43490-2026")</f>
        <v/>
      </c>
      <c r="AB80">
        <f>HYPERLINK("https://klasma.github.io/Logging_2284/klagomålsmail/A 43490-2026 FSC-klagomål mail.docx", "A 43490-2026")</f>
        <v/>
      </c>
      <c r="AC80">
        <f>HYPERLINK("https://klasma.github.io/Logging_2284/tillsyn/A 43490-2026 tillsynsbegäran.docx", "A 43490-2026")</f>
        <v/>
      </c>
      <c r="AD80">
        <f>HYPERLINK("https://klasma.github.io/Logging_2284/tillsynsmail/A 43490-2026 tillsynsbegäran mail.docx", "A 43490-2026")</f>
        <v/>
      </c>
    </row>
    <row r="81" ht="15" customHeight="1">
      <c r="A81" t="inlineStr">
        <is>
          <t>A 62864-2025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46321</v>
      </c>
      <c r="F81" t="inlineStr">
        <is>
          <t>VÄSTERNORRLANDS LÄN</t>
        </is>
      </c>
      <c r="G81" t="inlineStr">
        <is>
          <t>ÖRNSKÖLDSVIK</t>
        </is>
      </c>
      <c r="I81" t="n">
        <v>10.1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Bollvitmossa
Lappranunkel</t>
        </is>
      </c>
      <c r="W81">
        <f>HYPERLINK("https://klasma.github.io/Logging_2284/artfynd/A 62864-2025 artfynd.xlsx", "A 62864-2025")</f>
        <v/>
      </c>
      <c r="X81">
        <f>HYPERLINK("https://klasma.github.io/Logging_2284/kartor/A 62864-2025 karta.png", "A 62864-2025")</f>
        <v/>
      </c>
      <c r="Y81">
        <f>HYPERLINK("https://klasma.github.io/Logging_2284/kartor_geotiff/A 62864-2025 georefererad karta.tif", "A 62864-2025")</f>
        <v/>
      </c>
      <c r="AA81">
        <f>HYPERLINK("https://klasma.github.io/Logging_2284/klagomål/A 62864-2025 FSC-klagomål.docx", "A 62864-2025")</f>
        <v/>
      </c>
      <c r="AB81">
        <f>HYPERLINK("https://klasma.github.io/Logging_2284/klagomålsmail/A 62864-2025 FSC-klagomål mail.docx", "A 62864-2025")</f>
        <v/>
      </c>
      <c r="AC81">
        <f>HYPERLINK("https://klasma.github.io/Logging_2284/tillsyn/A 62864-2025 tillsynsbegäran.docx", "A 62864-2025")</f>
        <v/>
      </c>
      <c r="AD81">
        <f>HYPERLINK("https://klasma.github.io/Logging_2284/tillsynsmail/A 62864-2025 tillsynsbegäran mail.docx", "A 62864-2025")</f>
        <v/>
      </c>
    </row>
    <row r="82" ht="15" customHeight="1">
      <c r="A82" t="inlineStr">
        <is>
          <t>A 20841-2024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45439</v>
      </c>
      <c r="E82" s="1" t="n">
        <v>46321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5.9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Tallticka
Bårdlav</t>
        </is>
      </c>
      <c r="W82">
        <f>HYPERLINK("https://klasma.github.io/Logging_2284/artfynd/A 20841-2024 artfynd.xlsx", "A 20841-2024")</f>
        <v/>
      </c>
      <c r="X82">
        <f>HYPERLINK("https://klasma.github.io/Logging_2284/kartor/A 20841-2024 karta.png", "A 20841-2024")</f>
        <v/>
      </c>
      <c r="Y82">
        <f>HYPERLINK("https://klasma.github.io/Logging_2284/kartor_geotiff/A 20841-2024 georefererad karta.tif", "A 20841-2024")</f>
        <v/>
      </c>
      <c r="AA82">
        <f>HYPERLINK("https://klasma.github.io/Logging_2284/klagomål/A 20841-2024 FSC-klagomål.docx", "A 20841-2024")</f>
        <v/>
      </c>
      <c r="AB82">
        <f>HYPERLINK("https://klasma.github.io/Logging_2284/klagomålsmail/A 20841-2024 FSC-klagomål mail.docx", "A 20841-2024")</f>
        <v/>
      </c>
      <c r="AC82">
        <f>HYPERLINK("https://klasma.github.io/Logging_2284/tillsyn/A 20841-2024 tillsynsbegäran.docx", "A 20841-2024")</f>
        <v/>
      </c>
      <c r="AD82">
        <f>HYPERLINK("https://klasma.github.io/Logging_2284/tillsynsmail/A 20841-2024 tillsynsbegäran mail.docx", "A 20841-2024")</f>
        <v/>
      </c>
    </row>
    <row r="83" ht="15" customHeight="1">
      <c r="A83" t="inlineStr">
        <is>
          <t>A 40059-2023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45168</v>
      </c>
      <c r="E83" s="1" t="n">
        <v>46321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1.6</v>
      </c>
      <c r="J83" t="n">
        <v>0</v>
      </c>
      <c r="K83" t="n">
        <v>0</v>
      </c>
      <c r="L83" t="n">
        <v>3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Reliktbock
Ullticka</t>
        </is>
      </c>
      <c r="W83">
        <f>HYPERLINK("https://klasma.github.io/Logging_2284/artfynd/A 40059-2023 artfynd.xlsx", "A 40059-2023")</f>
        <v/>
      </c>
      <c r="X83">
        <f>HYPERLINK("https://klasma.github.io/Logging_2284/kartor/A 40059-2023 karta.png", "A 40059-2023")</f>
        <v/>
      </c>
      <c r="Y83">
        <f>HYPERLINK("https://klasma.github.io/Logging_2284/kartor_geotiff/A 40059-2023 georefererad karta.tif", "A 40059-2023")</f>
        <v/>
      </c>
      <c r="AA83">
        <f>HYPERLINK("https://klasma.github.io/Logging_2284/klagomål/A 40059-2023 FSC-klagomål.docx", "A 40059-2023")</f>
        <v/>
      </c>
      <c r="AB83">
        <f>HYPERLINK("https://klasma.github.io/Logging_2284/klagomålsmail/A 40059-2023 FSC-klagomål mail.docx", "A 40059-2023")</f>
        <v/>
      </c>
      <c r="AC83">
        <f>HYPERLINK("https://klasma.github.io/Logging_2284/tillsyn/A 40059-2023 tillsynsbegäran.docx", "A 40059-2023")</f>
        <v/>
      </c>
      <c r="AD83">
        <f>HYPERLINK("https://klasma.github.io/Logging_2284/tillsynsmail/A 40059-2023 tillsynsbegäran mail.docx", "A 40059-2023")</f>
        <v/>
      </c>
    </row>
    <row r="84" ht="15" customHeight="1">
      <c r="A84" t="inlineStr">
        <is>
          <t>A 30381-2023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45111</v>
      </c>
      <c r="E84" s="1" t="n">
        <v>46321</v>
      </c>
      <c r="F84" t="inlineStr">
        <is>
          <t>VÄSTERNORRLANDS LÄN</t>
        </is>
      </c>
      <c r="G84" t="inlineStr">
        <is>
          <t>ÖRNSKÖLDSVIK</t>
        </is>
      </c>
      <c r="I84" t="n">
        <v>1.1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Vitfläckig guldvinge
Vanlig groda
Vanlig padda</t>
        </is>
      </c>
      <c r="W84">
        <f>HYPERLINK("https://klasma.github.io/Logging_2284/artfynd/A 30381-2023 artfynd.xlsx", "A 30381-2023")</f>
        <v/>
      </c>
      <c r="X84">
        <f>HYPERLINK("https://klasma.github.io/Logging_2284/kartor/A 30381-2023 karta.png", "A 30381-2023")</f>
        <v/>
      </c>
      <c r="Y84">
        <f>HYPERLINK("https://klasma.github.io/Logging_2284/kartor_geotiff/A 30381-2023 georefererad karta.tif", "A 30381-2023")</f>
        <v/>
      </c>
      <c r="AA84">
        <f>HYPERLINK("https://klasma.github.io/Logging_2284/klagomål/A 30381-2023 FSC-klagomål.docx", "A 30381-2023")</f>
        <v/>
      </c>
      <c r="AB84">
        <f>HYPERLINK("https://klasma.github.io/Logging_2284/klagomålsmail/A 30381-2023 FSC-klagomål mail.docx", "A 30381-2023")</f>
        <v/>
      </c>
      <c r="AC84">
        <f>HYPERLINK("https://klasma.github.io/Logging_2284/tillsyn/A 30381-2023 tillsynsbegäran.docx", "A 30381-2023")</f>
        <v/>
      </c>
      <c r="AD84">
        <f>HYPERLINK("https://klasma.github.io/Logging_2284/tillsynsmail/A 30381-2023 tillsynsbegäran mail.docx", "A 30381-2023")</f>
        <v/>
      </c>
    </row>
    <row r="85" ht="15" customHeight="1">
      <c r="A85" t="inlineStr">
        <is>
          <t>A 40197-2022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46321</v>
      </c>
      <c r="F85" t="inlineStr">
        <is>
          <t>VÄSTERNORRLANDS LÄN</t>
        </is>
      </c>
      <c r="G85" t="inlineStr">
        <is>
          <t>ÖRNSKÖLDSVIK</t>
        </is>
      </c>
      <c r="I85" t="n">
        <v>3.8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Rosenticka
Ullticka
Korallblylav</t>
        </is>
      </c>
      <c r="W85">
        <f>HYPERLINK("https://klasma.github.io/Logging_2284/artfynd/A 40197-2022 artfynd.xlsx", "A 40197-2022")</f>
        <v/>
      </c>
      <c r="X85">
        <f>HYPERLINK("https://klasma.github.io/Logging_2284/kartor/A 40197-2022 karta.png", "A 40197-2022")</f>
        <v/>
      </c>
      <c r="Y85">
        <f>HYPERLINK("https://klasma.github.io/Logging_2284/kartor_geotiff/A 40197-2022 georefererad karta.tif", "A 40197-2022")</f>
        <v/>
      </c>
      <c r="AA85">
        <f>HYPERLINK("https://klasma.github.io/Logging_2284/klagomål/A 40197-2022 FSC-klagomål.docx", "A 40197-2022")</f>
        <v/>
      </c>
      <c r="AB85">
        <f>HYPERLINK("https://klasma.github.io/Logging_2284/klagomålsmail/A 40197-2022 FSC-klagomål mail.docx", "A 40197-2022")</f>
        <v/>
      </c>
      <c r="AC85">
        <f>HYPERLINK("https://klasma.github.io/Logging_2284/tillsyn/A 40197-2022 tillsynsbegäran.docx", "A 40197-2022")</f>
        <v/>
      </c>
      <c r="AD85">
        <f>HYPERLINK("https://klasma.github.io/Logging_2284/tillsynsmail/A 40197-2022 tillsynsbegäran mail.docx", "A 40197-2022")</f>
        <v/>
      </c>
    </row>
    <row r="86" ht="15" customHeight="1">
      <c r="A86" t="inlineStr">
        <is>
          <t>A 30492-2023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46321</v>
      </c>
      <c r="F86" t="inlineStr">
        <is>
          <t>VÄSTERNORRLANDS LÄN</t>
        </is>
      </c>
      <c r="G86" t="inlineStr">
        <is>
          <t>ÖRNSKÖLDSVIK</t>
        </is>
      </c>
      <c r="I86" t="n">
        <v>3.4</v>
      </c>
      <c r="J86" t="n">
        <v>0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Rosenticka
Källmossor
Strutbräken</t>
        </is>
      </c>
      <c r="W86">
        <f>HYPERLINK("https://klasma.github.io/Logging_2284/artfynd/A 30492-2023 artfynd.xlsx", "A 30492-2023")</f>
        <v/>
      </c>
      <c r="X86">
        <f>HYPERLINK("https://klasma.github.io/Logging_2284/kartor/A 30492-2023 karta.png", "A 30492-2023")</f>
        <v/>
      </c>
      <c r="Y86">
        <f>HYPERLINK("https://klasma.github.io/Logging_2284/kartor_geotiff/A 30492-2023 georefererad karta.tif", "A 30492-2023")</f>
        <v/>
      </c>
      <c r="AA86">
        <f>HYPERLINK("https://klasma.github.io/Logging_2284/klagomål/A 30492-2023 FSC-klagomål.docx", "A 30492-2023")</f>
        <v/>
      </c>
      <c r="AB86">
        <f>HYPERLINK("https://klasma.github.io/Logging_2284/klagomålsmail/A 30492-2023 FSC-klagomål mail.docx", "A 30492-2023")</f>
        <v/>
      </c>
      <c r="AC86">
        <f>HYPERLINK("https://klasma.github.io/Logging_2284/tillsyn/A 30492-2023 tillsynsbegäran.docx", "A 30492-2023")</f>
        <v/>
      </c>
      <c r="AD86">
        <f>HYPERLINK("https://klasma.github.io/Logging_2284/tillsynsmail/A 30492-2023 tillsynsbegäran mail.docx", "A 30492-2023")</f>
        <v/>
      </c>
    </row>
    <row r="87" ht="15" customHeight="1">
      <c r="A87" t="inlineStr">
        <is>
          <t>A 10157-2024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45364</v>
      </c>
      <c r="E87" s="1" t="n">
        <v>46321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3.1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3</v>
      </c>
      <c r="V87" s="2" t="inlineStr">
        <is>
          <t>Lunglav
Ullticka
Bårdlav</t>
        </is>
      </c>
      <c r="W87">
        <f>HYPERLINK("https://klasma.github.io/Logging_2284/artfynd/A 10157-2024 artfynd.xlsx", "A 10157-2024")</f>
        <v/>
      </c>
      <c r="X87">
        <f>HYPERLINK("https://klasma.github.io/Logging_2284/kartor/A 10157-2024 karta.png", "A 10157-2024")</f>
        <v/>
      </c>
      <c r="Y87">
        <f>HYPERLINK("https://klasma.github.io/Logging_2284/kartor_geotiff/A 10157-2024 georefererad karta.tif", "A 10157-2024")</f>
        <v/>
      </c>
      <c r="AA87">
        <f>HYPERLINK("https://klasma.github.io/Logging_2284/klagomål/A 10157-2024 FSC-klagomål.docx", "A 10157-2024")</f>
        <v/>
      </c>
      <c r="AB87">
        <f>HYPERLINK("https://klasma.github.io/Logging_2284/klagomålsmail/A 10157-2024 FSC-klagomål mail.docx", "A 10157-2024")</f>
        <v/>
      </c>
      <c r="AC87">
        <f>HYPERLINK("https://klasma.github.io/Logging_2284/tillsyn/A 10157-2024 tillsynsbegäran.docx", "A 10157-2024")</f>
        <v/>
      </c>
      <c r="AD87">
        <f>HYPERLINK("https://klasma.github.io/Logging_2284/tillsynsmail/A 10157-2024 tillsynsbegäran mail.docx", "A 10157-2024")</f>
        <v/>
      </c>
    </row>
    <row r="88" ht="15" customHeight="1">
      <c r="A88" t="inlineStr">
        <is>
          <t>A 32388-2023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45110</v>
      </c>
      <c r="E88" s="1" t="n">
        <v>46321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Kyrkan</t>
        </is>
      </c>
      <c r="I88" t="n">
        <v>4.9</v>
      </c>
      <c r="J88" t="n">
        <v>1</v>
      </c>
      <c r="K88" t="n">
        <v>2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4</v>
      </c>
      <c r="U88" t="n">
        <v>4</v>
      </c>
      <c r="V88" s="2" t="inlineStr">
        <is>
          <t>Ullticka
Spindelblomster
Vedticka</t>
        </is>
      </c>
      <c r="W88">
        <f>HYPERLINK("https://klasma.github.io/Logging_2284/artfynd/A 32388-2023 artfynd.xlsx", "A 32388-2023")</f>
        <v/>
      </c>
      <c r="X88">
        <f>HYPERLINK("https://klasma.github.io/Logging_2284/kartor/A 32388-2023 karta.png", "A 32388-2023")</f>
        <v/>
      </c>
      <c r="Y88">
        <f>HYPERLINK("https://klasma.github.io/Logging_2284/kartor_geotiff/A 32388-2023 georefererad karta.tif", "A 32388-2023")</f>
        <v/>
      </c>
      <c r="AA88">
        <f>HYPERLINK("https://klasma.github.io/Logging_2284/klagomål/A 32388-2023 FSC-klagomål.docx", "A 32388-2023")</f>
        <v/>
      </c>
      <c r="AB88">
        <f>HYPERLINK("https://klasma.github.io/Logging_2284/klagomålsmail/A 32388-2023 FSC-klagomål mail.docx", "A 32388-2023")</f>
        <v/>
      </c>
      <c r="AC88">
        <f>HYPERLINK("https://klasma.github.io/Logging_2284/tillsyn/A 32388-2023 tillsynsbegäran.docx", "A 32388-2023")</f>
        <v/>
      </c>
      <c r="AD88">
        <f>HYPERLINK("https://klasma.github.io/Logging_2284/tillsynsmail/A 32388-2023 tillsynsbegäran mail.docx", "A 32388-2023")</f>
        <v/>
      </c>
    </row>
    <row r="89" ht="15" customHeight="1">
      <c r="A89" t="inlineStr">
        <is>
          <t>A 58070-2022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44893</v>
      </c>
      <c r="E89" s="1" t="n">
        <v>46321</v>
      </c>
      <c r="F89" t="inlineStr">
        <is>
          <t>VÄSTERNORRLANDS LÄN</t>
        </is>
      </c>
      <c r="G89" t="inlineStr">
        <is>
          <t>ÖRNSKÖLDSVIK</t>
        </is>
      </c>
      <c r="I89" t="n">
        <v>3.1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4</v>
      </c>
      <c r="U89" t="n">
        <v>4</v>
      </c>
      <c r="V89" s="2" t="inlineStr">
        <is>
          <t>Dropptaggsvamp
Skogsduva
Ärtsångare</t>
        </is>
      </c>
      <c r="W89">
        <f>HYPERLINK("https://klasma.github.io/Logging_2284/artfynd/A 58070-2022 artfynd.xlsx", "A 58070-2022")</f>
        <v/>
      </c>
      <c r="X89">
        <f>HYPERLINK("https://klasma.github.io/Logging_2284/kartor/A 58070-2022 karta.png", "A 58070-2022")</f>
        <v/>
      </c>
      <c r="Y89">
        <f>HYPERLINK("https://klasma.github.io/Logging_2284/kartor_geotiff/A 58070-2022 georefererad karta.tif", "A 58070-2022")</f>
        <v/>
      </c>
      <c r="AA89">
        <f>HYPERLINK("https://klasma.github.io/Logging_2284/klagomål/A 58070-2022 FSC-klagomål.docx", "A 58070-2022")</f>
        <v/>
      </c>
      <c r="AB89">
        <f>HYPERLINK("https://klasma.github.io/Logging_2284/klagomålsmail/A 58070-2022 FSC-klagomål mail.docx", "A 58070-2022")</f>
        <v/>
      </c>
      <c r="AC89">
        <f>HYPERLINK("https://klasma.github.io/Logging_2284/tillsyn/A 58070-2022 tillsynsbegäran.docx", "A 58070-2022")</f>
        <v/>
      </c>
      <c r="AD89">
        <f>HYPERLINK("https://klasma.github.io/Logging_2284/tillsynsmail/A 58070-2022 tillsynsbegäran mail.docx", "A 58070-2022")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46321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46321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46321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46321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46321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23100-2023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45075</v>
      </c>
      <c r="E95" s="1" t="n">
        <v>46321</v>
      </c>
      <c r="F95" t="inlineStr">
        <is>
          <t>VÄSTERNORRLANDS LÄN</t>
        </is>
      </c>
      <c r="G95" t="inlineStr">
        <is>
          <t>ÖRNSKÖLDSVIK</t>
        </is>
      </c>
      <c r="I95" t="n">
        <v>0.2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Garnlav
Fläcknycklar</t>
        </is>
      </c>
      <c r="W95">
        <f>HYPERLINK("https://klasma.github.io/Logging_2284/artfynd/A 23100-2023 artfynd.xlsx", "A 23100-2023")</f>
        <v/>
      </c>
      <c r="X95">
        <f>HYPERLINK("https://klasma.github.io/Logging_2284/kartor/A 23100-2023 karta.png", "A 23100-2023")</f>
        <v/>
      </c>
      <c r="Y95">
        <f>HYPERLINK("https://klasma.github.io/Logging_2284/kartor_geotiff/A 23100-2023 georefererad karta.tif", "A 23100-2023")</f>
        <v/>
      </c>
      <c r="AA95">
        <f>HYPERLINK("https://klasma.github.io/Logging_2284/klagomål/A 23100-2023 FSC-klagomål.docx", "A 23100-2023")</f>
        <v/>
      </c>
      <c r="AB95">
        <f>HYPERLINK("https://klasma.github.io/Logging_2284/klagomålsmail/A 23100-2023 FSC-klagomål mail.docx", "A 23100-2023")</f>
        <v/>
      </c>
      <c r="AC95">
        <f>HYPERLINK("https://klasma.github.io/Logging_2284/tillsyn/A 23100-2023 tillsynsbegäran.docx", "A 23100-2023")</f>
        <v/>
      </c>
      <c r="AD95">
        <f>HYPERLINK("https://klasma.github.io/Logging_2284/tillsynsmail/A 23100-2023 tillsynsbegäran mail.docx", "A 23100-2023")</f>
        <v/>
      </c>
    </row>
    <row r="96" ht="15" customHeight="1">
      <c r="A96" t="inlineStr">
        <is>
          <t>A 38438-2025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46321</v>
      </c>
      <c r="F96" t="inlineStr">
        <is>
          <t>VÄSTERNORRLANDS LÄN</t>
        </is>
      </c>
      <c r="G96" t="inlineStr">
        <is>
          <t>ÖRNSKÖLDSVIK</t>
        </is>
      </c>
      <c r="I96" t="n">
        <v>6.2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Fiskgjuse
Havsörn</t>
        </is>
      </c>
      <c r="W96">
        <f>HYPERLINK("https://klasma.github.io/Logging_2284/artfynd/A 38438-2025 artfynd.xlsx", "A 38438-2025")</f>
        <v/>
      </c>
      <c r="X96">
        <f>HYPERLINK("https://klasma.github.io/Logging_2284/kartor/A 38438-2025 karta.png", "A 38438-2025")</f>
        <v/>
      </c>
      <c r="Y96">
        <f>HYPERLINK("https://klasma.github.io/Logging_2284/kartor_geotiff/A 38438-2025 georefererad karta.tif", "A 38438-2025")</f>
        <v/>
      </c>
      <c r="AA96">
        <f>HYPERLINK("https://klasma.github.io/Logging_2284/klagomål/A 38438-2025 FSC-klagomål.docx", "A 38438-2025")</f>
        <v/>
      </c>
      <c r="AB96">
        <f>HYPERLINK("https://klasma.github.io/Logging_2284/klagomålsmail/A 38438-2025 FSC-klagomål mail.docx", "A 38438-2025")</f>
        <v/>
      </c>
      <c r="AC96">
        <f>HYPERLINK("https://klasma.github.io/Logging_2284/tillsyn/A 38438-2025 tillsynsbegäran.docx", "A 38438-2025")</f>
        <v/>
      </c>
      <c r="AD96">
        <f>HYPERLINK("https://klasma.github.io/Logging_2284/tillsynsmail/A 38438-2025 tillsynsbegäran mail.docx", "A 38438-2025")</f>
        <v/>
      </c>
      <c r="AE96">
        <f>HYPERLINK("https://klasma.github.io/Logging_2284/fåglar/A 38438-2025 prioriterade fågelarter.docx", "A 38438-2025")</f>
        <v/>
      </c>
    </row>
    <row r="97" ht="15" customHeight="1">
      <c r="A97" t="inlineStr">
        <is>
          <t>A 1485-2024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45305</v>
      </c>
      <c r="E97" s="1" t="n">
        <v>46321</v>
      </c>
      <c r="F97" t="inlineStr">
        <is>
          <t>VÄSTERNORRLANDS LÄN</t>
        </is>
      </c>
      <c r="G97" t="inlineStr">
        <is>
          <t>ÖRNSKÖLDSVIK</t>
        </is>
      </c>
      <c r="I97" t="n">
        <v>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Backtimjan
Vanlig padda</t>
        </is>
      </c>
      <c r="W97">
        <f>HYPERLINK("https://klasma.github.io/Logging_2284/artfynd/A 1485-2024 artfynd.xlsx", "A 1485-2024")</f>
        <v/>
      </c>
      <c r="X97">
        <f>HYPERLINK("https://klasma.github.io/Logging_2284/kartor/A 1485-2024 karta.png", "A 1485-2024")</f>
        <v/>
      </c>
      <c r="Y97">
        <f>HYPERLINK("https://klasma.github.io/Logging_2284/kartor_geotiff/A 1485-2024 georefererad karta.tif", "A 1485-2024")</f>
        <v/>
      </c>
      <c r="AA97">
        <f>HYPERLINK("https://klasma.github.io/Logging_2284/klagomål/A 1485-2024 FSC-klagomål.docx", "A 1485-2024")</f>
        <v/>
      </c>
      <c r="AB97">
        <f>HYPERLINK("https://klasma.github.io/Logging_2284/klagomålsmail/A 1485-2024 FSC-klagomål mail.docx", "A 1485-2024")</f>
        <v/>
      </c>
      <c r="AC97">
        <f>HYPERLINK("https://klasma.github.io/Logging_2284/tillsyn/A 1485-2024 tillsynsbegäran.docx", "A 1485-2024")</f>
        <v/>
      </c>
      <c r="AD97">
        <f>HYPERLINK("https://klasma.github.io/Logging_2284/tillsynsmail/A 1485-2024 tillsynsbegäran mail.docx", "A 1485-2024")</f>
        <v/>
      </c>
    </row>
    <row r="98" ht="15" customHeight="1">
      <c r="A98" t="inlineStr">
        <is>
          <t>A 46634-2025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46321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2.8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Skrovlig taggsvamp
Dropptaggsvamp</t>
        </is>
      </c>
      <c r="W98">
        <f>HYPERLINK("https://klasma.github.io/Logging_2284/artfynd/A 46634-2025 artfynd.xlsx", "A 46634-2025")</f>
        <v/>
      </c>
      <c r="X98">
        <f>HYPERLINK("https://klasma.github.io/Logging_2284/kartor/A 46634-2025 karta.png", "A 46634-2025")</f>
        <v/>
      </c>
      <c r="Y98">
        <f>HYPERLINK("https://klasma.github.io/Logging_2284/kartor_geotiff/A 46634-2025 georefererad karta.tif", "A 46634-2025")</f>
        <v/>
      </c>
      <c r="AA98">
        <f>HYPERLINK("https://klasma.github.io/Logging_2284/klagomål/A 46634-2025 FSC-klagomål.docx", "A 46634-2025")</f>
        <v/>
      </c>
      <c r="AB98">
        <f>HYPERLINK("https://klasma.github.io/Logging_2284/klagomålsmail/A 46634-2025 FSC-klagomål mail.docx", "A 46634-2025")</f>
        <v/>
      </c>
      <c r="AC98">
        <f>HYPERLINK("https://klasma.github.io/Logging_2284/tillsyn/A 46634-2025 tillsynsbegäran.docx", "A 46634-2025")</f>
        <v/>
      </c>
      <c r="AD98">
        <f>HYPERLINK("https://klasma.github.io/Logging_2284/tillsynsmail/A 46634-2025 tillsynsbegäran mail.docx", "A 46634-2025")</f>
        <v/>
      </c>
    </row>
    <row r="99" ht="15" customHeight="1">
      <c r="A99" t="inlineStr">
        <is>
          <t>A 25514-2026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46321</v>
      </c>
      <c r="F99" t="inlineStr">
        <is>
          <t>VÄSTERNORRLANDS LÄN</t>
        </is>
      </c>
      <c r="G99" t="inlineStr">
        <is>
          <t>ÖRNSKÖLDSVIK</t>
        </is>
      </c>
      <c r="I99" t="n">
        <v>2.4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Harticka
Ullticka</t>
        </is>
      </c>
      <c r="W99">
        <f>HYPERLINK("https://klasma.github.io/Logging_2284/artfynd/A 25514-2026 artfynd.xlsx", "A 25514-2026")</f>
        <v/>
      </c>
      <c r="X99">
        <f>HYPERLINK("https://klasma.github.io/Logging_2284/kartor/A 25514-2026 karta.png", "A 25514-2026")</f>
        <v/>
      </c>
      <c r="Y99">
        <f>HYPERLINK("https://klasma.github.io/Logging_2284/kartor_geotiff/A 25514-2026 georefererad karta.tif", "A 25514-2026")</f>
        <v/>
      </c>
      <c r="AA99">
        <f>HYPERLINK("https://klasma.github.io/Logging_2284/klagomål/A 25514-2026 FSC-klagomål.docx", "A 25514-2026")</f>
        <v/>
      </c>
      <c r="AB99">
        <f>HYPERLINK("https://klasma.github.io/Logging_2284/klagomålsmail/A 25514-2026 FSC-klagomål mail.docx", "A 25514-2026")</f>
        <v/>
      </c>
      <c r="AC99">
        <f>HYPERLINK("https://klasma.github.io/Logging_2284/tillsyn/A 25514-2026 tillsynsbegäran.docx", "A 25514-2026")</f>
        <v/>
      </c>
      <c r="AD99">
        <f>HYPERLINK("https://klasma.github.io/Logging_2284/tillsynsmail/A 25514-2026 tillsynsbegäran mail.docx", "A 25514-2026")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46321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37479-2024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46321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1.9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t="n">
        <v>0</v>
      </c>
      <c r="V101" s="2" t="inlineStr">
        <is>
          <t>Garnlav
Lunglav</t>
        </is>
      </c>
      <c r="W101">
        <f>HYPERLINK("https://klasma.github.io/Logging_2284/artfynd/A 37479-2024 artfynd.xlsx", "A 37479-2024")</f>
        <v/>
      </c>
      <c r="X101">
        <f>HYPERLINK("https://klasma.github.io/Logging_2284/kartor/A 37479-2024 karta.png", "A 37479-2024")</f>
        <v/>
      </c>
      <c r="Y101">
        <f>HYPERLINK("https://klasma.github.io/Logging_2284/kartor_geotiff/A 37479-2024 georefererad karta.tif", "A 37479-2024")</f>
        <v/>
      </c>
      <c r="AA101">
        <f>HYPERLINK("https://klasma.github.io/Logging_2284/klagomål/A 37479-2024 FSC-klagomål.docx", "A 37479-2024")</f>
        <v/>
      </c>
      <c r="AB101">
        <f>HYPERLINK("https://klasma.github.io/Logging_2284/klagomålsmail/A 37479-2024 FSC-klagomål mail.docx", "A 37479-2024")</f>
        <v/>
      </c>
      <c r="AC101">
        <f>HYPERLINK("https://klasma.github.io/Logging_2284/tillsyn/A 37479-2024 tillsynsbegäran.docx", "A 37479-2024")</f>
        <v/>
      </c>
      <c r="AD101">
        <f>HYPERLINK("https://klasma.github.io/Logging_2284/tillsynsmail/A 37479-2024 tillsynsbegäran mail.docx", "A 37479-2024")</f>
        <v/>
      </c>
    </row>
    <row r="102" ht="15" customHeight="1">
      <c r="A102" t="inlineStr">
        <is>
          <t>A 61515-2024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45646</v>
      </c>
      <c r="E102" s="1" t="n">
        <v>46321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SCA</t>
        </is>
      </c>
      <c r="I102" t="n">
        <v>2.5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Dropptaggsvamp
Motaggsvamp</t>
        </is>
      </c>
      <c r="W102">
        <f>HYPERLINK("https://klasma.github.io/Logging_2284/artfynd/A 61515-2024 artfynd.xlsx", "A 61515-2024")</f>
        <v/>
      </c>
      <c r="X102">
        <f>HYPERLINK("https://klasma.github.io/Logging_2284/kartor/A 61515-2024 karta.png", "A 61515-2024")</f>
        <v/>
      </c>
      <c r="Y102">
        <f>HYPERLINK("https://klasma.github.io/Logging_2284/kartor_geotiff/A 61515-2024 georefererad karta.tif", "A 61515-2024")</f>
        <v/>
      </c>
      <c r="AA102">
        <f>HYPERLINK("https://klasma.github.io/Logging_2284/klagomål/A 61515-2024 FSC-klagomål.docx", "A 61515-2024")</f>
        <v/>
      </c>
      <c r="AB102">
        <f>HYPERLINK("https://klasma.github.io/Logging_2284/klagomålsmail/A 61515-2024 FSC-klagomål mail.docx", "A 61515-2024")</f>
        <v/>
      </c>
      <c r="AC102">
        <f>HYPERLINK("https://klasma.github.io/Logging_2284/tillsyn/A 61515-2024 tillsynsbegäran.docx", "A 61515-2024")</f>
        <v/>
      </c>
      <c r="AD102">
        <f>HYPERLINK("https://klasma.github.io/Logging_2284/tillsynsmail/A 61515-2024 tillsynsbegäran mail.docx", "A 61515-2024")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46321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46321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46321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46321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33056-2026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46321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3.7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Rosenticka
Ullticka</t>
        </is>
      </c>
      <c r="W107">
        <f>HYPERLINK("https://klasma.github.io/Logging_2284/artfynd/A 33056-2026 artfynd.xlsx", "A 33056-2026")</f>
        <v/>
      </c>
      <c r="X107">
        <f>HYPERLINK("https://klasma.github.io/Logging_2284/kartor/A 33056-2026 karta.png", "A 33056-2026")</f>
        <v/>
      </c>
      <c r="Y107">
        <f>HYPERLINK("https://klasma.github.io/Logging_2284/kartor_geotiff/A 33056-2026 georefererad karta.tif", "A 33056-2026")</f>
        <v/>
      </c>
      <c r="AA107">
        <f>HYPERLINK("https://klasma.github.io/Logging_2284/klagomål/A 33056-2026 FSC-klagomål.docx", "A 33056-2026")</f>
        <v/>
      </c>
      <c r="AB107">
        <f>HYPERLINK("https://klasma.github.io/Logging_2284/klagomålsmail/A 33056-2026 FSC-klagomål mail.docx", "A 33056-2026")</f>
        <v/>
      </c>
      <c r="AC107">
        <f>HYPERLINK("https://klasma.github.io/Logging_2284/tillsyn/A 33056-2026 tillsynsbegäran.docx", "A 33056-2026")</f>
        <v/>
      </c>
      <c r="AD107">
        <f>HYPERLINK("https://klasma.github.io/Logging_2284/tillsynsmail/A 33056-2026 tillsynsbegäran mail.docx", "A 33056-2026")</f>
        <v/>
      </c>
    </row>
    <row r="108" ht="15" customHeight="1">
      <c r="A108" t="inlineStr">
        <is>
          <t>A 7686-2026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46321</v>
      </c>
      <c r="F108" t="inlineStr">
        <is>
          <t>VÄSTERNORRLANDS LÄN</t>
        </is>
      </c>
      <c r="G108" t="inlineStr">
        <is>
          <t>ÖRNSKÖLDSVIK</t>
        </is>
      </c>
      <c r="I108" t="n">
        <v>4.2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Skogsduva</t>
        </is>
      </c>
      <c r="W108">
        <f>HYPERLINK("https://klasma.github.io/Logging_2284/artfynd/A 7686-2026 artfynd.xlsx", "A 7686-2026")</f>
        <v/>
      </c>
      <c r="X108">
        <f>HYPERLINK("https://klasma.github.io/Logging_2284/kartor/A 7686-2026 karta.png", "A 7686-2026")</f>
        <v/>
      </c>
      <c r="Y108">
        <f>HYPERLINK("https://klasma.github.io/Logging_2284/kartor_geotiff/A 7686-2026 georefererad karta.tif", "A 7686-2026")</f>
        <v/>
      </c>
      <c r="AA108">
        <f>HYPERLINK("https://klasma.github.io/Logging_2284/klagomål/A 7686-2026 FSC-klagomål.docx", "A 7686-2026")</f>
        <v/>
      </c>
      <c r="AB108">
        <f>HYPERLINK("https://klasma.github.io/Logging_2284/klagomålsmail/A 7686-2026 FSC-klagomål mail.docx", "A 7686-2026")</f>
        <v/>
      </c>
      <c r="AC108">
        <f>HYPERLINK("https://klasma.github.io/Logging_2284/tillsyn/A 7686-2026 tillsynsbegäran.docx", "A 7686-2026")</f>
        <v/>
      </c>
      <c r="AD108">
        <f>HYPERLINK("https://klasma.github.io/Logging_2284/tillsynsmail/A 7686-2026 tillsynsbegäran mail.docx", "A 7686-2026")</f>
        <v/>
      </c>
    </row>
    <row r="109" ht="15" customHeight="1">
      <c r="A109" t="inlineStr">
        <is>
          <t>A 11197-2026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46321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2.9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Korallblylav
Skinnlav</t>
        </is>
      </c>
      <c r="W109">
        <f>HYPERLINK("https://klasma.github.io/Logging_2284/artfynd/A 11197-2026 artfynd.xlsx", "A 11197-2026")</f>
        <v/>
      </c>
      <c r="X109">
        <f>HYPERLINK("https://klasma.github.io/Logging_2284/kartor/A 11197-2026 karta.png", "A 11197-2026")</f>
        <v/>
      </c>
      <c r="Y109">
        <f>HYPERLINK("https://klasma.github.io/Logging_2284/kartor_geotiff/A 11197-2026 georefererad karta.tif", "A 11197-2026")</f>
        <v/>
      </c>
      <c r="AA109">
        <f>HYPERLINK("https://klasma.github.io/Logging_2284/klagomål/A 11197-2026 FSC-klagomål.docx", "A 11197-2026")</f>
        <v/>
      </c>
      <c r="AB109">
        <f>HYPERLINK("https://klasma.github.io/Logging_2284/klagomålsmail/A 11197-2026 FSC-klagomål mail.docx", "A 11197-2026")</f>
        <v/>
      </c>
      <c r="AC109">
        <f>HYPERLINK("https://klasma.github.io/Logging_2284/tillsyn/A 11197-2026 tillsynsbegäran.docx", "A 11197-2026")</f>
        <v/>
      </c>
      <c r="AD109">
        <f>HYPERLINK("https://klasma.github.io/Logging_2284/tillsynsmail/A 11197-2026 tillsynsbegäran mail.docx", "A 11197-2026")</f>
        <v/>
      </c>
    </row>
    <row r="110" ht="15" customHeight="1">
      <c r="A110" t="inlineStr">
        <is>
          <t>A 22498-2024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45447</v>
      </c>
      <c r="E110" s="1" t="n">
        <v>46321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0.6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Ullticka</t>
        </is>
      </c>
      <c r="W110">
        <f>HYPERLINK("https://klasma.github.io/Logging_2284/artfynd/A 22498-2024 artfynd.xlsx", "A 22498-2024")</f>
        <v/>
      </c>
      <c r="X110">
        <f>HYPERLINK("https://klasma.github.io/Logging_2284/kartor/A 22498-2024 karta.png", "A 22498-2024")</f>
        <v/>
      </c>
      <c r="Y110">
        <f>HYPERLINK("https://klasma.github.io/Logging_2284/kartor_geotiff/A 22498-2024 georefererad karta.tif", "A 22498-2024")</f>
        <v/>
      </c>
      <c r="AA110">
        <f>HYPERLINK("https://klasma.github.io/Logging_2284/klagomål/A 22498-2024 FSC-klagomål.docx", "A 22498-2024")</f>
        <v/>
      </c>
      <c r="AB110">
        <f>HYPERLINK("https://klasma.github.io/Logging_2284/klagomålsmail/A 22498-2024 FSC-klagomål mail.docx", "A 22498-2024")</f>
        <v/>
      </c>
      <c r="AC110">
        <f>HYPERLINK("https://klasma.github.io/Logging_2284/tillsyn/A 22498-2024 tillsynsbegäran.docx", "A 22498-2024")</f>
        <v/>
      </c>
      <c r="AD110">
        <f>HYPERLINK("https://klasma.github.io/Logging_2284/tillsynsmail/A 22498-2024 tillsynsbegäran mail.docx", "A 22498-2024")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46321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14132-2026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46099</v>
      </c>
      <c r="E112" s="1" t="n">
        <v>46321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3.3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7</v>
      </c>
      <c r="U112" t="n">
        <v>7</v>
      </c>
      <c r="V112" s="2" t="inlineStr">
        <is>
          <t>Dvärgbägarlav
Kolflarnlav</t>
        </is>
      </c>
      <c r="W112">
        <f>HYPERLINK("https://klasma.github.io/Logging_2284/artfynd/A 14132-2026 artfynd.xlsx", "A 14132-2026")</f>
        <v/>
      </c>
      <c r="X112">
        <f>HYPERLINK("https://klasma.github.io/Logging_2284/kartor/A 14132-2026 karta.png", "A 14132-2026")</f>
        <v/>
      </c>
      <c r="Y112">
        <f>HYPERLINK("https://klasma.github.io/Logging_2284/kartor_geotiff/A 14132-2026 georefererad karta.tif", "A 14132-2026")</f>
        <v/>
      </c>
      <c r="AA112">
        <f>HYPERLINK("https://klasma.github.io/Logging_2284/klagomål/A 14132-2026 FSC-klagomål.docx", "A 14132-2026")</f>
        <v/>
      </c>
      <c r="AB112">
        <f>HYPERLINK("https://klasma.github.io/Logging_2284/klagomålsmail/A 14132-2026 FSC-klagomål mail.docx", "A 14132-2026")</f>
        <v/>
      </c>
      <c r="AC112">
        <f>HYPERLINK("https://klasma.github.io/Logging_2284/tillsyn/A 14132-2026 tillsynsbegäran.docx", "A 14132-2026")</f>
        <v/>
      </c>
      <c r="AD112">
        <f>HYPERLINK("https://klasma.github.io/Logging_2284/tillsynsmail/A 14132-2026 tillsynsbegäran mail.docx", "A 14132-2026")</f>
        <v/>
      </c>
    </row>
    <row r="113" ht="15" customHeight="1">
      <c r="A113" t="inlineStr">
        <is>
          <t>A 42053-2026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46304</v>
      </c>
      <c r="E113" s="1" t="n">
        <v>46321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1.6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Koralltaggsvamp
Stuplav</t>
        </is>
      </c>
      <c r="W113">
        <f>HYPERLINK("https://klasma.github.io/Logging_2284/artfynd/A 42053-2026 artfynd.xlsx", "A 42053-2026")</f>
        <v/>
      </c>
      <c r="X113">
        <f>HYPERLINK("https://klasma.github.io/Logging_2284/kartor/A 42053-2026 karta.png", "A 42053-2026")</f>
        <v/>
      </c>
      <c r="Y113">
        <f>HYPERLINK("https://klasma.github.io/Logging_2284/kartor_geotiff/A 42053-2026 georefererad karta.tif", "A 42053-2026")</f>
        <v/>
      </c>
      <c r="AA113">
        <f>HYPERLINK("https://klasma.github.io/Logging_2284/klagomål/A 42053-2026 FSC-klagomål.docx", "A 42053-2026")</f>
        <v/>
      </c>
      <c r="AB113">
        <f>HYPERLINK("https://klasma.github.io/Logging_2284/klagomålsmail/A 42053-2026 FSC-klagomål mail.docx", "A 42053-2026")</f>
        <v/>
      </c>
      <c r="AC113">
        <f>HYPERLINK("https://klasma.github.io/Logging_2284/tillsyn/A 42053-2026 tillsynsbegäran.docx", "A 42053-2026")</f>
        <v/>
      </c>
      <c r="AD113">
        <f>HYPERLINK("https://klasma.github.io/Logging_2284/tillsynsmail/A 42053-2026 tillsynsbegäran mail.docx", "A 42053-2026")</f>
        <v/>
      </c>
    </row>
    <row r="114" ht="15" customHeight="1">
      <c r="A114" t="inlineStr">
        <is>
          <t>A 18367-2026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46321</v>
      </c>
      <c r="F114" t="inlineStr">
        <is>
          <t>VÄSTERNORRLANDS LÄN</t>
        </is>
      </c>
      <c r="G114" t="inlineStr">
        <is>
          <t>ÖRNSKÖLDSVIK</t>
        </is>
      </c>
      <c r="I114" t="n">
        <v>6.2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Skinnlav</t>
        </is>
      </c>
      <c r="W114">
        <f>HYPERLINK("https://klasma.github.io/Logging_2284/artfynd/A 18367-2026 artfynd.xlsx", "A 18367-2026")</f>
        <v/>
      </c>
      <c r="X114">
        <f>HYPERLINK("https://klasma.github.io/Logging_2284/kartor/A 18367-2026 karta.png", "A 18367-2026")</f>
        <v/>
      </c>
      <c r="Y114">
        <f>HYPERLINK("https://klasma.github.io/Logging_2284/kartor_geotiff/A 18367-2026 georefererad karta.tif", "A 18367-2026")</f>
        <v/>
      </c>
      <c r="AA114">
        <f>HYPERLINK("https://klasma.github.io/Logging_2284/klagomål/A 18367-2026 FSC-klagomål.docx", "A 18367-2026")</f>
        <v/>
      </c>
      <c r="AB114">
        <f>HYPERLINK("https://klasma.github.io/Logging_2284/klagomålsmail/A 18367-2026 FSC-klagomål mail.docx", "A 18367-2026")</f>
        <v/>
      </c>
      <c r="AC114">
        <f>HYPERLINK("https://klasma.github.io/Logging_2284/tillsyn/A 18367-2026 tillsynsbegäran.docx", "A 18367-2026")</f>
        <v/>
      </c>
      <c r="AD114">
        <f>HYPERLINK("https://klasma.github.io/Logging_2284/tillsynsmail/A 18367-2026 tillsynsbegäran mail.docx", "A 18367-2026")</f>
        <v/>
      </c>
    </row>
    <row r="115" ht="15" customHeight="1">
      <c r="A115" t="inlineStr">
        <is>
          <t>A 47567-2024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46321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8.4</v>
      </c>
      <c r="J115" t="n">
        <v>1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Gammelgransskål
Tretåig hackspett</t>
        </is>
      </c>
      <c r="W115">
        <f>HYPERLINK("https://klasma.github.io/Logging_2284/artfynd/A 47567-2024 artfynd.xlsx", "A 47567-2024")</f>
        <v/>
      </c>
      <c r="X115">
        <f>HYPERLINK("https://klasma.github.io/Logging_2284/kartor/A 47567-2024 karta.png", "A 47567-2024")</f>
        <v/>
      </c>
      <c r="Y115">
        <f>HYPERLINK("https://klasma.github.io/Logging_2284/kartor_geotiff/A 47567-2024 georefererad karta.tif", "A 47567-2024")</f>
        <v/>
      </c>
      <c r="AA115">
        <f>HYPERLINK("https://klasma.github.io/Logging_2284/klagomål/A 47567-2024 FSC-klagomål.docx", "A 47567-2024")</f>
        <v/>
      </c>
      <c r="AB115">
        <f>HYPERLINK("https://klasma.github.io/Logging_2284/klagomålsmail/A 47567-2024 FSC-klagomål mail.docx", "A 47567-2024")</f>
        <v/>
      </c>
      <c r="AC115">
        <f>HYPERLINK("https://klasma.github.io/Logging_2284/tillsyn/A 47567-2024 tillsynsbegäran.docx", "A 47567-2024")</f>
        <v/>
      </c>
      <c r="AD115">
        <f>HYPERLINK("https://klasma.github.io/Logging_2284/tillsynsmail/A 47567-2024 tillsynsbegäran mail.docx", "A 47567-2024")</f>
        <v/>
      </c>
      <c r="AE115">
        <f>HYPERLINK("https://klasma.github.io/Logging_2284/fåglar/A 47567-2024 prioriterade fågelarter.docx", "A 47567-2024")</f>
        <v/>
      </c>
    </row>
    <row r="116" ht="15" customHeight="1">
      <c r="A116" t="inlineStr">
        <is>
          <t>A 36274-2026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46268</v>
      </c>
      <c r="E116" s="1" t="n">
        <v>46321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Garnlav
Lunglav</t>
        </is>
      </c>
      <c r="W116">
        <f>HYPERLINK("https://klasma.github.io/Logging_2284/artfynd/A 36274-2026 artfynd.xlsx", "A 36274-2026")</f>
        <v/>
      </c>
      <c r="X116">
        <f>HYPERLINK("https://klasma.github.io/Logging_2284/kartor/A 36274-2026 karta.png", "A 36274-2026")</f>
        <v/>
      </c>
      <c r="Y116">
        <f>HYPERLINK("https://klasma.github.io/Logging_2284/kartor_geotiff/A 36274-2026 georefererad karta.tif", "A 36274-2026")</f>
        <v/>
      </c>
      <c r="AA116">
        <f>HYPERLINK("https://klasma.github.io/Logging_2284/klagomål/A 36274-2026 FSC-klagomål.docx", "A 36274-2026")</f>
        <v/>
      </c>
      <c r="AB116">
        <f>HYPERLINK("https://klasma.github.io/Logging_2284/klagomålsmail/A 36274-2026 FSC-klagomål mail.docx", "A 36274-2026")</f>
        <v/>
      </c>
      <c r="AC116">
        <f>HYPERLINK("https://klasma.github.io/Logging_2284/tillsyn/A 36274-2026 tillsynsbegäran.docx", "A 36274-2026")</f>
        <v/>
      </c>
      <c r="AD116">
        <f>HYPERLINK("https://klasma.github.io/Logging_2284/tillsynsmail/A 36274-2026 tillsynsbegäran mail.docx", "A 36274-2026")</f>
        <v/>
      </c>
    </row>
    <row r="117" ht="15" customHeight="1">
      <c r="A117" t="inlineStr">
        <is>
          <t>A 43928-2026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46317</v>
      </c>
      <c r="E117" s="1" t="n">
        <v>46321</v>
      </c>
      <c r="F117" t="inlineStr">
        <is>
          <t>VÄSTERNORRLANDS LÄN</t>
        </is>
      </c>
      <c r="G117" t="inlineStr">
        <is>
          <t>ÖRNSKÖLDSVIK</t>
        </is>
      </c>
      <c r="I117" t="n">
        <v>13.1</v>
      </c>
      <c r="J117" t="n">
        <v>2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Björktrast
Rödvingetrast</t>
        </is>
      </c>
      <c r="W117">
        <f>HYPERLINK("https://klasma.github.io/Logging_2284/artfynd/A 43928-2026 artfynd.xlsx", "A 43928-2026")</f>
        <v/>
      </c>
      <c r="X117">
        <f>HYPERLINK("https://klasma.github.io/Logging_2284/kartor/A 43928-2026 karta.png", "A 43928-2026")</f>
        <v/>
      </c>
      <c r="Y117">
        <f>HYPERLINK("https://klasma.github.io/Logging_2284/kartor_geotiff/A 43928-2026 georefererad karta.tif", "A 43928-2026")</f>
        <v/>
      </c>
      <c r="AA117">
        <f>HYPERLINK("https://klasma.github.io/Logging_2284/klagomål/A 43928-2026 FSC-klagomål.docx", "A 43928-2026")</f>
        <v/>
      </c>
      <c r="AB117">
        <f>HYPERLINK("https://klasma.github.io/Logging_2284/klagomålsmail/A 43928-2026 FSC-klagomål mail.docx", "A 43928-2026")</f>
        <v/>
      </c>
      <c r="AC117">
        <f>HYPERLINK("https://klasma.github.io/Logging_2284/tillsyn/A 43928-2026 tillsynsbegäran.docx", "A 43928-2026")</f>
        <v/>
      </c>
      <c r="AD117">
        <f>HYPERLINK("https://klasma.github.io/Logging_2284/tillsynsmail/A 43928-2026 tillsynsbegäran mail.docx", "A 43928-2026")</f>
        <v/>
      </c>
      <c r="AE117">
        <f>HYPERLINK("https://klasma.github.io/Logging_2284/fåglar/A 43928-2026 prioriterade fågelarter.docx", "A 43928-2026")</f>
        <v/>
      </c>
    </row>
    <row r="118" ht="15" customHeight="1">
      <c r="A118" t="inlineStr">
        <is>
          <t>A 3026-2023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44945</v>
      </c>
      <c r="E118" s="1" t="n">
        <v>46321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7.6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Garnlav
Lavskrika</t>
        </is>
      </c>
      <c r="W118">
        <f>HYPERLINK("https://klasma.github.io/Logging_2284/artfynd/A 3026-2023 artfynd.xlsx", "A 3026-2023")</f>
        <v/>
      </c>
      <c r="X118">
        <f>HYPERLINK("https://klasma.github.io/Logging_2284/kartor/A 3026-2023 karta.png", "A 3026-2023")</f>
        <v/>
      </c>
      <c r="Y118">
        <f>HYPERLINK("https://klasma.github.io/Logging_2284/kartor_geotiff/A 3026-2023 georefererad karta.tif", "A 3026-2023")</f>
        <v/>
      </c>
      <c r="AA118">
        <f>HYPERLINK("https://klasma.github.io/Logging_2284/klagomål/A 3026-2023 FSC-klagomål.docx", "A 3026-2023")</f>
        <v/>
      </c>
      <c r="AB118">
        <f>HYPERLINK("https://klasma.github.io/Logging_2284/klagomålsmail/A 3026-2023 FSC-klagomål mail.docx", "A 3026-2023")</f>
        <v/>
      </c>
      <c r="AC118">
        <f>HYPERLINK("https://klasma.github.io/Logging_2284/tillsyn/A 3026-2023 tillsynsbegäran.docx", "A 3026-2023")</f>
        <v/>
      </c>
      <c r="AD118">
        <f>HYPERLINK("https://klasma.github.io/Logging_2284/tillsynsmail/A 3026-2023 tillsynsbegäran mail.docx", "A 3026-2023")</f>
        <v/>
      </c>
      <c r="AE118">
        <f>HYPERLINK("https://klasma.github.io/Logging_2284/fåglar/A 3026-2023 prioriterade fågelarter.docx", "A 3026-2023")</f>
        <v/>
      </c>
    </row>
    <row r="119" ht="15" customHeight="1">
      <c r="A119" t="inlineStr">
        <is>
          <t>A 4428-2023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44956</v>
      </c>
      <c r="E119" s="1" t="n">
        <v>46321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Kyrkan</t>
        </is>
      </c>
      <c r="I119" t="n">
        <v>1.3</v>
      </c>
      <c r="J119" t="n">
        <v>1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Igelkott
Nötkråka</t>
        </is>
      </c>
      <c r="W119">
        <f>HYPERLINK("https://klasma.github.io/Logging_2284/artfynd/A 4428-2023 artfynd.xlsx", "A 4428-2023")</f>
        <v/>
      </c>
      <c r="X119">
        <f>HYPERLINK("https://klasma.github.io/Logging_2284/kartor/A 4428-2023 karta.png", "A 4428-2023")</f>
        <v/>
      </c>
      <c r="Y119">
        <f>HYPERLINK("https://klasma.github.io/Logging_2284/kartor_geotiff/A 4428-2023 georefererad karta.tif", "A 4428-2023")</f>
        <v/>
      </c>
      <c r="AA119">
        <f>HYPERLINK("https://klasma.github.io/Logging_2284/klagomål/A 4428-2023 FSC-klagomål.docx", "A 4428-2023")</f>
        <v/>
      </c>
      <c r="AB119">
        <f>HYPERLINK("https://klasma.github.io/Logging_2284/klagomålsmail/A 4428-2023 FSC-klagomål mail.docx", "A 4428-2023")</f>
        <v/>
      </c>
      <c r="AC119">
        <f>HYPERLINK("https://klasma.github.io/Logging_2284/tillsyn/A 4428-2023 tillsynsbegäran.docx", "A 4428-2023")</f>
        <v/>
      </c>
      <c r="AD119">
        <f>HYPERLINK("https://klasma.github.io/Logging_2284/tillsynsmail/A 4428-2023 tillsynsbegäran mail.docx", "A 4428-2023")</f>
        <v/>
      </c>
      <c r="AE119">
        <f>HYPERLINK("https://klasma.github.io/Logging_2284/fåglar/A 4428-2023 prioriterade fågelarter.docx", "A 4428-2023")</f>
        <v/>
      </c>
    </row>
    <row r="120" ht="15" customHeight="1">
      <c r="A120" t="inlineStr">
        <is>
          <t>A 15386-2023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45019</v>
      </c>
      <c r="E120" s="1" t="n">
        <v>46321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4.2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2</v>
      </c>
      <c r="V120" s="2" t="inlineStr">
        <is>
          <t>Lunglav
Tallticka</t>
        </is>
      </c>
      <c r="W120">
        <f>HYPERLINK("https://klasma.github.io/Logging_2284/artfynd/A 15386-2023 artfynd.xlsx", "A 15386-2023")</f>
        <v/>
      </c>
      <c r="X120">
        <f>HYPERLINK("https://klasma.github.io/Logging_2284/kartor/A 15386-2023 karta.png", "A 15386-2023")</f>
        <v/>
      </c>
      <c r="Y120">
        <f>HYPERLINK("https://klasma.github.io/Logging_2284/kartor_geotiff/A 15386-2023 georefererad karta.tif", "A 15386-2023")</f>
        <v/>
      </c>
      <c r="AA120">
        <f>HYPERLINK("https://klasma.github.io/Logging_2284/klagomål/A 15386-2023 FSC-klagomål.docx", "A 15386-2023")</f>
        <v/>
      </c>
      <c r="AB120">
        <f>HYPERLINK("https://klasma.github.io/Logging_2284/klagomålsmail/A 15386-2023 FSC-klagomål mail.docx", "A 15386-2023")</f>
        <v/>
      </c>
      <c r="AC120">
        <f>HYPERLINK("https://klasma.github.io/Logging_2284/tillsyn/A 15386-2023 tillsynsbegäran.docx", "A 15386-2023")</f>
        <v/>
      </c>
      <c r="AD120">
        <f>HYPERLINK("https://klasma.github.io/Logging_2284/tillsynsmail/A 15386-2023 tillsynsbegäran mail.docx", "A 15386-2023")</f>
        <v/>
      </c>
    </row>
    <row r="121" ht="15" customHeight="1">
      <c r="A121" t="inlineStr">
        <is>
          <t>A 50351-2023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46321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4.9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Lunglav
Bårdlav</t>
        </is>
      </c>
      <c r="W121">
        <f>HYPERLINK("https://klasma.github.io/Logging_2284/artfynd/A 50351-2023 artfynd.xlsx", "A 50351-2023")</f>
        <v/>
      </c>
      <c r="X121">
        <f>HYPERLINK("https://klasma.github.io/Logging_2284/kartor/A 50351-2023 karta.png", "A 50351-2023")</f>
        <v/>
      </c>
      <c r="Y121">
        <f>HYPERLINK("https://klasma.github.io/Logging_2284/kartor_geotiff/A 50351-2023 georefererad karta.tif", "A 50351-2023")</f>
        <v/>
      </c>
      <c r="AA121">
        <f>HYPERLINK("https://klasma.github.io/Logging_2284/klagomål/A 50351-2023 FSC-klagomål.docx", "A 50351-2023")</f>
        <v/>
      </c>
      <c r="AB121">
        <f>HYPERLINK("https://klasma.github.io/Logging_2284/klagomålsmail/A 50351-2023 FSC-klagomål mail.docx", "A 50351-2023")</f>
        <v/>
      </c>
      <c r="AC121">
        <f>HYPERLINK("https://klasma.github.io/Logging_2284/tillsyn/A 50351-2023 tillsynsbegäran.docx", "A 50351-2023")</f>
        <v/>
      </c>
      <c r="AD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4455-2023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44956</v>
      </c>
      <c r="E122" s="1" t="n">
        <v>46321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22.4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0</v>
      </c>
      <c r="V122" s="2" t="inlineStr">
        <is>
          <t>Lunglav
Skrovellav</t>
        </is>
      </c>
      <c r="W122">
        <f>HYPERLINK("https://klasma.github.io/Logging_2284/artfynd/A 4455-2023 artfynd.xlsx", "A 4455-2023")</f>
        <v/>
      </c>
      <c r="X122">
        <f>HYPERLINK("https://klasma.github.io/Logging_2284/kartor/A 4455-2023 karta.png", "A 4455-2023")</f>
        <v/>
      </c>
      <c r="Y122">
        <f>HYPERLINK("https://klasma.github.io/Logging_2284/kartor_geotiff/A 4455-2023 georefererad karta.tif", "A 4455-2023")</f>
        <v/>
      </c>
      <c r="AA122">
        <f>HYPERLINK("https://klasma.github.io/Logging_2284/klagomål/A 4455-2023 FSC-klagomål.docx", "A 4455-2023")</f>
        <v/>
      </c>
      <c r="AB122">
        <f>HYPERLINK("https://klasma.github.io/Logging_2284/klagomålsmail/A 4455-2023 FSC-klagomål mail.docx", "A 4455-2023")</f>
        <v/>
      </c>
      <c r="AC122">
        <f>HYPERLINK("https://klasma.github.io/Logging_2284/tillsyn/A 4455-2023 tillsynsbegäran.docx", "A 4455-2023")</f>
        <v/>
      </c>
      <c r="AD122">
        <f>HYPERLINK("https://klasma.github.io/Logging_2284/tillsynsmail/A 4455-2023 tillsynsbegäran mail.docx", "A 4455-2023")</f>
        <v/>
      </c>
    </row>
    <row r="123" ht="15" customHeight="1">
      <c r="A123" t="inlineStr">
        <is>
          <t>A 2853-2025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45677</v>
      </c>
      <c r="E123" s="1" t="n">
        <v>46321</v>
      </c>
      <c r="F123" t="inlineStr">
        <is>
          <t>VÄSTERNORRLANDS LÄN</t>
        </is>
      </c>
      <c r="G123" t="inlineStr">
        <is>
          <t>ÖRNSKÖLDSVIK</t>
        </is>
      </c>
      <c r="I123" t="n">
        <v>0.7</v>
      </c>
      <c r="J123" t="n">
        <v>1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Lavskrika
Lunglav</t>
        </is>
      </c>
      <c r="W123">
        <f>HYPERLINK("https://klasma.github.io/Logging_2284/artfynd/A 2853-2025 artfynd.xlsx", "A 2853-2025")</f>
        <v/>
      </c>
      <c r="X123">
        <f>HYPERLINK("https://klasma.github.io/Logging_2284/kartor/A 2853-2025 karta.png", "A 2853-2025")</f>
        <v/>
      </c>
      <c r="Y123">
        <f>HYPERLINK("https://klasma.github.io/Logging_2284/kartor_geotiff/A 2853-2025 georefererad karta.tif", "A 2853-2025")</f>
        <v/>
      </c>
      <c r="AA123">
        <f>HYPERLINK("https://klasma.github.io/Logging_2284/klagomål/A 2853-2025 FSC-klagomål.docx", "A 2853-2025")</f>
        <v/>
      </c>
      <c r="AB123">
        <f>HYPERLINK("https://klasma.github.io/Logging_2284/klagomålsmail/A 2853-2025 FSC-klagomål mail.docx", "A 2853-2025")</f>
        <v/>
      </c>
      <c r="AC123">
        <f>HYPERLINK("https://klasma.github.io/Logging_2284/tillsyn/A 2853-2025 tillsynsbegäran.docx", "A 2853-2025")</f>
        <v/>
      </c>
      <c r="AD123">
        <f>HYPERLINK("https://klasma.github.io/Logging_2284/tillsynsmail/A 2853-2025 tillsynsbegäran mail.docx", "A 2853-2025")</f>
        <v/>
      </c>
      <c r="AE123">
        <f>HYPERLINK("https://klasma.github.io/Logging_2284/fåglar/A 2853-2025 prioriterade fågelarter.docx", "A 2853-2025")</f>
        <v/>
      </c>
    </row>
    <row r="124" ht="15" customHeight="1">
      <c r="A124" t="inlineStr">
        <is>
          <t>A 62080-2022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44918</v>
      </c>
      <c r="E124" s="1" t="n">
        <v>46321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4.8</v>
      </c>
      <c r="J124" t="n">
        <v>1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3</v>
      </c>
      <c r="U124" t="n">
        <v>3</v>
      </c>
      <c r="V124" s="2" t="inlineStr">
        <is>
          <t>Garnlav
Tretåig hackspett</t>
        </is>
      </c>
      <c r="W124">
        <f>HYPERLINK("https://klasma.github.io/Logging_2284/artfynd/A 62080-2022 artfynd.xlsx", "A 62080-2022")</f>
        <v/>
      </c>
      <c r="X124">
        <f>HYPERLINK("https://klasma.github.io/Logging_2284/kartor/A 62080-2022 karta.png", "A 62080-2022")</f>
        <v/>
      </c>
      <c r="Y124">
        <f>HYPERLINK("https://klasma.github.io/Logging_2284/kartor_geotiff/A 62080-2022 georefererad karta.tif", "A 62080-2022")</f>
        <v/>
      </c>
      <c r="AA124">
        <f>HYPERLINK("https://klasma.github.io/Logging_2284/klagomål/A 62080-2022 FSC-klagomål.docx", "A 62080-2022")</f>
        <v/>
      </c>
      <c r="AB124">
        <f>HYPERLINK("https://klasma.github.io/Logging_2284/klagomålsmail/A 62080-2022 FSC-klagomål mail.docx", "A 62080-2022")</f>
        <v/>
      </c>
      <c r="AC124">
        <f>HYPERLINK("https://klasma.github.io/Logging_2284/tillsyn/A 62080-2022 tillsynsbegäran.docx", "A 62080-2022")</f>
        <v/>
      </c>
      <c r="AD124">
        <f>HYPERLINK("https://klasma.github.io/Logging_2284/tillsynsmail/A 62080-2022 tillsynsbegäran mail.docx", "A 62080-2022")</f>
        <v/>
      </c>
      <c r="AE124">
        <f>HYPERLINK("https://klasma.github.io/Logging_2284/fåglar/A 62080-2022 prioriterade fågelarter.docx", "A 62080-2022")</f>
        <v/>
      </c>
    </row>
    <row r="125" ht="15" customHeight="1">
      <c r="A125" t="inlineStr">
        <is>
          <t>A 50767-2024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46321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2.7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Ullticka
Vedticka</t>
        </is>
      </c>
      <c r="W125">
        <f>HYPERLINK("https://klasma.github.io/Logging_2284/artfynd/A 50767-2024 artfynd.xlsx", "A 50767-2024")</f>
        <v/>
      </c>
      <c r="X125">
        <f>HYPERLINK("https://klasma.github.io/Logging_2284/kartor/A 50767-2024 karta.png", "A 50767-2024")</f>
        <v/>
      </c>
      <c r="Y125">
        <f>HYPERLINK("https://klasma.github.io/Logging_2284/kartor_geotiff/A 50767-2024 georefererad karta.tif", "A 50767-2024")</f>
        <v/>
      </c>
      <c r="AA125">
        <f>HYPERLINK("https://klasma.github.io/Logging_2284/klagomål/A 50767-2024 FSC-klagomål.docx", "A 50767-2024")</f>
        <v/>
      </c>
      <c r="AB125">
        <f>HYPERLINK("https://klasma.github.io/Logging_2284/klagomålsmail/A 50767-2024 FSC-klagomål mail.docx", "A 50767-2024")</f>
        <v/>
      </c>
      <c r="AC125">
        <f>HYPERLINK("https://klasma.github.io/Logging_2284/tillsyn/A 50767-2024 tillsynsbegäran.docx", "A 50767-2024")</f>
        <v/>
      </c>
      <c r="AD125">
        <f>HYPERLINK("https://klasma.github.io/Logging_2284/tillsynsmail/A 50767-2024 tillsynsbegäran mail.docx", "A 50767-2024")</f>
        <v/>
      </c>
    </row>
    <row r="126" ht="15" customHeight="1">
      <c r="A126" t="inlineStr">
        <is>
          <t>A 41942-2023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45177</v>
      </c>
      <c r="E126" s="1" t="n">
        <v>46321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8.4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Lunglav
Stuplav</t>
        </is>
      </c>
      <c r="W126">
        <f>HYPERLINK("https://klasma.github.io/Logging_2284/artfynd/A 41942-2023 artfynd.xlsx", "A 41942-2023")</f>
        <v/>
      </c>
      <c r="X126">
        <f>HYPERLINK("https://klasma.github.io/Logging_2284/kartor/A 41942-2023 karta.png", "A 41942-2023")</f>
        <v/>
      </c>
      <c r="Y126">
        <f>HYPERLINK("https://klasma.github.io/Logging_2284/kartor_geotiff/A 41942-2023 georefererad karta.tif", "A 41942-2023")</f>
        <v/>
      </c>
      <c r="AA126">
        <f>HYPERLINK("https://klasma.github.io/Logging_2284/klagomål/A 41942-2023 FSC-klagomål.docx", "A 41942-2023")</f>
        <v/>
      </c>
      <c r="AB126">
        <f>HYPERLINK("https://klasma.github.io/Logging_2284/klagomålsmail/A 41942-2023 FSC-klagomål mail.docx", "A 41942-2023")</f>
        <v/>
      </c>
      <c r="AC126">
        <f>HYPERLINK("https://klasma.github.io/Logging_2284/tillsyn/A 41942-2023 tillsynsbegäran.docx", "A 41942-2023")</f>
        <v/>
      </c>
      <c r="AD126">
        <f>HYPERLINK("https://klasma.github.io/Logging_2284/tillsynsmail/A 41942-2023 tillsynsbegäran mail.docx", "A 41942-2023")</f>
        <v/>
      </c>
    </row>
    <row r="127" ht="15" customHeight="1">
      <c r="A127" t="inlineStr">
        <is>
          <t>A 58802-2023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45247</v>
      </c>
      <c r="E127" s="1" t="n">
        <v>46321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Kommuner</t>
        </is>
      </c>
      <c r="I127" t="n">
        <v>3.4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2</v>
      </c>
      <c r="T127" t="n">
        <v>4</v>
      </c>
      <c r="U127" t="n">
        <v>0</v>
      </c>
      <c r="V127" s="2" t="inlineStr">
        <is>
          <t>Grönsiska
Svartvit flugsnappare</t>
        </is>
      </c>
      <c r="W127">
        <f>HYPERLINK("https://klasma.github.io/Logging_2284/artfynd/A 58802-2023 artfynd.xlsx", "A 58802-2023")</f>
        <v/>
      </c>
      <c r="X127">
        <f>HYPERLINK("https://klasma.github.io/Logging_2284/kartor/A 58802-2023 karta.png", "A 58802-2023")</f>
        <v/>
      </c>
      <c r="Y127">
        <f>HYPERLINK("https://klasma.github.io/Logging_2284/kartor_geotiff/A 58802-2023 georefererad karta.tif", "A 58802-2023")</f>
        <v/>
      </c>
      <c r="AA127">
        <f>HYPERLINK("https://klasma.github.io/Logging_2284/klagomål/A 58802-2023 FSC-klagomål.docx", "A 58802-2023")</f>
        <v/>
      </c>
      <c r="AB127">
        <f>HYPERLINK("https://klasma.github.io/Logging_2284/klagomålsmail/A 58802-2023 FSC-klagomål mail.docx", "A 58802-2023")</f>
        <v/>
      </c>
      <c r="AC127">
        <f>HYPERLINK("https://klasma.github.io/Logging_2284/tillsyn/A 58802-2023 tillsynsbegäran.docx", "A 58802-2023")</f>
        <v/>
      </c>
      <c r="AD127">
        <f>HYPERLINK("https://klasma.github.io/Logging_2284/tillsynsmail/A 58802-2023 tillsynsbegäran mail.docx", "A 58802-2023")</f>
        <v/>
      </c>
    </row>
    <row r="128" ht="15" customHeight="1">
      <c r="A128" t="inlineStr">
        <is>
          <t>A 60137-2021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46321</v>
      </c>
      <c r="F128" t="inlineStr">
        <is>
          <t>VÄSTERNORRLANDS LÄN</t>
        </is>
      </c>
      <c r="G128" t="inlineStr">
        <is>
          <t>ÖRNSKÖLDSVIK</t>
        </is>
      </c>
      <c r="I128" t="n">
        <v>7.1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2</v>
      </c>
      <c r="U128" t="n">
        <v>1</v>
      </c>
      <c r="V128" s="2" t="inlineStr">
        <is>
          <t>Harticka
Ullticka</t>
        </is>
      </c>
      <c r="W128">
        <f>HYPERLINK("https://klasma.github.io/Logging_2284/artfynd/A 60137-2021 artfynd.xlsx", "A 60137-2021")</f>
        <v/>
      </c>
      <c r="X128">
        <f>HYPERLINK("https://klasma.github.io/Logging_2284/kartor/A 60137-2021 karta.png", "A 60137-2021")</f>
        <v/>
      </c>
      <c r="Y128">
        <f>HYPERLINK("https://klasma.github.io/Logging_2284/kartor_geotiff/A 60137-2021 georefererad karta.tif", "A 60137-2021")</f>
        <v/>
      </c>
      <c r="AA128">
        <f>HYPERLINK("https://klasma.github.io/Logging_2284/klagomål/A 60137-2021 FSC-klagomål.docx", "A 60137-2021")</f>
        <v/>
      </c>
      <c r="AB128">
        <f>HYPERLINK("https://klasma.github.io/Logging_2284/klagomålsmail/A 60137-2021 FSC-klagomål mail.docx", "A 60137-2021")</f>
        <v/>
      </c>
      <c r="AC128">
        <f>HYPERLINK("https://klasma.github.io/Logging_2284/tillsyn/A 60137-2021 tillsynsbegäran.docx", "A 60137-2021")</f>
        <v/>
      </c>
      <c r="AD128">
        <f>HYPERLINK("https://klasma.github.io/Logging_2284/tillsynsmail/A 60137-2021 tillsynsbegäran mail.docx", "A 60137-2021")</f>
        <v/>
      </c>
    </row>
    <row r="129" ht="15" customHeight="1">
      <c r="A129" t="inlineStr">
        <is>
          <t>S 2154-2022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44677</v>
      </c>
      <c r="E129" s="1" t="n">
        <v>46321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2.7</v>
      </c>
      <c r="J129" t="n">
        <v>0</v>
      </c>
      <c r="K129" t="n">
        <v>0</v>
      </c>
      <c r="L129" t="n">
        <v>1</v>
      </c>
      <c r="M129" t="n">
        <v>1</v>
      </c>
      <c r="N129" t="n">
        <v>0</v>
      </c>
      <c r="O129" t="n">
        <v>0</v>
      </c>
      <c r="P129" t="n">
        <v>0</v>
      </c>
      <c r="Q129" t="n">
        <v>2</v>
      </c>
      <c r="R129" t="n">
        <v>1</v>
      </c>
      <c r="S129" t="n">
        <v>2</v>
      </c>
      <c r="T129" t="n">
        <v>2</v>
      </c>
      <c r="U129" t="n">
        <v>2</v>
      </c>
      <c r="V129" s="2" t="inlineStr">
        <is>
          <t>Garnlav
Violettgrå tagellav</t>
        </is>
      </c>
      <c r="W129">
        <f>HYPERLINK("https://klasma.github.io/Logging_2284/artfynd/S 2154-2022 artfynd.xlsx", "S 2154-2022")</f>
        <v/>
      </c>
      <c r="X129">
        <f>HYPERLINK("https://klasma.github.io/Logging_2284/kartor/S 2154-2022 karta.png", "S 2154-2022")</f>
        <v/>
      </c>
      <c r="Y129">
        <f>HYPERLINK("https://klasma.github.io/Logging_2284/kartor_geotiff/S 2154-2022 georefererad karta.tif", "S 2154-2022")</f>
        <v/>
      </c>
      <c r="AA129">
        <f>HYPERLINK("https://klasma.github.io/Logging_2284/klagomål/S 2154-2022 FSC-klagomål.docx", "S 2154-2022")</f>
        <v/>
      </c>
      <c r="AB129">
        <f>HYPERLINK("https://klasma.github.io/Logging_2284/klagomålsmail/S 2154-2022 FSC-klagomål mail.docx", "S 2154-2022")</f>
        <v/>
      </c>
      <c r="AC129">
        <f>HYPERLINK("https://klasma.github.io/Logging_2284/tillsyn/S 2154-2022 tillsynsbegäran.docx", "S 2154-2022")</f>
        <v/>
      </c>
      <c r="AD129">
        <f>HYPERLINK("https://klasma.github.io/Logging_2284/tillsynsmail/S 2154-2022 tillsynsbegäran mail.docx", "S 2154-2022")</f>
        <v/>
      </c>
    </row>
    <row r="130" ht="15" customHeight="1">
      <c r="A130" t="inlineStr">
        <is>
          <t>S 956-2026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46113</v>
      </c>
      <c r="E130" s="1" t="n">
        <v>46321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2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t="n">
        <v>0</v>
      </c>
      <c r="S130" t="n">
        <v>2</v>
      </c>
      <c r="T130" t="n">
        <v>3</v>
      </c>
      <c r="U130" t="n">
        <v>3</v>
      </c>
      <c r="V130" s="2" t="inlineStr">
        <is>
          <t>Kolflarnlav
Talltaggsvamp</t>
        </is>
      </c>
      <c r="W130">
        <f>HYPERLINK("https://klasma.github.io/Logging_2284/artfynd/S 956-2026 artfynd.xlsx", "S 956-2026")</f>
        <v/>
      </c>
      <c r="X130">
        <f>HYPERLINK("https://klasma.github.io/Logging_2284/kartor/S 956-2026 karta.png", "S 956-2026")</f>
        <v/>
      </c>
      <c r="Y130">
        <f>HYPERLINK("https://klasma.github.io/Logging_2284/kartor_geotiff/S 956-2026 georefererad karta.tif", "S 956-2026")</f>
        <v/>
      </c>
      <c r="AA130">
        <f>HYPERLINK("https://klasma.github.io/Logging_2284/klagomål/S 956-2026 FSC-klagomål.docx", "S 956-2026")</f>
        <v/>
      </c>
      <c r="AB130">
        <f>HYPERLINK("https://klasma.github.io/Logging_2284/klagomålsmail/S 956-2026 FSC-klagomål mail.docx", "S 956-2026")</f>
        <v/>
      </c>
      <c r="AC130">
        <f>HYPERLINK("https://klasma.github.io/Logging_2284/tillsyn/S 956-2026 tillsynsbegäran.docx", "S 956-2026")</f>
        <v/>
      </c>
      <c r="AD130">
        <f>HYPERLINK("https://klasma.github.io/Logging_2284/tillsynsmail/S 956-2026 tillsynsbegäran mail.docx", "S 956-2026")</f>
        <v/>
      </c>
    </row>
    <row r="131" ht="15" customHeight="1">
      <c r="A131" t="inlineStr">
        <is>
          <t>S 1041-2026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46125</v>
      </c>
      <c r="E131" s="1" t="n">
        <v>46321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1.1</v>
      </c>
      <c r="J131" t="n">
        <v>0</v>
      </c>
      <c r="K131" t="n">
        <v>1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Ullticka
Källmossor</t>
        </is>
      </c>
      <c r="W131">
        <f>HYPERLINK("https://klasma.github.io/Logging_2284/artfynd/S 1041-2026 artfynd.xlsx", "S 1041-2026")</f>
        <v/>
      </c>
      <c r="X131">
        <f>HYPERLINK("https://klasma.github.io/Logging_2284/kartor/S 1041-2026 karta.png", "S 1041-2026")</f>
        <v/>
      </c>
      <c r="Y131">
        <f>HYPERLINK("https://klasma.github.io/Logging_2284/kartor_geotiff/S 1041-2026 georefererad karta.tif", "S 1041-2026")</f>
        <v/>
      </c>
      <c r="AA131">
        <f>HYPERLINK("https://klasma.github.io/Logging_2284/klagomål/S 1041-2026 FSC-klagomål.docx", "S 1041-2026")</f>
        <v/>
      </c>
      <c r="AB131">
        <f>HYPERLINK("https://klasma.github.io/Logging_2284/klagomålsmail/S 1041-2026 FSC-klagomål mail.docx", "S 1041-2026")</f>
        <v/>
      </c>
      <c r="AC131">
        <f>HYPERLINK("https://klasma.github.io/Logging_2284/tillsyn/S 1041-2026 tillsynsbegäran.docx", "S 1041-2026")</f>
        <v/>
      </c>
      <c r="AD131">
        <f>HYPERLINK("https://klasma.github.io/Logging_2284/tillsynsmail/S 1041-2026 tillsynsbegäran mail.docx", "S 1041-2026")</f>
        <v/>
      </c>
    </row>
    <row r="132" ht="15" customHeight="1">
      <c r="A132" t="inlineStr">
        <is>
          <t>S 2524-2026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46290</v>
      </c>
      <c r="E132" s="1" t="n">
        <v>46321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2</v>
      </c>
      <c r="N132" t="n">
        <v>0</v>
      </c>
      <c r="O132" t="n">
        <v>0</v>
      </c>
      <c r="P132" t="n">
        <v>0</v>
      </c>
      <c r="Q132" t="n">
        <v>2</v>
      </c>
      <c r="R132" t="n">
        <v>2</v>
      </c>
      <c r="S132" t="n">
        <v>2</v>
      </c>
      <c r="T132" t="n">
        <v>2</v>
      </c>
      <c r="U132" t="n">
        <v>0</v>
      </c>
      <c r="V132" s="2" t="inlineStr">
        <is>
          <t>Garnlav
Liten aspgelélav</t>
        </is>
      </c>
      <c r="W132">
        <f>HYPERLINK("https://klasma.github.io/Logging_2284/artfynd/S 2524-2026 artfynd.xlsx", "S 2524-2026")</f>
        <v/>
      </c>
      <c r="X132">
        <f>HYPERLINK("https://klasma.github.io/Logging_2284/kartor/S 2524-2026 karta.png", "S 2524-2026")</f>
        <v/>
      </c>
      <c r="Y132">
        <f>HYPERLINK("https://klasma.github.io/Logging_2284/kartor_geotiff/S 2524-2026 georefererad karta.tif", "S 2524-2026")</f>
        <v/>
      </c>
      <c r="AA132">
        <f>HYPERLINK("https://klasma.github.io/Logging_2284/klagomål/S 2524-2026 FSC-klagomål.docx", "S 2524-2026")</f>
        <v/>
      </c>
      <c r="AB132">
        <f>HYPERLINK("https://klasma.github.io/Logging_2284/klagomålsmail/S 2524-2026 FSC-klagomål mail.docx", "S 2524-2026")</f>
        <v/>
      </c>
      <c r="AC132">
        <f>HYPERLINK("https://klasma.github.io/Logging_2284/tillsyn/S 2524-2026 tillsynsbegäran.docx", "S 2524-2026")</f>
        <v/>
      </c>
      <c r="AD132">
        <f>HYPERLINK("https://klasma.github.io/Logging_2284/tillsynsmail/S 2524-2026 tillsynsbegäran mail.docx", "S 2524-2026")</f>
        <v/>
      </c>
    </row>
    <row r="133" ht="15" customHeight="1">
      <c r="A133" t="inlineStr">
        <is>
          <t>A 63394-2021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46321</v>
      </c>
      <c r="F133" t="inlineStr">
        <is>
          <t>VÄSTERNORRLANDS LÄN</t>
        </is>
      </c>
      <c r="G133" t="inlineStr">
        <is>
          <t>ÖRNSKÖLDSVIK</t>
        </is>
      </c>
      <c r="I133" t="n">
        <v>0.7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Järpe</t>
        </is>
      </c>
      <c r="W133">
        <f>HYPERLINK("https://klasma.github.io/Logging_2284/artfynd/A 63394-2021 artfynd.xlsx", "A 63394-2021")</f>
        <v/>
      </c>
      <c r="X133">
        <f>HYPERLINK("https://klasma.github.io/Logging_2284/kartor/A 63394-2021 karta.png", "A 63394-2021")</f>
        <v/>
      </c>
      <c r="Y133">
        <f>HYPERLINK("https://klasma.github.io/Logging_2284/kartor_geotiff/A 63394-2021 georefererad karta.tif", "A 63394-2021")</f>
        <v/>
      </c>
      <c r="AA133">
        <f>HYPERLINK("https://klasma.github.io/Logging_2284/klagomål/A 63394-2021 FSC-klagomål.docx", "A 63394-2021")</f>
        <v/>
      </c>
      <c r="AB133">
        <f>HYPERLINK("https://klasma.github.io/Logging_2284/klagomålsmail/A 63394-2021 FSC-klagomål mail.docx", "A 63394-2021")</f>
        <v/>
      </c>
      <c r="AC133">
        <f>HYPERLINK("https://klasma.github.io/Logging_2284/tillsyn/A 63394-2021 tillsynsbegäran.docx", "A 63394-2021")</f>
        <v/>
      </c>
      <c r="AD133">
        <f>HYPERLINK("https://klasma.github.io/Logging_2284/tillsynsmail/A 63394-2021 tillsynsbegäran mail.docx", "A 63394-2021")</f>
        <v/>
      </c>
      <c r="AE133">
        <f>HYPERLINK("https://klasma.github.io/Logging_2284/fåglar/A 63394-2021 prioriterade fågelarter.docx", "A 63394-2021")</f>
        <v/>
      </c>
    </row>
    <row r="134" ht="15" customHeight="1">
      <c r="A134" t="inlineStr">
        <is>
          <t>A 27524-2022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44742</v>
      </c>
      <c r="E134" s="1" t="n">
        <v>46321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HYPERLINK("https://klasma.github.io/Logging_2284/artfynd/A 27524-2022 artfynd.xlsx", "A 27524-2022")</f>
        <v/>
      </c>
      <c r="X134">
        <f>HYPERLINK("https://klasma.github.io/Logging_2284/kartor/A 27524-2022 karta.png", "A 27524-2022")</f>
        <v/>
      </c>
      <c r="Y134">
        <f>HYPERLINK("https://klasma.github.io/Logging_2284/kartor_geotiff/A 27524-2022 georefererad karta.tif", "A 27524-2022")</f>
        <v/>
      </c>
      <c r="AA134">
        <f>HYPERLINK("https://klasma.github.io/Logging_2284/klagomål/A 27524-2022 FSC-klagomål.docx", "A 27524-2022")</f>
        <v/>
      </c>
      <c r="AB134">
        <f>HYPERLINK("https://klasma.github.io/Logging_2284/klagomålsmail/A 27524-2022 FSC-klagomål mail.docx", "A 27524-2022")</f>
        <v/>
      </c>
      <c r="AC134">
        <f>HYPERLINK("https://klasma.github.io/Logging_2284/tillsyn/A 27524-2022 tillsynsbegäran.docx", "A 27524-2022")</f>
        <v/>
      </c>
      <c r="AD134">
        <f>HYPERLINK("https://klasma.github.io/Logging_2284/tillsynsmail/A 27524-2022 tillsynsbegäran mail.docx", "A 27524-2022")</f>
        <v/>
      </c>
    </row>
    <row r="135" ht="15" customHeight="1">
      <c r="A135" t="inlineStr">
        <is>
          <t>A 66531-2021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44518</v>
      </c>
      <c r="E135" s="1" t="n">
        <v>46321</v>
      </c>
      <c r="F135" t="inlineStr">
        <is>
          <t>VÄSTERNORRLANDS LÄN</t>
        </is>
      </c>
      <c r="G135" t="inlineStr">
        <is>
          <t>ÖRNSKÖLDSVIK</t>
        </is>
      </c>
      <c r="I135" t="n">
        <v>0.6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HYPERLINK("https://klasma.github.io/Logging_2284/artfynd/A 66531-2021 artfynd.xlsx", "A 66531-2021")</f>
        <v/>
      </c>
      <c r="X135">
        <f>HYPERLINK("https://klasma.github.io/Logging_2284/kartor/A 66531-2021 karta.png", "A 66531-2021")</f>
        <v/>
      </c>
      <c r="Y135">
        <f>HYPERLINK("https://klasma.github.io/Logging_2284/kartor_geotiff/A 66531-2021 georefererad karta.tif", "A 66531-2021")</f>
        <v/>
      </c>
      <c r="AA135">
        <f>HYPERLINK("https://klasma.github.io/Logging_2284/klagomål/A 66531-2021 FSC-klagomål.docx", "A 66531-2021")</f>
        <v/>
      </c>
      <c r="AB135">
        <f>HYPERLINK("https://klasma.github.io/Logging_2284/klagomålsmail/A 66531-2021 FSC-klagomål mail.docx", "A 66531-2021")</f>
        <v/>
      </c>
      <c r="AC135">
        <f>HYPERLINK("https://klasma.github.io/Logging_2284/tillsyn/A 66531-2021 tillsynsbegäran.docx", "A 66531-2021")</f>
        <v/>
      </c>
      <c r="AD135">
        <f>HYPERLINK("https://klasma.github.io/Logging_2284/tillsynsmail/A 66531-2021 tillsynsbegäran mail.docx", "A 66531-2021")</f>
        <v/>
      </c>
    </row>
    <row r="136" ht="15" customHeight="1">
      <c r="A136" t="inlineStr">
        <is>
          <t>A 1471-2022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46321</v>
      </c>
      <c r="F136" t="inlineStr">
        <is>
          <t>VÄSTERNORRLANDS LÄN</t>
        </is>
      </c>
      <c r="G136" t="inlineStr">
        <is>
          <t>ÖRNSKÖLDSVIK</t>
        </is>
      </c>
      <c r="I136" t="n">
        <v>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Lunglav</t>
        </is>
      </c>
      <c r="W136">
        <f>HYPERLINK("https://klasma.github.io/Logging_2284/artfynd/A 1471-2022 artfynd.xlsx", "A 1471-2022")</f>
        <v/>
      </c>
      <c r="X136">
        <f>HYPERLINK("https://klasma.github.io/Logging_2284/kartor/A 1471-2022 karta.png", "A 1471-2022")</f>
        <v/>
      </c>
      <c r="Y136">
        <f>HYPERLINK("https://klasma.github.io/Logging_2284/kartor_geotiff/A 1471-2022 georefererad karta.tif", "A 1471-2022")</f>
        <v/>
      </c>
      <c r="AA136">
        <f>HYPERLINK("https://klasma.github.io/Logging_2284/klagomål/A 1471-2022 FSC-klagomål.docx", "A 1471-2022")</f>
        <v/>
      </c>
      <c r="AB136">
        <f>HYPERLINK("https://klasma.github.io/Logging_2284/klagomålsmail/A 1471-2022 FSC-klagomål mail.docx", "A 1471-2022")</f>
        <v/>
      </c>
      <c r="AC136">
        <f>HYPERLINK("https://klasma.github.io/Logging_2284/tillsyn/A 1471-2022 tillsynsbegäran.docx", "A 1471-2022")</f>
        <v/>
      </c>
      <c r="AD136">
        <f>HYPERLINK("https://klasma.github.io/Logging_2284/tillsynsmail/A 1471-2022 tillsynsbegäran mail.docx", "A 1471-2022")</f>
        <v/>
      </c>
    </row>
    <row r="137" ht="15" customHeight="1">
      <c r="A137" t="inlineStr">
        <is>
          <t>A 38733-2025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46321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38733-2025 artfynd.xlsx", "A 38733-2025")</f>
        <v/>
      </c>
      <c r="X137">
        <f>HYPERLINK("https://klasma.github.io/Logging_2284/kartor/A 38733-2025 karta.png", "A 38733-2025")</f>
        <v/>
      </c>
      <c r="Y137">
        <f>HYPERLINK("https://klasma.github.io/Logging_2284/kartor_geotiff/A 38733-2025 georefererad karta.tif", "A 38733-2025")</f>
        <v/>
      </c>
      <c r="AA137">
        <f>HYPERLINK("https://klasma.github.io/Logging_2284/klagomål/A 38733-2025 FSC-klagomål.docx", "A 38733-2025")</f>
        <v/>
      </c>
      <c r="AB137">
        <f>HYPERLINK("https://klasma.github.io/Logging_2284/klagomålsmail/A 38733-2025 FSC-klagomål mail.docx", "A 38733-2025")</f>
        <v/>
      </c>
      <c r="AC137">
        <f>HYPERLINK("https://klasma.github.io/Logging_2284/tillsyn/A 38733-2025 tillsynsbegäran.docx", "A 38733-2025")</f>
        <v/>
      </c>
      <c r="AD137">
        <f>HYPERLINK("https://klasma.github.io/Logging_2284/tillsynsmail/A 38733-2025 tillsynsbegäran mail.docx", "A 38733-2025")</f>
        <v/>
      </c>
    </row>
    <row r="138" ht="15" customHeight="1">
      <c r="A138" t="inlineStr">
        <is>
          <t>A 54913-2023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45236</v>
      </c>
      <c r="E138" s="1" t="n">
        <v>46321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Skinnlav</t>
        </is>
      </c>
      <c r="W138">
        <f>HYPERLINK("https://klasma.github.io/Logging_2284/artfynd/A 54913-2023 artfynd.xlsx", "A 54913-2023")</f>
        <v/>
      </c>
      <c r="X138">
        <f>HYPERLINK("https://klasma.github.io/Logging_2284/kartor/A 54913-2023 karta.png", "A 54913-2023")</f>
        <v/>
      </c>
      <c r="Y138">
        <f>HYPERLINK("https://klasma.github.io/Logging_2284/kartor_geotiff/A 54913-2023 georefererad karta.tif", "A 54913-2023")</f>
        <v/>
      </c>
      <c r="AA138">
        <f>HYPERLINK("https://klasma.github.io/Logging_2284/klagomål/A 54913-2023 FSC-klagomål.docx", "A 54913-2023")</f>
        <v/>
      </c>
      <c r="AB138">
        <f>HYPERLINK("https://klasma.github.io/Logging_2284/klagomålsmail/A 54913-2023 FSC-klagomål mail.docx", "A 54913-2023")</f>
        <v/>
      </c>
      <c r="AC138">
        <f>HYPERLINK("https://klasma.github.io/Logging_2284/tillsyn/A 54913-2023 tillsynsbegäran.docx", "A 54913-2023")</f>
        <v/>
      </c>
      <c r="AD138">
        <f>HYPERLINK("https://klasma.github.io/Logging_2284/tillsynsmail/A 54913-2023 tillsynsbegäran mail.docx", "A 54913-2023")</f>
        <v/>
      </c>
    </row>
    <row r="139" ht="15" customHeight="1">
      <c r="A139" t="inlineStr">
        <is>
          <t>A 38362-2025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46321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Ullticka</t>
        </is>
      </c>
      <c r="W139">
        <f>HYPERLINK("https://klasma.github.io/Logging_2284/artfynd/A 38362-2025 artfynd.xlsx", "A 38362-2025")</f>
        <v/>
      </c>
      <c r="X139">
        <f>HYPERLINK("https://klasma.github.io/Logging_2284/kartor/A 38362-2025 karta.png", "A 38362-2025")</f>
        <v/>
      </c>
      <c r="Y139">
        <f>HYPERLINK("https://klasma.github.io/Logging_2284/kartor_geotiff/A 38362-2025 georefererad karta.tif", "A 38362-2025")</f>
        <v/>
      </c>
      <c r="AA139">
        <f>HYPERLINK("https://klasma.github.io/Logging_2284/klagomål/A 38362-2025 FSC-klagomål.docx", "A 38362-2025")</f>
        <v/>
      </c>
      <c r="AB139">
        <f>HYPERLINK("https://klasma.github.io/Logging_2284/klagomålsmail/A 38362-2025 FSC-klagomål mail.docx", "A 38362-2025")</f>
        <v/>
      </c>
      <c r="AC139">
        <f>HYPERLINK("https://klasma.github.io/Logging_2284/tillsyn/A 38362-2025 tillsynsbegäran.docx", "A 38362-2025")</f>
        <v/>
      </c>
      <c r="AD139">
        <f>HYPERLINK("https://klasma.github.io/Logging_2284/tillsynsmail/A 38362-2025 tillsynsbegäran mail.docx", "A 38362-2025")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46321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46321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Skinnlav</t>
        </is>
      </c>
      <c r="W141">
        <f>HYPERLINK("https://klasma.github.io/Logging_2284/artfynd/A 41810-2025 artfynd.xlsx", "A 41810-2025")</f>
        <v/>
      </c>
      <c r="X141">
        <f>HYPERLINK("https://klasma.github.io/Logging_2284/kartor/A 41810-2025 karta.png", "A 41810-2025")</f>
        <v/>
      </c>
      <c r="Y141">
        <f>HYPERLINK("https://klasma.github.io/Logging_2284/kartor_geotiff/A 41810-2025 georefererad karta.tif", "A 41810-2025")</f>
        <v/>
      </c>
      <c r="AA141">
        <f>HYPERLINK("https://klasma.github.io/Logging_2284/klagomål/A 41810-2025 FSC-klagomål.docx", "A 41810-2025")</f>
        <v/>
      </c>
      <c r="AB141">
        <f>HYPERLINK("https://klasma.github.io/Logging_2284/klagomålsmail/A 41810-2025 FSC-klagomål mail.docx", "A 41810-2025")</f>
        <v/>
      </c>
      <c r="AC141">
        <f>HYPERLINK("https://klasma.github.io/Logging_2284/tillsyn/A 41810-2025 tillsynsbegäran.docx", "A 41810-2025")</f>
        <v/>
      </c>
      <c r="AD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23613-2026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46321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9.1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Garnlav</t>
        </is>
      </c>
      <c r="W142">
        <f>HYPERLINK("https://klasma.github.io/Logging_2284/artfynd/A 23613-2026 artfynd.xlsx", "A 23613-2026")</f>
        <v/>
      </c>
      <c r="X142">
        <f>HYPERLINK("https://klasma.github.io/Logging_2284/kartor/A 23613-2026 karta.png", "A 23613-2026")</f>
        <v/>
      </c>
      <c r="Y142">
        <f>HYPERLINK("https://klasma.github.io/Logging_2284/kartor_geotiff/A 23613-2026 georefererad karta.tif", "A 23613-2026")</f>
        <v/>
      </c>
      <c r="AA142">
        <f>HYPERLINK("https://klasma.github.io/Logging_2284/klagomål/A 23613-2026 FSC-klagomål.docx", "A 23613-2026")</f>
        <v/>
      </c>
      <c r="AB142">
        <f>HYPERLINK("https://klasma.github.io/Logging_2284/klagomålsmail/A 23613-2026 FSC-klagomål mail.docx", "A 23613-2026")</f>
        <v/>
      </c>
      <c r="AC142">
        <f>HYPERLINK("https://klasma.github.io/Logging_2284/tillsyn/A 23613-2026 tillsynsbegäran.docx", "A 23613-2026")</f>
        <v/>
      </c>
      <c r="AD142">
        <f>HYPERLINK("https://klasma.github.io/Logging_2284/tillsynsmail/A 23613-2026 tillsynsbegäran mail.docx", "A 23613-2026")</f>
        <v/>
      </c>
    </row>
    <row r="143" ht="15" customHeight="1">
      <c r="A143" t="inlineStr">
        <is>
          <t>A 49513-2025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46321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HYPERLINK("https://klasma.github.io/Logging_2284/artfynd/A 49513-2025 artfynd.xlsx", "A 49513-2025")</f>
        <v/>
      </c>
      <c r="X143">
        <f>HYPERLINK("https://klasma.github.io/Logging_2284/kartor/A 49513-2025 karta.png", "A 49513-2025")</f>
        <v/>
      </c>
      <c r="Y143">
        <f>HYPERLINK("https://klasma.github.io/Logging_2284/kartor_geotiff/A 49513-2025 georefererad karta.tif", "A 49513-2025")</f>
        <v/>
      </c>
      <c r="AA143">
        <f>HYPERLINK("https://klasma.github.io/Logging_2284/klagomål/A 49513-2025 FSC-klagomål.docx", "A 49513-2025")</f>
        <v/>
      </c>
      <c r="AB143">
        <f>HYPERLINK("https://klasma.github.io/Logging_2284/klagomålsmail/A 49513-2025 FSC-klagomål mail.docx", "A 49513-2025")</f>
        <v/>
      </c>
      <c r="AC143">
        <f>HYPERLINK("https://klasma.github.io/Logging_2284/tillsyn/A 49513-2025 tillsynsbegäran.docx", "A 49513-2025")</f>
        <v/>
      </c>
      <c r="AD143">
        <f>HYPERLINK("https://klasma.github.io/Logging_2284/tillsynsmail/A 49513-2025 tillsynsbegäran mail.docx", "A 49513-2025")</f>
        <v/>
      </c>
    </row>
    <row r="144" ht="15" customHeight="1">
      <c r="A144" t="inlineStr">
        <is>
          <t>A 24808-2024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45460</v>
      </c>
      <c r="E144" s="1" t="n">
        <v>46321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1.7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Kungsörn</t>
        </is>
      </c>
      <c r="W144">
        <f>HYPERLINK("https://klasma.github.io/Logging_2284/artfynd/A 24808-2024 artfynd.xlsx", "A 24808-2024")</f>
        <v/>
      </c>
      <c r="X144">
        <f>HYPERLINK("https://klasma.github.io/Logging_2284/kartor/A 24808-2024 karta.png", "A 24808-2024")</f>
        <v/>
      </c>
      <c r="Y144">
        <f>HYPERLINK("https://klasma.github.io/Logging_2284/kartor_geotiff/A 24808-2024 georefererad karta.tif", "A 24808-2024")</f>
        <v/>
      </c>
      <c r="AA144">
        <f>HYPERLINK("https://klasma.github.io/Logging_2284/klagomål/A 24808-2024 FSC-klagomål.docx", "A 24808-2024")</f>
        <v/>
      </c>
      <c r="AB144">
        <f>HYPERLINK("https://klasma.github.io/Logging_2284/klagomålsmail/A 24808-2024 FSC-klagomål mail.docx", "A 24808-2024")</f>
        <v/>
      </c>
      <c r="AC144">
        <f>HYPERLINK("https://klasma.github.io/Logging_2284/tillsyn/A 24808-2024 tillsynsbegäran.docx", "A 24808-2024")</f>
        <v/>
      </c>
      <c r="AD144">
        <f>HYPERLINK("https://klasma.github.io/Logging_2284/tillsynsmail/A 24808-2024 tillsynsbegäran mail.docx", "A 24808-2024")</f>
        <v/>
      </c>
      <c r="AE144">
        <f>HYPERLINK("https://klasma.github.io/Logging_2284/fåglar/A 24808-2024 prioriterade fågelarter.docx", "A 24808-2024")</f>
        <v/>
      </c>
    </row>
    <row r="145" ht="15" customHeight="1">
      <c r="A145" t="inlineStr">
        <is>
          <t>A 47067-2022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46321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Motaggsvamp</t>
        </is>
      </c>
      <c r="W145">
        <f>HYPERLINK("https://klasma.github.io/Logging_2284/artfynd/A 47067-2022 artfynd.xlsx", "A 47067-2022")</f>
        <v/>
      </c>
      <c r="X145">
        <f>HYPERLINK("https://klasma.github.io/Logging_2284/kartor/A 47067-2022 karta.png", "A 47067-2022")</f>
        <v/>
      </c>
      <c r="Y145">
        <f>HYPERLINK("https://klasma.github.io/Logging_2284/kartor_geotiff/A 47067-2022 georefererad karta.tif", "A 47067-2022")</f>
        <v/>
      </c>
      <c r="AA145">
        <f>HYPERLINK("https://klasma.github.io/Logging_2284/klagomål/A 47067-2022 FSC-klagomål.docx", "A 47067-2022")</f>
        <v/>
      </c>
      <c r="AB145">
        <f>HYPERLINK("https://klasma.github.io/Logging_2284/klagomålsmail/A 47067-2022 FSC-klagomål mail.docx", "A 47067-2022")</f>
        <v/>
      </c>
      <c r="AC145">
        <f>HYPERLINK("https://klasma.github.io/Logging_2284/tillsyn/A 47067-2022 tillsynsbegäran.docx", "A 47067-2022")</f>
        <v/>
      </c>
      <c r="AD145">
        <f>HYPERLINK("https://klasma.github.io/Logging_2284/tillsynsmail/A 47067-2022 tillsynsbegäran mail.docx", "A 47067-2022")</f>
        <v/>
      </c>
    </row>
    <row r="146" ht="15" customHeight="1">
      <c r="A146" t="inlineStr">
        <is>
          <t>A 26747-2026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46184</v>
      </c>
      <c r="E146" s="1" t="n">
        <v>46321</v>
      </c>
      <c r="F146" t="inlineStr">
        <is>
          <t>VÄSTERNORRLANDS LÄN</t>
        </is>
      </c>
      <c r="G146" t="inlineStr">
        <is>
          <t>ÖRNSKÖLDSVIK</t>
        </is>
      </c>
      <c r="I146" t="n">
        <v>14.5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Knärot</t>
        </is>
      </c>
      <c r="W146">
        <f>HYPERLINK("https://klasma.github.io/Logging_2284/artfynd/A 26747-2026 artfynd.xlsx", "A 26747-2026")</f>
        <v/>
      </c>
      <c r="X146">
        <f>HYPERLINK("https://klasma.github.io/Logging_2284/kartor/A 26747-2026 karta.png", "A 26747-2026")</f>
        <v/>
      </c>
      <c r="Y146">
        <f>HYPERLINK("https://klasma.github.io/Logging_2284/kartor_geotiff/A 26747-2026 georefererad karta.tif", "A 26747-2026")</f>
        <v/>
      </c>
      <c r="Z146">
        <f>HYPERLINK("https://klasma.github.io/Logging_2284/knärot/A 26747-2026 karta knärot.png", "A 26747-2026")</f>
        <v/>
      </c>
      <c r="AA146">
        <f>HYPERLINK("https://klasma.github.io/Logging_2284/klagomål/A 26747-2026 FSC-klagomål.docx", "A 26747-2026")</f>
        <v/>
      </c>
      <c r="AB146">
        <f>HYPERLINK("https://klasma.github.io/Logging_2284/klagomålsmail/A 26747-2026 FSC-klagomål mail.docx", "A 26747-2026")</f>
        <v/>
      </c>
      <c r="AC146">
        <f>HYPERLINK("https://klasma.github.io/Logging_2284/tillsyn/A 26747-2026 tillsynsbegäran.docx", "A 26747-2026")</f>
        <v/>
      </c>
      <c r="AD146">
        <f>HYPERLINK("https://klasma.github.io/Logging_2284/tillsynsmail/A 26747-2026 tillsynsbegäran mail.docx", "A 26747-2026")</f>
        <v/>
      </c>
    </row>
    <row r="147" ht="15" customHeight="1">
      <c r="A147" t="inlineStr">
        <is>
          <t>A 26961-2026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46185</v>
      </c>
      <c r="E147" s="1" t="n">
        <v>46321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SCA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4</v>
      </c>
      <c r="U147" t="n">
        <v>0</v>
      </c>
      <c r="V147" s="2" t="inlineStr">
        <is>
          <t>Garnlav</t>
        </is>
      </c>
      <c r="W147">
        <f>HYPERLINK("https://klasma.github.io/Logging_2284/artfynd/A 26961-2026 artfynd.xlsx", "A 26961-2026")</f>
        <v/>
      </c>
      <c r="X147">
        <f>HYPERLINK("https://klasma.github.io/Logging_2284/kartor/A 26961-2026 karta.png", "A 26961-2026")</f>
        <v/>
      </c>
      <c r="Y147">
        <f>HYPERLINK("https://klasma.github.io/Logging_2284/kartor_geotiff/A 26961-2026 georefererad karta.tif", "A 26961-2026")</f>
        <v/>
      </c>
      <c r="AA147">
        <f>HYPERLINK("https://klasma.github.io/Logging_2284/klagomål/A 26961-2026 FSC-klagomål.docx", "A 26961-2026")</f>
        <v/>
      </c>
      <c r="AB147">
        <f>HYPERLINK("https://klasma.github.io/Logging_2284/klagomålsmail/A 26961-2026 FSC-klagomål mail.docx", "A 26961-2026")</f>
        <v/>
      </c>
      <c r="AC147">
        <f>HYPERLINK("https://klasma.github.io/Logging_2284/tillsyn/A 26961-2026 tillsynsbegäran.docx", "A 26961-2026")</f>
        <v/>
      </c>
      <c r="AD147">
        <f>HYPERLINK("https://klasma.github.io/Logging_2284/tillsynsmail/A 26961-2026 tillsynsbegäran mail.docx", "A 26961-2026")</f>
        <v/>
      </c>
    </row>
    <row r="148" ht="15" customHeight="1">
      <c r="A148" t="inlineStr">
        <is>
          <t>A 27406-2026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46189</v>
      </c>
      <c r="E148" s="1" t="n">
        <v>46321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4.4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Gammelgransskål</t>
        </is>
      </c>
      <c r="W148">
        <f>HYPERLINK("https://klasma.github.io/Logging_2284/artfynd/A 27406-2026 artfynd.xlsx", "A 27406-2026")</f>
        <v/>
      </c>
      <c r="X148">
        <f>HYPERLINK("https://klasma.github.io/Logging_2284/kartor/A 27406-2026 karta.png", "A 27406-2026")</f>
        <v/>
      </c>
      <c r="Y148">
        <f>HYPERLINK("https://klasma.github.io/Logging_2284/kartor_geotiff/A 27406-2026 georefererad karta.tif", "A 27406-2026")</f>
        <v/>
      </c>
      <c r="AA148">
        <f>HYPERLINK("https://klasma.github.io/Logging_2284/klagomål/A 27406-2026 FSC-klagomål.docx", "A 27406-2026")</f>
        <v/>
      </c>
      <c r="AB148">
        <f>HYPERLINK("https://klasma.github.io/Logging_2284/klagomålsmail/A 27406-2026 FSC-klagomål mail.docx", "A 27406-2026")</f>
        <v/>
      </c>
      <c r="AC148">
        <f>HYPERLINK("https://klasma.github.io/Logging_2284/tillsyn/A 27406-2026 tillsynsbegäran.docx", "A 27406-2026")</f>
        <v/>
      </c>
      <c r="AD148">
        <f>HYPERLINK("https://klasma.github.io/Logging_2284/tillsynsmail/A 27406-2026 tillsynsbegäran mail.docx", "A 27406-2026")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46321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46321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55799-2025 artfynd.xlsx", "A 55799-2025")</f>
        <v/>
      </c>
      <c r="X150">
        <f>HYPERLINK("https://klasma.github.io/Logging_2284/kartor/A 55799-2025 karta.png", "A 55799-2025")</f>
        <v/>
      </c>
      <c r="Y150">
        <f>HYPERLINK("https://klasma.github.io/Logging_2284/kartor_geotiff/A 55799-2025 georefererad karta.tif", "A 55799-2025")</f>
        <v/>
      </c>
      <c r="AA150">
        <f>HYPERLINK("https://klasma.github.io/Logging_2284/klagomål/A 55799-2025 FSC-klagomål.docx", "A 55799-2025")</f>
        <v/>
      </c>
      <c r="AB150">
        <f>HYPERLINK("https://klasma.github.io/Logging_2284/klagomålsmail/A 55799-2025 FSC-klagomål mail.docx", "A 55799-2025")</f>
        <v/>
      </c>
      <c r="AC150">
        <f>HYPERLINK("https://klasma.github.io/Logging_2284/tillsyn/A 55799-2025 tillsynsbegäran.docx", "A 55799-2025")</f>
        <v/>
      </c>
      <c r="AD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46321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37659-2024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46321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Svart taggsvamp agg.</t>
        </is>
      </c>
      <c r="W152">
        <f>HYPERLINK("https://klasma.github.io/Logging_2284/artfynd/A 37659-2024 artfynd.xlsx", "A 37659-2024")</f>
        <v/>
      </c>
      <c r="X152">
        <f>HYPERLINK("https://klasma.github.io/Logging_2284/kartor/A 37659-2024 karta.png", "A 37659-2024")</f>
        <v/>
      </c>
      <c r="Y152">
        <f>HYPERLINK("https://klasma.github.io/Logging_2284/kartor_geotiff/A 37659-2024 georefererad karta.tif", "A 37659-2024")</f>
        <v/>
      </c>
      <c r="AA152">
        <f>HYPERLINK("https://klasma.github.io/Logging_2284/klagomål/A 37659-2024 FSC-klagomål.docx", "A 37659-2024")</f>
        <v/>
      </c>
      <c r="AB152">
        <f>HYPERLINK("https://klasma.github.io/Logging_2284/klagomålsmail/A 37659-2024 FSC-klagomål mail.docx", "A 37659-2024")</f>
        <v/>
      </c>
      <c r="AC152">
        <f>HYPERLINK("https://klasma.github.io/Logging_2284/tillsyn/A 37659-2024 tillsynsbegäran.docx", "A 37659-2024")</f>
        <v/>
      </c>
      <c r="AD152">
        <f>HYPERLINK("https://klasma.github.io/Logging_2284/tillsynsmail/A 37659-2024 tillsynsbegäran mail.docx", "A 37659-2024")</f>
        <v/>
      </c>
    </row>
    <row r="153" ht="15" customHeight="1">
      <c r="A153" t="inlineStr">
        <is>
          <t>A 55865-2025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46321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HYPERLINK("https://klasma.github.io/Logging_2284/artfynd/A 55865-2025 artfynd.xlsx", "A 55865-2025")</f>
        <v/>
      </c>
      <c r="X153">
        <f>HYPERLINK("https://klasma.github.io/Logging_2284/kartor/A 55865-2025 karta.png", "A 55865-2025")</f>
        <v/>
      </c>
      <c r="Y153">
        <f>HYPERLINK("https://klasma.github.io/Logging_2284/kartor_geotiff/A 55865-2025 georefererad karta.tif", "A 55865-2025")</f>
        <v/>
      </c>
      <c r="AA153">
        <f>HYPERLINK("https://klasma.github.io/Logging_2284/klagomål/A 55865-2025 FSC-klagomål.docx", "A 55865-2025")</f>
        <v/>
      </c>
      <c r="AB153">
        <f>HYPERLINK("https://klasma.github.io/Logging_2284/klagomålsmail/A 55865-2025 FSC-klagomål mail.docx", "A 55865-2025")</f>
        <v/>
      </c>
      <c r="AC153">
        <f>HYPERLINK("https://klasma.github.io/Logging_2284/tillsyn/A 55865-2025 tillsynsbegäran.docx", "A 55865-2025")</f>
        <v/>
      </c>
      <c r="AD153">
        <f>HYPERLINK("https://klasma.github.io/Logging_2284/tillsynsmail/A 55865-2025 tillsynsbegäran mail.docx", "A 55865-2025")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46321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46321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20807-2023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45058</v>
      </c>
      <c r="E156" s="1" t="n">
        <v>46321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14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Lavskrika</t>
        </is>
      </c>
      <c r="W156">
        <f>HYPERLINK("https://klasma.github.io/Logging_2284/artfynd/A 20807-2023 artfynd.xlsx", "A 20807-2023")</f>
        <v/>
      </c>
      <c r="X156">
        <f>HYPERLINK("https://klasma.github.io/Logging_2284/kartor/A 20807-2023 karta.png", "A 20807-2023")</f>
        <v/>
      </c>
      <c r="Y156">
        <f>HYPERLINK("https://klasma.github.io/Logging_2284/kartor_geotiff/A 20807-2023 georefererad karta.tif", "A 20807-2023")</f>
        <v/>
      </c>
      <c r="AA156">
        <f>HYPERLINK("https://klasma.github.io/Logging_2284/klagomål/A 20807-2023 FSC-klagomål.docx", "A 20807-2023")</f>
        <v/>
      </c>
      <c r="AB156">
        <f>HYPERLINK("https://klasma.github.io/Logging_2284/klagomålsmail/A 20807-2023 FSC-klagomål mail.docx", "A 20807-2023")</f>
        <v/>
      </c>
      <c r="AC156">
        <f>HYPERLINK("https://klasma.github.io/Logging_2284/tillsyn/A 20807-2023 tillsynsbegäran.docx", "A 20807-2023")</f>
        <v/>
      </c>
      <c r="AD156">
        <f>HYPERLINK("https://klasma.github.io/Logging_2284/tillsynsmail/A 20807-2023 tillsynsbegäran mail.docx", "A 20807-2023")</f>
        <v/>
      </c>
      <c r="AE156">
        <f>HYPERLINK("https://klasma.github.io/Logging_2284/fåglar/A 20807-2023 prioriterade fågelarter.docx", "A 20807-2023")</f>
        <v/>
      </c>
    </row>
    <row r="157" ht="15" customHeight="1">
      <c r="A157" t="inlineStr">
        <is>
          <t>A 2234-2025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45673</v>
      </c>
      <c r="E157" s="1" t="n">
        <v>46321</v>
      </c>
      <c r="F157" t="inlineStr">
        <is>
          <t>VÄSTERNORRLANDS LÄN</t>
        </is>
      </c>
      <c r="G157" t="inlineStr">
        <is>
          <t>ÖRNSKÖLDSVIK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Bårdlav</t>
        </is>
      </c>
      <c r="W157">
        <f>HYPERLINK("https://klasma.github.io/Logging_2284/artfynd/A 2234-2025 artfynd.xlsx", "A 2234-2025")</f>
        <v/>
      </c>
      <c r="X157">
        <f>HYPERLINK("https://klasma.github.io/Logging_2284/kartor/A 2234-2025 karta.png", "A 2234-2025")</f>
        <v/>
      </c>
      <c r="Y157">
        <f>HYPERLINK("https://klasma.github.io/Logging_2284/kartor_geotiff/A 2234-2025 georefererad karta.tif", "A 2234-2025")</f>
        <v/>
      </c>
      <c r="AA157">
        <f>HYPERLINK("https://klasma.github.io/Logging_2284/klagomål/A 2234-2025 FSC-klagomål.docx", "A 2234-2025")</f>
        <v/>
      </c>
      <c r="AB157">
        <f>HYPERLINK("https://klasma.github.io/Logging_2284/klagomålsmail/A 2234-2025 FSC-klagomål mail.docx", "A 2234-2025")</f>
        <v/>
      </c>
      <c r="AC157">
        <f>HYPERLINK("https://klasma.github.io/Logging_2284/tillsyn/A 2234-2025 tillsynsbegäran.docx", "A 2234-2025")</f>
        <v/>
      </c>
      <c r="AD157">
        <f>HYPERLINK("https://klasma.github.io/Logging_2284/tillsynsmail/A 2234-2025 tillsynsbegäran mail.docx", "A 2234-2025")</f>
        <v/>
      </c>
    </row>
    <row r="158" ht="15" customHeight="1">
      <c r="A158" t="inlineStr">
        <is>
          <t>A 57375-2025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45980</v>
      </c>
      <c r="E158" s="1" t="n">
        <v>46321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Skinnlav</t>
        </is>
      </c>
      <c r="W158">
        <f>HYPERLINK("https://klasma.github.io/Logging_2284/artfynd/A 57375-2025 artfynd.xlsx", "A 57375-2025")</f>
        <v/>
      </c>
      <c r="X158">
        <f>HYPERLINK("https://klasma.github.io/Logging_2284/kartor/A 57375-2025 karta.png", "A 57375-2025")</f>
        <v/>
      </c>
      <c r="Y158">
        <f>HYPERLINK("https://klasma.github.io/Logging_2284/kartor_geotiff/A 57375-2025 georefererad karta.tif", "A 57375-2025")</f>
        <v/>
      </c>
      <c r="AA158">
        <f>HYPERLINK("https://klasma.github.io/Logging_2284/klagomål/A 57375-2025 FSC-klagomål.docx", "A 57375-2025")</f>
        <v/>
      </c>
      <c r="AB158">
        <f>HYPERLINK("https://klasma.github.io/Logging_2284/klagomålsmail/A 57375-2025 FSC-klagomål mail.docx", "A 57375-2025")</f>
        <v/>
      </c>
      <c r="AC158">
        <f>HYPERLINK("https://klasma.github.io/Logging_2284/tillsyn/A 57375-2025 tillsynsbegäran.docx", "A 57375-2025")</f>
        <v/>
      </c>
      <c r="AD158">
        <f>HYPERLINK("https://klasma.github.io/Logging_2284/tillsynsmail/A 57375-2025 tillsynsbegäran mail.docx", "A 57375-2025")</f>
        <v/>
      </c>
    </row>
    <row r="159" ht="15" customHeight="1">
      <c r="A159" t="inlineStr">
        <is>
          <t>A 42565-2023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45176</v>
      </c>
      <c r="E159" s="1" t="n">
        <v>46321</v>
      </c>
      <c r="F159" t="inlineStr">
        <is>
          <t>VÄSTERNORRLANDS LÄN</t>
        </is>
      </c>
      <c r="G159" t="inlineStr">
        <is>
          <t>ÖRNSKÖLDSVIK</t>
        </is>
      </c>
      <c r="I159" t="n">
        <v>1.9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2</v>
      </c>
      <c r="V159" s="2" t="inlineStr">
        <is>
          <t>Ullticka</t>
        </is>
      </c>
      <c r="W159">
        <f>HYPERLINK("https://klasma.github.io/Logging_2284/artfynd/A 42565-2023 artfynd.xlsx", "A 42565-2023")</f>
        <v/>
      </c>
      <c r="X159">
        <f>HYPERLINK("https://klasma.github.io/Logging_2284/kartor/A 42565-2023 karta.png", "A 42565-2023")</f>
        <v/>
      </c>
      <c r="Y159">
        <f>HYPERLINK("https://klasma.github.io/Logging_2284/kartor_geotiff/A 42565-2023 georefererad karta.tif", "A 42565-2023")</f>
        <v/>
      </c>
      <c r="AA159">
        <f>HYPERLINK("https://klasma.github.io/Logging_2284/klagomål/A 42565-2023 FSC-klagomål.docx", "A 42565-2023")</f>
        <v/>
      </c>
      <c r="AB159">
        <f>HYPERLINK("https://klasma.github.io/Logging_2284/klagomålsmail/A 42565-2023 FSC-klagomål mail.docx", "A 42565-2023")</f>
        <v/>
      </c>
      <c r="AC159">
        <f>HYPERLINK("https://klasma.github.io/Logging_2284/tillsyn/A 42565-2023 tillsynsbegäran.docx", "A 42565-2023")</f>
        <v/>
      </c>
      <c r="AD159">
        <f>HYPERLINK("https://klasma.github.io/Logging_2284/tillsynsmail/A 42565-2023 tillsynsbegäran mail.docx", "A 42565-2023")</f>
        <v/>
      </c>
    </row>
    <row r="160" ht="15" customHeight="1">
      <c r="A160" t="inlineStr">
        <is>
          <t>A 62256-2022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44922</v>
      </c>
      <c r="E160" s="1" t="n">
        <v>46321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2.4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3</v>
      </c>
      <c r="U160" t="n">
        <v>3</v>
      </c>
      <c r="V160" s="2" t="inlineStr">
        <is>
          <t>Tretåig hackspett</t>
        </is>
      </c>
      <c r="W160">
        <f>HYPERLINK("https://klasma.github.io/Logging_2284/artfynd/A 62256-2022 artfynd.xlsx", "A 62256-2022")</f>
        <v/>
      </c>
      <c r="X160">
        <f>HYPERLINK("https://klasma.github.io/Logging_2284/kartor/A 62256-2022 karta.png", "A 62256-2022")</f>
        <v/>
      </c>
      <c r="Y160">
        <f>HYPERLINK("https://klasma.github.io/Logging_2284/kartor_geotiff/A 62256-2022 georefererad karta.tif", "A 62256-2022")</f>
        <v/>
      </c>
      <c r="AA160">
        <f>HYPERLINK("https://klasma.github.io/Logging_2284/klagomål/A 62256-2022 FSC-klagomål.docx", "A 62256-2022")</f>
        <v/>
      </c>
      <c r="AB160">
        <f>HYPERLINK("https://klasma.github.io/Logging_2284/klagomålsmail/A 62256-2022 FSC-klagomål mail.docx", "A 62256-2022")</f>
        <v/>
      </c>
      <c r="AC160">
        <f>HYPERLINK("https://klasma.github.io/Logging_2284/tillsyn/A 62256-2022 tillsynsbegäran.docx", "A 62256-2022")</f>
        <v/>
      </c>
      <c r="AD160">
        <f>HYPERLINK("https://klasma.github.io/Logging_2284/tillsynsmail/A 62256-2022 tillsynsbegäran mail.docx", "A 62256-2022")</f>
        <v/>
      </c>
      <c r="AE160">
        <f>HYPERLINK("https://klasma.github.io/Logging_2284/fåglar/A 62256-2022 prioriterade fågelarter.docx", "A 62256-2022")</f>
        <v/>
      </c>
    </row>
    <row r="161" ht="15" customHeight="1">
      <c r="A161" t="inlineStr">
        <is>
          <t>A 31487-2026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46223</v>
      </c>
      <c r="E161" s="1" t="n">
        <v>46321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5.7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Stjärntagging</t>
        </is>
      </c>
      <c r="W161">
        <f>HYPERLINK("https://klasma.github.io/Logging_2284/artfynd/A 31487-2026 artfynd.xlsx", "A 31487-2026")</f>
        <v/>
      </c>
      <c r="X161">
        <f>HYPERLINK("https://klasma.github.io/Logging_2284/kartor/A 31487-2026 karta.png", "A 31487-2026")</f>
        <v/>
      </c>
      <c r="Y161">
        <f>HYPERLINK("https://klasma.github.io/Logging_2284/kartor_geotiff/A 31487-2026 georefererad karta.tif", "A 31487-2026")</f>
        <v/>
      </c>
      <c r="AA161">
        <f>HYPERLINK("https://klasma.github.io/Logging_2284/klagomål/A 31487-2026 FSC-klagomål.docx", "A 31487-2026")</f>
        <v/>
      </c>
      <c r="AB161">
        <f>HYPERLINK("https://klasma.github.io/Logging_2284/klagomålsmail/A 31487-2026 FSC-klagomål mail.docx", "A 31487-2026")</f>
        <v/>
      </c>
      <c r="AC161">
        <f>HYPERLINK("https://klasma.github.io/Logging_2284/tillsyn/A 31487-2026 tillsynsbegäran.docx", "A 31487-2026")</f>
        <v/>
      </c>
      <c r="AD161">
        <f>HYPERLINK("https://klasma.github.io/Logging_2284/tillsynsmail/A 31487-2026 tillsynsbegäran mail.docx", "A 31487-2026")</f>
        <v/>
      </c>
    </row>
    <row r="162" ht="15" customHeight="1">
      <c r="A162" t="inlineStr">
        <is>
          <t>A 21356-2025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45782</v>
      </c>
      <c r="E162" s="1" t="n">
        <v>46321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Garnlav</t>
        </is>
      </c>
      <c r="W162">
        <f>HYPERLINK("https://klasma.github.io/Logging_2284/artfynd/A 21356-2025 artfynd.xlsx", "A 21356-2025")</f>
        <v/>
      </c>
      <c r="X162">
        <f>HYPERLINK("https://klasma.github.io/Logging_2284/kartor/A 21356-2025 karta.png", "A 21356-2025")</f>
        <v/>
      </c>
      <c r="Y162">
        <f>HYPERLINK("https://klasma.github.io/Logging_2284/kartor_geotiff/A 21356-2025 georefererad karta.tif", "A 21356-2025")</f>
        <v/>
      </c>
      <c r="AA162">
        <f>HYPERLINK("https://klasma.github.io/Logging_2284/klagomål/A 21356-2025 FSC-klagomål.docx", "A 21356-2025")</f>
        <v/>
      </c>
      <c r="AB162">
        <f>HYPERLINK("https://klasma.github.io/Logging_2284/klagomålsmail/A 21356-2025 FSC-klagomål mail.docx", "A 21356-2025")</f>
        <v/>
      </c>
      <c r="AC162">
        <f>HYPERLINK("https://klasma.github.io/Logging_2284/tillsyn/A 21356-2025 tillsynsbegäran.docx", "A 21356-2025")</f>
        <v/>
      </c>
      <c r="AD162">
        <f>HYPERLINK("https://klasma.github.io/Logging_2284/tillsynsmail/A 21356-2025 tillsynsbegäran mail.docx", "A 21356-2025")</f>
        <v/>
      </c>
    </row>
    <row r="163" ht="15" customHeight="1">
      <c r="A163" t="inlineStr">
        <is>
          <t>A 32101-2026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46234</v>
      </c>
      <c r="E163" s="1" t="n">
        <v>46321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Dropptaggsvamp</t>
        </is>
      </c>
      <c r="W163">
        <f>HYPERLINK("https://klasma.github.io/Logging_2284/artfynd/A 32101-2026 artfynd.xlsx", "A 32101-2026")</f>
        <v/>
      </c>
      <c r="X163">
        <f>HYPERLINK("https://klasma.github.io/Logging_2284/kartor/A 32101-2026 karta.png", "A 32101-2026")</f>
        <v/>
      </c>
      <c r="Y163">
        <f>HYPERLINK("https://klasma.github.io/Logging_2284/kartor_geotiff/A 32101-2026 georefererad karta.tif", "A 32101-2026")</f>
        <v/>
      </c>
      <c r="AA163">
        <f>HYPERLINK("https://klasma.github.io/Logging_2284/klagomål/A 32101-2026 FSC-klagomål.docx", "A 32101-2026")</f>
        <v/>
      </c>
      <c r="AB163">
        <f>HYPERLINK("https://klasma.github.io/Logging_2284/klagomålsmail/A 32101-2026 FSC-klagomål mail.docx", "A 32101-2026")</f>
        <v/>
      </c>
      <c r="AC163">
        <f>HYPERLINK("https://klasma.github.io/Logging_2284/tillsyn/A 32101-2026 tillsynsbegäran.docx", "A 32101-2026")</f>
        <v/>
      </c>
      <c r="AD163">
        <f>HYPERLINK("https://klasma.github.io/Logging_2284/tillsynsmail/A 32101-2026 tillsynsbegäran mail.docx", "A 32101-2026")</f>
        <v/>
      </c>
    </row>
    <row r="164" ht="15" customHeight="1">
      <c r="A164" t="inlineStr">
        <is>
          <t>A 38147-2026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46281</v>
      </c>
      <c r="E164" s="1" t="n">
        <v>46321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10.9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Dvärgbägarlav</t>
        </is>
      </c>
      <c r="W164">
        <f>HYPERLINK("https://klasma.github.io/Logging_2284/artfynd/A 38147-2026 artfynd.xlsx", "A 38147-2026")</f>
        <v/>
      </c>
      <c r="X164">
        <f>HYPERLINK("https://klasma.github.io/Logging_2284/kartor/A 38147-2026 karta.png", "A 38147-2026")</f>
        <v/>
      </c>
      <c r="Y164">
        <f>HYPERLINK("https://klasma.github.io/Logging_2284/kartor_geotiff/A 38147-2026 georefererad karta.tif", "A 38147-2026")</f>
        <v/>
      </c>
      <c r="AA164">
        <f>HYPERLINK("https://klasma.github.io/Logging_2284/klagomål/A 38147-2026 FSC-klagomål.docx", "A 38147-2026")</f>
        <v/>
      </c>
      <c r="AB164">
        <f>HYPERLINK("https://klasma.github.io/Logging_2284/klagomålsmail/A 38147-2026 FSC-klagomål mail.docx", "A 38147-2026")</f>
        <v/>
      </c>
      <c r="AC164">
        <f>HYPERLINK("https://klasma.github.io/Logging_2284/tillsyn/A 38147-2026 tillsynsbegäran.docx", "A 38147-2026")</f>
        <v/>
      </c>
      <c r="AD164">
        <f>HYPERLINK("https://klasma.github.io/Logging_2284/tillsynsmail/A 38147-2026 tillsynsbegäran mail.docx", "A 38147-2026")</f>
        <v/>
      </c>
    </row>
    <row r="165" ht="15" customHeight="1">
      <c r="A165" t="inlineStr">
        <is>
          <t>A 33336-2026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46321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HYPERLINK("https://klasma.github.io/Logging_2284/artfynd/A 33336-2026 artfynd.xlsx", "A 33336-2026")</f>
        <v/>
      </c>
      <c r="X165">
        <f>HYPERLINK("https://klasma.github.io/Logging_2284/kartor/A 33336-2026 karta.png", "A 33336-2026")</f>
        <v/>
      </c>
      <c r="Y165">
        <f>HYPERLINK("https://klasma.github.io/Logging_2284/kartor_geotiff/A 33336-2026 georefererad karta.tif", "A 33336-2026")</f>
        <v/>
      </c>
      <c r="AA165">
        <f>HYPERLINK("https://klasma.github.io/Logging_2284/klagomål/A 33336-2026 FSC-klagomål.docx", "A 33336-2026")</f>
        <v/>
      </c>
      <c r="AB165">
        <f>HYPERLINK("https://klasma.github.io/Logging_2284/klagomålsmail/A 33336-2026 FSC-klagomål mail.docx", "A 33336-2026")</f>
        <v/>
      </c>
      <c r="AC165">
        <f>HYPERLINK("https://klasma.github.io/Logging_2284/tillsyn/A 33336-2026 tillsynsbegäran.docx", "A 33336-2026")</f>
        <v/>
      </c>
      <c r="AD165">
        <f>HYPERLINK("https://klasma.github.io/Logging_2284/tillsynsmail/A 33336-2026 tillsynsbegäran mail.docx", "A 33336-2026")</f>
        <v/>
      </c>
    </row>
    <row r="166" ht="15" customHeight="1">
      <c r="A166" t="inlineStr">
        <is>
          <t>A 33212-2026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46246</v>
      </c>
      <c r="E166" s="1" t="n">
        <v>46321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7.2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Kolflarnlav</t>
        </is>
      </c>
      <c r="W166">
        <f>HYPERLINK("https://klasma.github.io/Logging_2284/artfynd/A 33212-2026 artfynd.xlsx", "A 33212-2026")</f>
        <v/>
      </c>
      <c r="X166">
        <f>HYPERLINK("https://klasma.github.io/Logging_2284/kartor/A 33212-2026 karta.png", "A 33212-2026")</f>
        <v/>
      </c>
      <c r="Y166">
        <f>HYPERLINK("https://klasma.github.io/Logging_2284/kartor_geotiff/A 33212-2026 georefererad karta.tif", "A 33212-2026")</f>
        <v/>
      </c>
      <c r="AA166">
        <f>HYPERLINK("https://klasma.github.io/Logging_2284/klagomål/A 33212-2026 FSC-klagomål.docx", "A 33212-2026")</f>
        <v/>
      </c>
      <c r="AB166">
        <f>HYPERLINK("https://klasma.github.io/Logging_2284/klagomålsmail/A 33212-2026 FSC-klagomål mail.docx", "A 33212-2026")</f>
        <v/>
      </c>
      <c r="AC166">
        <f>HYPERLINK("https://klasma.github.io/Logging_2284/tillsyn/A 33212-2026 tillsynsbegäran.docx", "A 33212-2026")</f>
        <v/>
      </c>
      <c r="AD166">
        <f>HYPERLINK("https://klasma.github.io/Logging_2284/tillsynsmail/A 33212-2026 tillsynsbegäran mail.docx", "A 33212-2026")</f>
        <v/>
      </c>
    </row>
    <row r="167" ht="15" customHeight="1">
      <c r="A167" t="inlineStr">
        <is>
          <t>A 26400-2025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45807</v>
      </c>
      <c r="E167" s="1" t="n">
        <v>46321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HYPERLINK("https://klasma.github.io/Logging_2284/artfynd/A 26400-2025 artfynd.xlsx", "A 26400-2025")</f>
        <v/>
      </c>
      <c r="X167">
        <f>HYPERLINK("https://klasma.github.io/Logging_2284/kartor/A 26400-2025 karta.png", "A 26400-2025")</f>
        <v/>
      </c>
      <c r="Y167">
        <f>HYPERLINK("https://klasma.github.io/Logging_2284/kartor_geotiff/A 26400-2025 georefererad karta.tif", "A 26400-2025")</f>
        <v/>
      </c>
      <c r="AA167">
        <f>HYPERLINK("https://klasma.github.io/Logging_2284/klagomål/A 26400-2025 FSC-klagomål.docx", "A 26400-2025")</f>
        <v/>
      </c>
      <c r="AB167">
        <f>HYPERLINK("https://klasma.github.io/Logging_2284/klagomålsmail/A 26400-2025 FSC-klagomål mail.docx", "A 26400-2025")</f>
        <v/>
      </c>
      <c r="AC167">
        <f>HYPERLINK("https://klasma.github.io/Logging_2284/tillsyn/A 26400-2025 tillsynsbegäran.docx", "A 26400-2025")</f>
        <v/>
      </c>
      <c r="AD167">
        <f>HYPERLINK("https://klasma.github.io/Logging_2284/tillsynsmail/A 26400-2025 tillsynsbegäran mail.docx", "A 26400-2025")</f>
        <v/>
      </c>
    </row>
    <row r="168" ht="15" customHeight="1">
      <c r="A168" t="inlineStr">
        <is>
          <t>A 6419-2024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45338</v>
      </c>
      <c r="E168" s="1" t="n">
        <v>46321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HYPERLINK("https://klasma.github.io/Logging_2284/artfynd/A 6419-2024 artfynd.xlsx", "A 6419-2024")</f>
        <v/>
      </c>
      <c r="X168">
        <f>HYPERLINK("https://klasma.github.io/Logging_2284/kartor/A 6419-2024 karta.png", "A 6419-2024")</f>
        <v/>
      </c>
      <c r="Y168">
        <f>HYPERLINK("https://klasma.github.io/Logging_2284/kartor_geotiff/A 6419-2024 georefererad karta.tif", "A 6419-2024")</f>
        <v/>
      </c>
      <c r="Z168">
        <f>HYPERLINK("https://klasma.github.io/Logging_2284/knärot/A 6419-2024 karta knärot.png", "A 6419-2024")</f>
        <v/>
      </c>
      <c r="AA168">
        <f>HYPERLINK("https://klasma.github.io/Logging_2284/klagomål/A 6419-2024 FSC-klagomål.docx", "A 6419-2024")</f>
        <v/>
      </c>
      <c r="AB168">
        <f>HYPERLINK("https://klasma.github.io/Logging_2284/klagomålsmail/A 6419-2024 FSC-klagomål mail.docx", "A 6419-2024")</f>
        <v/>
      </c>
      <c r="AC168">
        <f>HYPERLINK("https://klasma.github.io/Logging_2284/tillsyn/A 6419-2024 tillsynsbegäran.docx", "A 6419-2024")</f>
        <v/>
      </c>
      <c r="AD168">
        <f>HYPERLINK("https://klasma.github.io/Logging_2284/tillsynsmail/A 6419-2024 tillsynsbegäran mail.docx", "A 6419-2024")</f>
        <v/>
      </c>
    </row>
    <row r="169" ht="15" customHeight="1">
      <c r="A169" t="inlineStr">
        <is>
          <t>A 18470-2025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45762</v>
      </c>
      <c r="E169" s="1" t="n">
        <v>46321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5.7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Nötkråka</t>
        </is>
      </c>
      <c r="W169">
        <f>HYPERLINK("https://klasma.github.io/Logging_2284/artfynd/A 18470-2025 artfynd.xlsx", "A 18470-2025")</f>
        <v/>
      </c>
      <c r="X169">
        <f>HYPERLINK("https://klasma.github.io/Logging_2284/kartor/A 18470-2025 karta.png", "A 18470-2025")</f>
        <v/>
      </c>
      <c r="Y169">
        <f>HYPERLINK("https://klasma.github.io/Logging_2284/kartor_geotiff/A 18470-2025 georefererad karta.tif", "A 18470-2025")</f>
        <v/>
      </c>
      <c r="AA169">
        <f>HYPERLINK("https://klasma.github.io/Logging_2284/klagomål/A 18470-2025 FSC-klagomål.docx", "A 18470-2025")</f>
        <v/>
      </c>
      <c r="AB169">
        <f>HYPERLINK("https://klasma.github.io/Logging_2284/klagomålsmail/A 18470-2025 FSC-klagomål mail.docx", "A 18470-2025")</f>
        <v/>
      </c>
      <c r="AC169">
        <f>HYPERLINK("https://klasma.github.io/Logging_2284/tillsyn/A 18470-2025 tillsynsbegäran.docx", "A 18470-2025")</f>
        <v/>
      </c>
      <c r="AD169">
        <f>HYPERLINK("https://klasma.github.io/Logging_2284/tillsynsmail/A 18470-2025 tillsynsbegäran mail.docx", "A 18470-2025")</f>
        <v/>
      </c>
      <c r="AE169">
        <f>HYPERLINK("https://klasma.github.io/Logging_2284/fåglar/A 18470-2025 prioriterade fågelarter.docx", "A 18470-2025")</f>
        <v/>
      </c>
    </row>
    <row r="170" ht="15" customHeight="1">
      <c r="A170" t="inlineStr">
        <is>
          <t>A 40721-2026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46296</v>
      </c>
      <c r="E170" s="1" t="n">
        <v>46321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Trådticka</t>
        </is>
      </c>
      <c r="W170">
        <f>HYPERLINK("https://klasma.github.io/Logging_2284/artfynd/A 40721-2026 artfynd.xlsx", "A 40721-2026")</f>
        <v/>
      </c>
      <c r="X170">
        <f>HYPERLINK("https://klasma.github.io/Logging_2284/kartor/A 40721-2026 karta.png", "A 40721-2026")</f>
        <v/>
      </c>
      <c r="Y170">
        <f>HYPERLINK("https://klasma.github.io/Logging_2284/kartor_geotiff/A 40721-2026 georefererad karta.tif", "A 40721-2026")</f>
        <v/>
      </c>
      <c r="AA170">
        <f>HYPERLINK("https://klasma.github.io/Logging_2284/klagomål/A 40721-2026 FSC-klagomål.docx", "A 40721-2026")</f>
        <v/>
      </c>
      <c r="AB170">
        <f>HYPERLINK("https://klasma.github.io/Logging_2284/klagomålsmail/A 40721-2026 FSC-klagomål mail.docx", "A 40721-2026")</f>
        <v/>
      </c>
      <c r="AC170">
        <f>HYPERLINK("https://klasma.github.io/Logging_2284/tillsyn/A 40721-2026 tillsynsbegäran.docx", "A 40721-2026")</f>
        <v/>
      </c>
      <c r="AD170">
        <f>HYPERLINK("https://klasma.github.io/Logging_2284/tillsynsmail/A 40721-2026 tillsynsbegäran mail.docx", "A 40721-2026")</f>
        <v/>
      </c>
    </row>
    <row r="171" ht="15" customHeight="1">
      <c r="A171" t="inlineStr">
        <is>
          <t>A 33890-2026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46251</v>
      </c>
      <c r="E171" s="1" t="n">
        <v>46321</v>
      </c>
      <c r="F171" t="inlineStr">
        <is>
          <t>VÄSTERNORRLANDS LÄN</t>
        </is>
      </c>
      <c r="G171" t="inlineStr">
        <is>
          <t>ÖRNSKÖLDSVIK</t>
        </is>
      </c>
      <c r="I171" t="n">
        <v>0.9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Tibast</t>
        </is>
      </c>
      <c r="W171">
        <f>HYPERLINK("https://klasma.github.io/Logging_2284/artfynd/A 33890-2026 artfynd.xlsx", "A 33890-2026")</f>
        <v/>
      </c>
      <c r="X171">
        <f>HYPERLINK("https://klasma.github.io/Logging_2284/kartor/A 33890-2026 karta.png", "A 33890-2026")</f>
        <v/>
      </c>
      <c r="Y171">
        <f>HYPERLINK("https://klasma.github.io/Logging_2284/kartor_geotiff/A 33890-2026 georefererad karta.tif", "A 33890-2026")</f>
        <v/>
      </c>
      <c r="AA171">
        <f>HYPERLINK("https://klasma.github.io/Logging_2284/klagomål/A 33890-2026 FSC-klagomål.docx", "A 33890-2026")</f>
        <v/>
      </c>
      <c r="AB171">
        <f>HYPERLINK("https://klasma.github.io/Logging_2284/klagomålsmail/A 33890-2026 FSC-klagomål mail.docx", "A 33890-2026")</f>
        <v/>
      </c>
      <c r="AC171">
        <f>HYPERLINK("https://klasma.github.io/Logging_2284/tillsyn/A 33890-2026 tillsynsbegäran.docx", "A 33890-2026")</f>
        <v/>
      </c>
      <c r="AD171">
        <f>HYPERLINK("https://klasma.github.io/Logging_2284/tillsynsmail/A 33890-2026 tillsynsbegäran mail.docx", "A 33890-2026")</f>
        <v/>
      </c>
    </row>
    <row r="172" ht="15" customHeight="1">
      <c r="A172" t="inlineStr">
        <is>
          <t>A 41758-2026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46302</v>
      </c>
      <c r="E172" s="1" t="n">
        <v>46321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3.2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HYPERLINK("https://klasma.github.io/Logging_2284/artfynd/A 41758-2026 artfynd.xlsx", "A 41758-2026")</f>
        <v/>
      </c>
      <c r="X172">
        <f>HYPERLINK("https://klasma.github.io/Logging_2284/kartor/A 41758-2026 karta.png", "A 41758-2026")</f>
        <v/>
      </c>
      <c r="Y172">
        <f>HYPERLINK("https://klasma.github.io/Logging_2284/kartor_geotiff/A 41758-2026 georefererad karta.tif", "A 41758-2026")</f>
        <v/>
      </c>
      <c r="AA172">
        <f>HYPERLINK("https://klasma.github.io/Logging_2284/klagomål/A 41758-2026 FSC-klagomål.docx", "A 41758-2026")</f>
        <v/>
      </c>
      <c r="AB172">
        <f>HYPERLINK("https://klasma.github.io/Logging_2284/klagomålsmail/A 41758-2026 FSC-klagomål mail.docx", "A 41758-2026")</f>
        <v/>
      </c>
      <c r="AC172">
        <f>HYPERLINK("https://klasma.github.io/Logging_2284/tillsyn/A 41758-2026 tillsynsbegäran.docx", "A 41758-2026")</f>
        <v/>
      </c>
      <c r="AD172">
        <f>HYPERLINK("https://klasma.github.io/Logging_2284/tillsynsmail/A 41758-2026 tillsynsbegäran mail.docx", "A 41758-2026")</f>
        <v/>
      </c>
    </row>
    <row r="173" ht="15" customHeight="1">
      <c r="A173" t="inlineStr">
        <is>
          <t>A 16225-2026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46321</v>
      </c>
      <c r="F173" t="inlineStr">
        <is>
          <t>VÄSTERNORRLANDS LÄN</t>
        </is>
      </c>
      <c r="G173" t="inlineStr">
        <is>
          <t>ÖRNSKÖLDSVIK</t>
        </is>
      </c>
      <c r="I173" t="n">
        <v>2.9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16225-2026 artfynd.xlsx", "A 16225-2026")</f>
        <v/>
      </c>
      <c r="X173">
        <f>HYPERLINK("https://klasma.github.io/Logging_2284/kartor/A 16225-2026 karta.png", "A 16225-2026")</f>
        <v/>
      </c>
      <c r="Y173">
        <f>HYPERLINK("https://klasma.github.io/Logging_2284/kartor_geotiff/A 16225-2026 georefererad karta.tif", "A 16225-2026")</f>
        <v/>
      </c>
      <c r="AA173">
        <f>HYPERLINK("https://klasma.github.io/Logging_2284/klagomål/A 16225-2026 FSC-klagomål.docx", "A 16225-2026")</f>
        <v/>
      </c>
      <c r="AB173">
        <f>HYPERLINK("https://klasma.github.io/Logging_2284/klagomålsmail/A 16225-2026 FSC-klagomål mail.docx", "A 16225-2026")</f>
        <v/>
      </c>
      <c r="AC173">
        <f>HYPERLINK("https://klasma.github.io/Logging_2284/tillsyn/A 16225-2026 tillsynsbegäran.docx", "A 16225-2026")</f>
        <v/>
      </c>
      <c r="AD173">
        <f>HYPERLINK("https://klasma.github.io/Logging_2284/tillsynsmail/A 16225-2026 tillsynsbegäran mail.docx", "A 16225-2026")</f>
        <v/>
      </c>
    </row>
    <row r="174" ht="15" customHeight="1">
      <c r="A174" t="inlineStr">
        <is>
          <t>A 42055-2026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46304</v>
      </c>
      <c r="E174" s="1" t="n">
        <v>46321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2.8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Stuplav</t>
        </is>
      </c>
      <c r="W174">
        <f>HYPERLINK("https://klasma.github.io/Logging_2284/artfynd/A 42055-2026 artfynd.xlsx", "A 42055-2026")</f>
        <v/>
      </c>
      <c r="X174">
        <f>HYPERLINK("https://klasma.github.io/Logging_2284/kartor/A 42055-2026 karta.png", "A 42055-2026")</f>
        <v/>
      </c>
      <c r="Y174">
        <f>HYPERLINK("https://klasma.github.io/Logging_2284/kartor_geotiff/A 42055-2026 georefererad karta.tif", "A 42055-2026")</f>
        <v/>
      </c>
      <c r="AA174">
        <f>HYPERLINK("https://klasma.github.io/Logging_2284/klagomål/A 42055-2026 FSC-klagomål.docx", "A 42055-2026")</f>
        <v/>
      </c>
      <c r="AB174">
        <f>HYPERLINK("https://klasma.github.io/Logging_2284/klagomålsmail/A 42055-2026 FSC-klagomål mail.docx", "A 42055-2026")</f>
        <v/>
      </c>
      <c r="AC174">
        <f>HYPERLINK("https://klasma.github.io/Logging_2284/tillsyn/A 42055-2026 tillsynsbegäran.docx", "A 42055-2026")</f>
        <v/>
      </c>
      <c r="AD174">
        <f>HYPERLINK("https://klasma.github.io/Logging_2284/tillsynsmail/A 42055-2026 tillsynsbegäran mail.docx", "A 42055-2026")</f>
        <v/>
      </c>
    </row>
    <row r="175" ht="15" customHeight="1">
      <c r="A175" t="inlineStr">
        <is>
          <t>A 19636-2026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46134</v>
      </c>
      <c r="E175" s="1" t="n">
        <v>46321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9.9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19636-2026 artfynd.xlsx", "A 19636-2026")</f>
        <v/>
      </c>
      <c r="X175">
        <f>HYPERLINK("https://klasma.github.io/Logging_2284/kartor/A 19636-2026 karta.png", "A 19636-2026")</f>
        <v/>
      </c>
      <c r="Y175">
        <f>HYPERLINK("https://klasma.github.io/Logging_2284/kartor_geotiff/A 19636-2026 georefererad karta.tif", "A 19636-2026")</f>
        <v/>
      </c>
      <c r="AA175">
        <f>HYPERLINK("https://klasma.github.io/Logging_2284/klagomål/A 19636-2026 FSC-klagomål.docx", "A 19636-2026")</f>
        <v/>
      </c>
      <c r="AB175">
        <f>HYPERLINK("https://klasma.github.io/Logging_2284/klagomålsmail/A 19636-2026 FSC-klagomål mail.docx", "A 19636-2026")</f>
        <v/>
      </c>
      <c r="AC175">
        <f>HYPERLINK("https://klasma.github.io/Logging_2284/tillsyn/A 19636-2026 tillsynsbegäran.docx", "A 19636-2026")</f>
        <v/>
      </c>
      <c r="AD175">
        <f>HYPERLINK("https://klasma.github.io/Logging_2284/tillsynsmail/A 19636-2026 tillsynsbegäran mail.docx", "A 19636-2026")</f>
        <v/>
      </c>
    </row>
    <row r="176" ht="15" customHeight="1">
      <c r="A176" t="inlineStr">
        <is>
          <t>A 35747-2026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46265</v>
      </c>
      <c r="E176" s="1" t="n">
        <v>46321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5.4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Ögonpyrola</t>
        </is>
      </c>
      <c r="W176">
        <f>HYPERLINK("https://klasma.github.io/Logging_2284/artfynd/A 35747-2026 artfynd.xlsx", "A 35747-2026")</f>
        <v/>
      </c>
      <c r="X176">
        <f>HYPERLINK("https://klasma.github.io/Logging_2284/kartor/A 35747-2026 karta.png", "A 35747-2026")</f>
        <v/>
      </c>
      <c r="Y176">
        <f>HYPERLINK("https://klasma.github.io/Logging_2284/kartor_geotiff/A 35747-2026 georefererad karta.tif", "A 35747-2026")</f>
        <v/>
      </c>
      <c r="AA176">
        <f>HYPERLINK("https://klasma.github.io/Logging_2284/klagomål/A 35747-2026 FSC-klagomål.docx", "A 35747-2026")</f>
        <v/>
      </c>
      <c r="AB176">
        <f>HYPERLINK("https://klasma.github.io/Logging_2284/klagomålsmail/A 35747-2026 FSC-klagomål mail.docx", "A 35747-2026")</f>
        <v/>
      </c>
      <c r="AC176">
        <f>HYPERLINK("https://klasma.github.io/Logging_2284/tillsyn/A 35747-2026 tillsynsbegäran.docx", "A 35747-2026")</f>
        <v/>
      </c>
      <c r="AD176">
        <f>HYPERLINK("https://klasma.github.io/Logging_2284/tillsynsmail/A 35747-2026 tillsynsbegäran mail.docx", "A 35747-2026")</f>
        <v/>
      </c>
    </row>
    <row r="177" ht="15" customHeight="1">
      <c r="A177" t="inlineStr">
        <is>
          <t>A 12979-2023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45002</v>
      </c>
      <c r="E177" s="1" t="n">
        <v>46321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Tjäder</t>
        </is>
      </c>
      <c r="W177">
        <f>HYPERLINK("https://klasma.github.io/Logging_2284/artfynd/A 12979-2023 artfynd.xlsx", "A 12979-2023")</f>
        <v/>
      </c>
      <c r="X177">
        <f>HYPERLINK("https://klasma.github.io/Logging_2284/kartor/A 12979-2023 karta.png", "A 12979-2023")</f>
        <v/>
      </c>
      <c r="Y177">
        <f>HYPERLINK("https://klasma.github.io/Logging_2284/kartor_geotiff/A 12979-2023 georefererad karta.tif", "A 12979-2023")</f>
        <v/>
      </c>
      <c r="AA177">
        <f>HYPERLINK("https://klasma.github.io/Logging_2284/klagomål/A 12979-2023 FSC-klagomål.docx", "A 12979-2023")</f>
        <v/>
      </c>
      <c r="AB177">
        <f>HYPERLINK("https://klasma.github.io/Logging_2284/klagomålsmail/A 12979-2023 FSC-klagomål mail.docx", "A 12979-2023")</f>
        <v/>
      </c>
      <c r="AC177">
        <f>HYPERLINK("https://klasma.github.io/Logging_2284/tillsyn/A 12979-2023 tillsynsbegäran.docx", "A 12979-2023")</f>
        <v/>
      </c>
      <c r="AD177">
        <f>HYPERLINK("https://klasma.github.io/Logging_2284/tillsynsmail/A 12979-2023 tillsynsbegäran mail.docx", "A 12979-2023")</f>
        <v/>
      </c>
      <c r="AE177">
        <f>HYPERLINK("https://klasma.github.io/Logging_2284/fåglar/A 12979-2023 prioriterade fågelarter.docx", "A 12979-2023")</f>
        <v/>
      </c>
    </row>
    <row r="178" ht="15" customHeight="1">
      <c r="A178" t="inlineStr">
        <is>
          <t>A 35957-2026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46321</v>
      </c>
      <c r="F178" t="inlineStr">
        <is>
          <t>VÄSTERNORRLANDS LÄN</t>
        </is>
      </c>
      <c r="G178" t="inlineStr">
        <is>
          <t>ÖRNSKÖLDSVIK</t>
        </is>
      </c>
      <c r="I178" t="n">
        <v>0.8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Rödvingetrast</t>
        </is>
      </c>
      <c r="W178">
        <f>HYPERLINK("https://klasma.github.io/Logging_2284/artfynd/A 35957-2026 artfynd.xlsx", "A 35957-2026")</f>
        <v/>
      </c>
      <c r="X178">
        <f>HYPERLINK("https://klasma.github.io/Logging_2284/kartor/A 35957-2026 karta.png", "A 35957-2026")</f>
        <v/>
      </c>
      <c r="Y178">
        <f>HYPERLINK("https://klasma.github.io/Logging_2284/kartor_geotiff/A 35957-2026 georefererad karta.tif", "A 35957-2026")</f>
        <v/>
      </c>
      <c r="AA178">
        <f>HYPERLINK("https://klasma.github.io/Logging_2284/klagomål/A 35957-2026 FSC-klagomål.docx", "A 35957-2026")</f>
        <v/>
      </c>
      <c r="AB178">
        <f>HYPERLINK("https://klasma.github.io/Logging_2284/klagomålsmail/A 35957-2026 FSC-klagomål mail.docx", "A 35957-2026")</f>
        <v/>
      </c>
      <c r="AC178">
        <f>HYPERLINK("https://klasma.github.io/Logging_2284/tillsyn/A 35957-2026 tillsynsbegäran.docx", "A 35957-2026")</f>
        <v/>
      </c>
      <c r="AD178">
        <f>HYPERLINK("https://klasma.github.io/Logging_2284/tillsynsmail/A 35957-2026 tillsynsbegäran mail.docx", "A 35957-2026")</f>
        <v/>
      </c>
      <c r="AE178">
        <f>HYPERLINK("https://klasma.github.io/Logging_2284/fåglar/A 35957-2026 prioriterade fågelarter.docx", "A 35957-2026")</f>
        <v/>
      </c>
    </row>
    <row r="179" ht="15" customHeight="1">
      <c r="A179" t="inlineStr">
        <is>
          <t>A 6651-2025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46321</v>
      </c>
      <c r="F179" t="inlineStr">
        <is>
          <t>VÄSTERNORRLANDS LÄN</t>
        </is>
      </c>
      <c r="G179" t="inlineStr">
        <is>
          <t>ÖRNSKÖLDSVIK</t>
        </is>
      </c>
      <c r="I179" t="n">
        <v>4.5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6651-2025 artfynd.xlsx", "A 6651-2025")</f>
        <v/>
      </c>
      <c r="X179">
        <f>HYPERLINK("https://klasma.github.io/Logging_2284/kartor/A 6651-2025 karta.png", "A 6651-2025")</f>
        <v/>
      </c>
      <c r="Y179">
        <f>HYPERLINK("https://klasma.github.io/Logging_2284/kartor_geotiff/A 6651-2025 georefererad karta.tif", "A 6651-2025")</f>
        <v/>
      </c>
      <c r="AA179">
        <f>HYPERLINK("https://klasma.github.io/Logging_2284/klagomål/A 6651-2025 FSC-klagomål.docx", "A 6651-2025")</f>
        <v/>
      </c>
      <c r="AB179">
        <f>HYPERLINK("https://klasma.github.io/Logging_2284/klagomålsmail/A 6651-2025 FSC-klagomål mail.docx", "A 6651-2025")</f>
        <v/>
      </c>
      <c r="AC179">
        <f>HYPERLINK("https://klasma.github.io/Logging_2284/tillsyn/A 6651-2025 tillsynsbegäran.docx", "A 6651-2025")</f>
        <v/>
      </c>
      <c r="AD179">
        <f>HYPERLINK("https://klasma.github.io/Logging_2284/tillsynsmail/A 6651-2025 tillsynsbegäran mail.docx", "A 6651-2025")</f>
        <v/>
      </c>
    </row>
    <row r="180" ht="15" customHeight="1">
      <c r="A180" t="inlineStr">
        <is>
          <t>A 37133-2026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46274</v>
      </c>
      <c r="E180" s="1" t="n">
        <v>46321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HYPERLINK("https://klasma.github.io/Logging_2284/artfynd/A 37133-2026 artfynd.xlsx", "A 37133-2026")</f>
        <v/>
      </c>
      <c r="X180">
        <f>HYPERLINK("https://klasma.github.io/Logging_2284/kartor/A 37133-2026 karta.png", "A 37133-2026")</f>
        <v/>
      </c>
      <c r="Y180">
        <f>HYPERLINK("https://klasma.github.io/Logging_2284/kartor_geotiff/A 37133-2026 georefererad karta.tif", "A 37133-2026")</f>
        <v/>
      </c>
      <c r="AA180">
        <f>HYPERLINK("https://klasma.github.io/Logging_2284/klagomål/A 37133-2026 FSC-klagomål.docx", "A 37133-2026")</f>
        <v/>
      </c>
      <c r="AB180">
        <f>HYPERLINK("https://klasma.github.io/Logging_2284/klagomålsmail/A 37133-2026 FSC-klagomål mail.docx", "A 37133-2026")</f>
        <v/>
      </c>
      <c r="AC180">
        <f>HYPERLINK("https://klasma.github.io/Logging_2284/tillsyn/A 37133-2026 tillsynsbegäran.docx", "A 37133-2026")</f>
        <v/>
      </c>
      <c r="AD180">
        <f>HYPERLINK("https://klasma.github.io/Logging_2284/tillsynsmail/A 37133-2026 tillsynsbegäran mail.docx", "A 37133-2026")</f>
        <v/>
      </c>
    </row>
    <row r="181" ht="15" customHeight="1">
      <c r="A181" t="inlineStr">
        <is>
          <t>A 28226-2025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45818</v>
      </c>
      <c r="E181" s="1" t="n">
        <v>46321</v>
      </c>
      <c r="F181" t="inlineStr">
        <is>
          <t>VÄSTERNORRLANDS LÄN</t>
        </is>
      </c>
      <c r="G181" t="inlineStr">
        <is>
          <t>ÖRNSKÖLDSVIK</t>
        </is>
      </c>
      <c r="I181" t="n">
        <v>30.6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Vitfläckig guldvinge</t>
        </is>
      </c>
      <c r="W181">
        <f>HYPERLINK("https://klasma.github.io/Logging_2284/artfynd/A 28226-2025 artfynd.xlsx", "A 28226-2025")</f>
        <v/>
      </c>
      <c r="X181">
        <f>HYPERLINK("https://klasma.github.io/Logging_2284/kartor/A 28226-2025 karta.png", "A 28226-2025")</f>
        <v/>
      </c>
      <c r="Y181">
        <f>HYPERLINK("https://klasma.github.io/Logging_2284/kartor_geotiff/A 28226-2025 georefererad karta.tif", "A 28226-2025")</f>
        <v/>
      </c>
      <c r="AA181">
        <f>HYPERLINK("https://klasma.github.io/Logging_2284/klagomål/A 28226-2025 FSC-klagomål.docx", "A 28226-2025")</f>
        <v/>
      </c>
      <c r="AB181">
        <f>HYPERLINK("https://klasma.github.io/Logging_2284/klagomålsmail/A 28226-2025 FSC-klagomål mail.docx", "A 28226-2025")</f>
        <v/>
      </c>
      <c r="AC181">
        <f>HYPERLINK("https://klasma.github.io/Logging_2284/tillsyn/A 28226-2025 tillsynsbegäran.docx", "A 28226-2025")</f>
        <v/>
      </c>
      <c r="AD181">
        <f>HYPERLINK("https://klasma.github.io/Logging_2284/tillsynsmail/A 28226-2025 tillsynsbegäran mail.docx", "A 28226-2025")</f>
        <v/>
      </c>
    </row>
    <row r="182" ht="15" customHeight="1">
      <c r="A182" t="inlineStr">
        <is>
          <t>A 7412-2026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46321</v>
      </c>
      <c r="F182" t="inlineStr">
        <is>
          <t>VÄSTERNORRLANDS LÄN</t>
        </is>
      </c>
      <c r="G182" t="inlineStr">
        <is>
          <t>ÖRNSKÖLDSVIK</t>
        </is>
      </c>
      <c r="I182" t="n">
        <v>3.9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Vanlig padda</t>
        </is>
      </c>
      <c r="W182">
        <f>HYPERLINK("https://klasma.github.io/Logging_2284/artfynd/A 7412-2026 artfynd.xlsx", "A 7412-2026")</f>
        <v/>
      </c>
      <c r="X182">
        <f>HYPERLINK("https://klasma.github.io/Logging_2284/kartor/A 7412-2026 karta.png", "A 7412-2026")</f>
        <v/>
      </c>
      <c r="Y182">
        <f>HYPERLINK("https://klasma.github.io/Logging_2284/kartor_geotiff/A 7412-2026 georefererad karta.tif", "A 7412-2026")</f>
        <v/>
      </c>
      <c r="AA182">
        <f>HYPERLINK("https://klasma.github.io/Logging_2284/klagomål/A 7412-2026 FSC-klagomål.docx", "A 7412-2026")</f>
        <v/>
      </c>
      <c r="AB182">
        <f>HYPERLINK("https://klasma.github.io/Logging_2284/klagomålsmail/A 7412-2026 FSC-klagomål mail.docx", "A 7412-2026")</f>
        <v/>
      </c>
      <c r="AC182">
        <f>HYPERLINK("https://klasma.github.io/Logging_2284/tillsyn/A 7412-2026 tillsynsbegäran.docx", "A 7412-2026")</f>
        <v/>
      </c>
      <c r="AD182">
        <f>HYPERLINK("https://klasma.github.io/Logging_2284/tillsynsmail/A 7412-2026 tillsynsbegäran mail.docx", "A 7412-2026")</f>
        <v/>
      </c>
    </row>
    <row r="183" ht="15" customHeight="1">
      <c r="A183" t="inlineStr">
        <is>
          <t>A 16877-2024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45411</v>
      </c>
      <c r="E183" s="1" t="n">
        <v>46321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Garnlav</t>
        </is>
      </c>
      <c r="W183">
        <f>HYPERLINK("https://klasma.github.io/Logging_2284/artfynd/A 16877-2024 artfynd.xlsx", "A 16877-2024")</f>
        <v/>
      </c>
      <c r="X183">
        <f>HYPERLINK("https://klasma.github.io/Logging_2284/kartor/A 16877-2024 karta.png", "A 16877-2024")</f>
        <v/>
      </c>
      <c r="Y183">
        <f>HYPERLINK("https://klasma.github.io/Logging_2284/kartor_geotiff/A 16877-2024 georefererad karta.tif", "A 16877-2024")</f>
        <v/>
      </c>
      <c r="AA183">
        <f>HYPERLINK("https://klasma.github.io/Logging_2284/klagomål/A 16877-2024 FSC-klagomål.docx", "A 16877-2024")</f>
        <v/>
      </c>
      <c r="AB183">
        <f>HYPERLINK("https://klasma.github.io/Logging_2284/klagomålsmail/A 16877-2024 FSC-klagomål mail.docx", "A 16877-2024")</f>
        <v/>
      </c>
      <c r="AC183">
        <f>HYPERLINK("https://klasma.github.io/Logging_2284/tillsyn/A 16877-2024 tillsynsbegäran.docx", "A 16877-2024")</f>
        <v/>
      </c>
      <c r="AD183">
        <f>HYPERLINK("https://klasma.github.io/Logging_2284/tillsynsmail/A 16877-2024 tillsynsbegäran mail.docx", "A 16877-2024")</f>
        <v/>
      </c>
    </row>
    <row r="184" ht="15" customHeight="1">
      <c r="A184" t="inlineStr">
        <is>
          <t>A 21980-2026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46153</v>
      </c>
      <c r="E184" s="1" t="n">
        <v>46321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3</v>
      </c>
      <c r="U184" t="n">
        <v>3</v>
      </c>
      <c r="V184" s="2" t="inlineStr">
        <is>
          <t>Garnlav</t>
        </is>
      </c>
      <c r="W184">
        <f>HYPERLINK("https://klasma.github.io/Logging_2284/artfynd/A 21980-2026 artfynd.xlsx", "A 21980-2026")</f>
        <v/>
      </c>
      <c r="X184">
        <f>HYPERLINK("https://klasma.github.io/Logging_2284/kartor/A 21980-2026 karta.png", "A 21980-2026")</f>
        <v/>
      </c>
      <c r="Y184">
        <f>HYPERLINK("https://klasma.github.io/Logging_2284/kartor_geotiff/A 21980-2026 georefererad karta.tif", "A 21980-2026")</f>
        <v/>
      </c>
      <c r="AA184">
        <f>HYPERLINK("https://klasma.github.io/Logging_2284/klagomål/A 21980-2026 FSC-klagomål.docx", "A 21980-2026")</f>
        <v/>
      </c>
      <c r="AB184">
        <f>HYPERLINK("https://klasma.github.io/Logging_2284/klagomålsmail/A 21980-2026 FSC-klagomål mail.docx", "A 21980-2026")</f>
        <v/>
      </c>
      <c r="AC184">
        <f>HYPERLINK("https://klasma.github.io/Logging_2284/tillsyn/A 21980-2026 tillsynsbegäran.docx", "A 21980-2026")</f>
        <v/>
      </c>
      <c r="AD184">
        <f>HYPERLINK("https://klasma.github.io/Logging_2284/tillsynsmail/A 21980-2026 tillsynsbegäran mail.docx", "A 21980-2026")</f>
        <v/>
      </c>
    </row>
    <row r="185" ht="15" customHeight="1">
      <c r="A185" t="inlineStr">
        <is>
          <t>A 48886-2024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45594</v>
      </c>
      <c r="E185" s="1" t="n">
        <v>46321</v>
      </c>
      <c r="F185" t="inlineStr">
        <is>
          <t>VÄSTERNORRLANDS LÄN</t>
        </is>
      </c>
      <c r="G185" t="inlineStr">
        <is>
          <t>ÖRNSKÖLDSVIK</t>
        </is>
      </c>
      <c r="I185" t="n">
        <v>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2</v>
      </c>
      <c r="U185" t="n">
        <v>0</v>
      </c>
      <c r="V185" s="2" t="inlineStr">
        <is>
          <t>Lunglav</t>
        </is>
      </c>
      <c r="W185">
        <f>HYPERLINK("https://klasma.github.io/Logging_2284/artfynd/A 48886-2024 artfynd.xlsx", "A 48886-2024")</f>
        <v/>
      </c>
      <c r="X185">
        <f>HYPERLINK("https://klasma.github.io/Logging_2284/kartor/A 48886-2024 karta.png", "A 48886-2024")</f>
        <v/>
      </c>
      <c r="Y185">
        <f>HYPERLINK("https://klasma.github.io/Logging_2284/kartor_geotiff/A 48886-2024 georefererad karta.tif", "A 48886-2024")</f>
        <v/>
      </c>
      <c r="AA185">
        <f>HYPERLINK("https://klasma.github.io/Logging_2284/klagomål/A 48886-2024 FSC-klagomål.docx", "A 48886-2024")</f>
        <v/>
      </c>
      <c r="AB185">
        <f>HYPERLINK("https://klasma.github.io/Logging_2284/klagomålsmail/A 48886-2024 FSC-klagomål mail.docx", "A 48886-2024")</f>
        <v/>
      </c>
      <c r="AC185">
        <f>HYPERLINK("https://klasma.github.io/Logging_2284/tillsyn/A 48886-2024 tillsynsbegäran.docx", "A 48886-2024")</f>
        <v/>
      </c>
      <c r="AD185">
        <f>HYPERLINK("https://klasma.github.io/Logging_2284/tillsynsmail/A 48886-2024 tillsynsbegäran mail.docx", "A 48886-2024")</f>
        <v/>
      </c>
    </row>
    <row r="186" ht="15" customHeight="1">
      <c r="A186" t="inlineStr">
        <is>
          <t>A 7323-2023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44970</v>
      </c>
      <c r="E186" s="1" t="n">
        <v>46321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SCA</t>
        </is>
      </c>
      <c r="I186" t="n">
        <v>18.6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HYPERLINK("https://klasma.github.io/Logging_2284/artfynd/A 7323-2023 artfynd.xlsx", "A 7323-2023")</f>
        <v/>
      </c>
      <c r="X186">
        <f>HYPERLINK("https://klasma.github.io/Logging_2284/kartor/A 7323-2023 karta.png", "A 7323-2023")</f>
        <v/>
      </c>
      <c r="Y186">
        <f>HYPERLINK("https://klasma.github.io/Logging_2284/kartor_geotiff/A 7323-2023 georefererad karta.tif", "A 7323-2023")</f>
        <v/>
      </c>
      <c r="AA186">
        <f>HYPERLINK("https://klasma.github.io/Logging_2284/klagomål/A 7323-2023 FSC-klagomål.docx", "A 7323-2023")</f>
        <v/>
      </c>
      <c r="AB186">
        <f>HYPERLINK("https://klasma.github.io/Logging_2284/klagomålsmail/A 7323-2023 FSC-klagomål mail.docx", "A 7323-2023")</f>
        <v/>
      </c>
      <c r="AC186">
        <f>HYPERLINK("https://klasma.github.io/Logging_2284/tillsyn/A 7323-2023 tillsynsbegäran.docx", "A 7323-2023")</f>
        <v/>
      </c>
      <c r="AD186">
        <f>HYPERLINK("https://klasma.github.io/Logging_2284/tillsynsmail/A 7323-2023 tillsynsbegäran mail.docx", "A 7323-2023")</f>
        <v/>
      </c>
    </row>
    <row r="187" ht="15" customHeight="1">
      <c r="A187" t="inlineStr">
        <is>
          <t>A 8677-2023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44977</v>
      </c>
      <c r="E187" s="1" t="n">
        <v>46321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SCA</t>
        </is>
      </c>
      <c r="I187" t="n">
        <v>18.6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HYPERLINK("https://klasma.github.io/Logging_2284/artfynd/A 8677-2023 artfynd.xlsx", "A 8677-2023")</f>
        <v/>
      </c>
      <c r="X187">
        <f>HYPERLINK("https://klasma.github.io/Logging_2284/kartor/A 8677-2023 karta.png", "A 8677-2023")</f>
        <v/>
      </c>
      <c r="Y187">
        <f>HYPERLINK("https://klasma.github.io/Logging_2284/kartor_geotiff/A 8677-2023 georefererad karta.tif", "A 8677-2023")</f>
        <v/>
      </c>
      <c r="AA187">
        <f>HYPERLINK("https://klasma.github.io/Logging_2284/klagomål/A 8677-2023 FSC-klagomål.docx", "A 8677-2023")</f>
        <v/>
      </c>
      <c r="AB187">
        <f>HYPERLINK("https://klasma.github.io/Logging_2284/klagomålsmail/A 8677-2023 FSC-klagomål mail.docx", "A 8677-2023")</f>
        <v/>
      </c>
      <c r="AC187">
        <f>HYPERLINK("https://klasma.github.io/Logging_2284/tillsyn/A 8677-2023 tillsynsbegäran.docx", "A 8677-2023")</f>
        <v/>
      </c>
      <c r="AD187">
        <f>HYPERLINK("https://klasma.github.io/Logging_2284/tillsynsmail/A 8677-2023 tillsynsbegäran mail.docx", "A 8677-2023")</f>
        <v/>
      </c>
    </row>
    <row r="188" ht="15" customHeight="1">
      <c r="A188" t="inlineStr">
        <is>
          <t>A 31882-2024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45509</v>
      </c>
      <c r="E188" s="1" t="n">
        <v>46321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SCA</t>
        </is>
      </c>
      <c r="I188" t="n">
        <v>9.1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Tretåig hackspett</t>
        </is>
      </c>
      <c r="W188">
        <f>HYPERLINK("https://klasma.github.io/Logging_2284/artfynd/A 31882-2024 artfynd.xlsx", "A 31882-2024")</f>
        <v/>
      </c>
      <c r="X188">
        <f>HYPERLINK("https://klasma.github.io/Logging_2284/kartor/A 31882-2024 karta.png", "A 31882-2024")</f>
        <v/>
      </c>
      <c r="Y188">
        <f>HYPERLINK("https://klasma.github.io/Logging_2284/kartor_geotiff/A 31882-2024 georefererad karta.tif", "A 31882-2024")</f>
        <v/>
      </c>
      <c r="AA188">
        <f>HYPERLINK("https://klasma.github.io/Logging_2284/klagomål/A 31882-2024 FSC-klagomål.docx", "A 31882-2024")</f>
        <v/>
      </c>
      <c r="AB188">
        <f>HYPERLINK("https://klasma.github.io/Logging_2284/klagomålsmail/A 31882-2024 FSC-klagomål mail.docx", "A 31882-2024")</f>
        <v/>
      </c>
      <c r="AC188">
        <f>HYPERLINK("https://klasma.github.io/Logging_2284/tillsyn/A 31882-2024 tillsynsbegäran.docx", "A 31882-2024")</f>
        <v/>
      </c>
      <c r="AD188">
        <f>HYPERLINK("https://klasma.github.io/Logging_2284/tillsynsmail/A 31882-2024 tillsynsbegäran mail.docx", "A 31882-2024")</f>
        <v/>
      </c>
      <c r="AE188">
        <f>HYPERLINK("https://klasma.github.io/Logging_2284/fåglar/A 31882-2024 prioriterade fågelarter.docx", "A 31882-2024")</f>
        <v/>
      </c>
    </row>
    <row r="189" ht="15" customHeight="1">
      <c r="A189" t="inlineStr">
        <is>
          <t>A 24144-2024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45456</v>
      </c>
      <c r="E189" s="1" t="n">
        <v>46321</v>
      </c>
      <c r="F189" t="inlineStr">
        <is>
          <t>VÄSTERNORRLANDS LÄN</t>
        </is>
      </c>
      <c r="G189" t="inlineStr">
        <is>
          <t>ÖRNSKÖLDSVIK</t>
        </is>
      </c>
      <c r="I189" t="n">
        <v>0.5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Tretåig hackspett</t>
        </is>
      </c>
      <c r="W189">
        <f>HYPERLINK("https://klasma.github.io/Logging_2284/artfynd/A 24144-2024 artfynd.xlsx", "A 24144-2024")</f>
        <v/>
      </c>
      <c r="X189">
        <f>HYPERLINK("https://klasma.github.io/Logging_2284/kartor/A 24144-2024 karta.png", "A 24144-2024")</f>
        <v/>
      </c>
      <c r="Y189">
        <f>HYPERLINK("https://klasma.github.io/Logging_2284/kartor_geotiff/A 24144-2024 georefererad karta.tif", "A 24144-2024")</f>
        <v/>
      </c>
      <c r="AA189">
        <f>HYPERLINK("https://klasma.github.io/Logging_2284/klagomål/A 24144-2024 FSC-klagomål.docx", "A 24144-2024")</f>
        <v/>
      </c>
      <c r="AB189">
        <f>HYPERLINK("https://klasma.github.io/Logging_2284/klagomålsmail/A 24144-2024 FSC-klagomål mail.docx", "A 24144-2024")</f>
        <v/>
      </c>
      <c r="AC189">
        <f>HYPERLINK("https://klasma.github.io/Logging_2284/tillsyn/A 24144-2024 tillsynsbegäran.docx", "A 24144-2024")</f>
        <v/>
      </c>
      <c r="AD189">
        <f>HYPERLINK("https://klasma.github.io/Logging_2284/tillsynsmail/A 24144-2024 tillsynsbegäran mail.docx", "A 24144-2024")</f>
        <v/>
      </c>
      <c r="AE189">
        <f>HYPERLINK("https://klasma.github.io/Logging_2284/fåglar/A 24144-2024 prioriterade fågelarter.docx", "A 24144-2024")</f>
        <v/>
      </c>
    </row>
    <row r="190" ht="15" customHeight="1">
      <c r="A190" t="inlineStr">
        <is>
          <t>A 32524-2024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45513</v>
      </c>
      <c r="E190" s="1" t="n">
        <v>46321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Kolflarnlav</t>
        </is>
      </c>
      <c r="W190">
        <f>HYPERLINK("https://klasma.github.io/Logging_2284/artfynd/A 32524-2024 artfynd.xlsx", "A 32524-2024")</f>
        <v/>
      </c>
      <c r="X190">
        <f>HYPERLINK("https://klasma.github.io/Logging_2284/kartor/A 32524-2024 karta.png", "A 32524-2024")</f>
        <v/>
      </c>
      <c r="Y190">
        <f>HYPERLINK("https://klasma.github.io/Logging_2284/kartor_geotiff/A 32524-2024 georefererad karta.tif", "A 32524-2024")</f>
        <v/>
      </c>
      <c r="AA190">
        <f>HYPERLINK("https://klasma.github.io/Logging_2284/klagomål/A 32524-2024 FSC-klagomål.docx", "A 32524-2024")</f>
        <v/>
      </c>
      <c r="AB190">
        <f>HYPERLINK("https://klasma.github.io/Logging_2284/klagomålsmail/A 32524-2024 FSC-klagomål mail.docx", "A 32524-2024")</f>
        <v/>
      </c>
      <c r="AC190">
        <f>HYPERLINK("https://klasma.github.io/Logging_2284/tillsyn/A 32524-2024 tillsynsbegäran.docx", "A 32524-2024")</f>
        <v/>
      </c>
      <c r="AD190">
        <f>HYPERLINK("https://klasma.github.io/Logging_2284/tillsynsmail/A 32524-2024 tillsynsbegäran mail.docx", "A 32524-2024")</f>
        <v/>
      </c>
    </row>
    <row r="191" ht="15" customHeight="1">
      <c r="A191" t="inlineStr">
        <is>
          <t>A 44165-2023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45188</v>
      </c>
      <c r="E191" s="1" t="n">
        <v>46321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11.8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Ullticka</t>
        </is>
      </c>
      <c r="W191">
        <f>HYPERLINK("https://klasma.github.io/Logging_2284/artfynd/A 44165-2023 artfynd.xlsx", "A 44165-2023")</f>
        <v/>
      </c>
      <c r="X191">
        <f>HYPERLINK("https://klasma.github.io/Logging_2284/kartor/A 44165-2023 karta.png", "A 44165-2023")</f>
        <v/>
      </c>
      <c r="Y191">
        <f>HYPERLINK("https://klasma.github.io/Logging_2284/kartor_geotiff/A 44165-2023 georefererad karta.tif", "A 44165-2023")</f>
        <v/>
      </c>
      <c r="AA191">
        <f>HYPERLINK("https://klasma.github.io/Logging_2284/klagomål/A 44165-2023 FSC-klagomål.docx", "A 44165-2023")</f>
        <v/>
      </c>
      <c r="AB191">
        <f>HYPERLINK("https://klasma.github.io/Logging_2284/klagomålsmail/A 44165-2023 FSC-klagomål mail.docx", "A 44165-2023")</f>
        <v/>
      </c>
      <c r="AC191">
        <f>HYPERLINK("https://klasma.github.io/Logging_2284/tillsyn/A 44165-2023 tillsynsbegäran.docx", "A 44165-2023")</f>
        <v/>
      </c>
      <c r="AD191">
        <f>HYPERLINK("https://klasma.github.io/Logging_2284/tillsynsmail/A 44165-2023 tillsynsbegäran mail.docx", "A 44165-2023")</f>
        <v/>
      </c>
    </row>
    <row r="192" ht="15" customHeight="1">
      <c r="A192" t="inlineStr">
        <is>
          <t>A 64642-2023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46321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Sotlav</t>
        </is>
      </c>
      <c r="W192">
        <f>HYPERLINK("https://klasma.github.io/Logging_2284/artfynd/A 64642-2023 artfynd.xlsx", "A 64642-2023")</f>
        <v/>
      </c>
      <c r="X192">
        <f>HYPERLINK("https://klasma.github.io/Logging_2284/kartor/A 64642-2023 karta.png", "A 64642-2023")</f>
        <v/>
      </c>
      <c r="Y192">
        <f>HYPERLINK("https://klasma.github.io/Logging_2284/kartor_geotiff/A 64642-2023 georefererad karta.tif", "A 64642-2023")</f>
        <v/>
      </c>
      <c r="AA192">
        <f>HYPERLINK("https://klasma.github.io/Logging_2284/klagomål/A 64642-2023 FSC-klagomål.docx", "A 64642-2023")</f>
        <v/>
      </c>
      <c r="AB192">
        <f>HYPERLINK("https://klasma.github.io/Logging_2284/klagomålsmail/A 64642-2023 FSC-klagomål mail.docx", "A 64642-2023")</f>
        <v/>
      </c>
      <c r="AC192">
        <f>HYPERLINK("https://klasma.github.io/Logging_2284/tillsyn/A 64642-2023 tillsynsbegäran.docx", "A 64642-2023")</f>
        <v/>
      </c>
      <c r="AD192">
        <f>HYPERLINK("https://klasma.github.io/Logging_2284/tillsynsmail/A 64642-2023 tillsynsbegäran mail.docx", "A 64642-2023")</f>
        <v/>
      </c>
    </row>
    <row r="193" ht="15" customHeight="1">
      <c r="A193" t="inlineStr">
        <is>
          <t>A 46821-2023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45198</v>
      </c>
      <c r="E193" s="1" t="n">
        <v>46321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SCA</t>
        </is>
      </c>
      <c r="I193" t="n">
        <v>4.8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Rosenticka</t>
        </is>
      </c>
      <c r="W193">
        <f>HYPERLINK("https://klasma.github.io/Logging_2284/artfynd/A 46821-2023 artfynd.xlsx", "A 46821-2023")</f>
        <v/>
      </c>
      <c r="X193">
        <f>HYPERLINK("https://klasma.github.io/Logging_2284/kartor/A 46821-2023 karta.png", "A 46821-2023")</f>
        <v/>
      </c>
      <c r="Y193">
        <f>HYPERLINK("https://klasma.github.io/Logging_2284/kartor_geotiff/A 46821-2023 georefererad karta.tif", "A 46821-2023")</f>
        <v/>
      </c>
      <c r="AA193">
        <f>HYPERLINK("https://klasma.github.io/Logging_2284/klagomål/A 46821-2023 FSC-klagomål.docx", "A 46821-2023")</f>
        <v/>
      </c>
      <c r="AB193">
        <f>HYPERLINK("https://klasma.github.io/Logging_2284/klagomålsmail/A 46821-2023 FSC-klagomål mail.docx", "A 46821-2023")</f>
        <v/>
      </c>
      <c r="AC193">
        <f>HYPERLINK("https://klasma.github.io/Logging_2284/tillsyn/A 46821-2023 tillsynsbegäran.docx", "A 46821-2023")</f>
        <v/>
      </c>
      <c r="AD193">
        <f>HYPERLINK("https://klasma.github.io/Logging_2284/tillsynsmail/A 46821-2023 tillsynsbegäran mail.docx", "A 46821-2023")</f>
        <v/>
      </c>
    </row>
    <row r="194" ht="15" customHeight="1">
      <c r="A194" t="inlineStr">
        <is>
          <t>A 31647-2023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45105</v>
      </c>
      <c r="E194" s="1" t="n">
        <v>46321</v>
      </c>
      <c r="F194" t="inlineStr">
        <is>
          <t>VÄSTERNORRLANDS LÄN</t>
        </is>
      </c>
      <c r="G194" t="inlineStr">
        <is>
          <t>ÖRNSKÖLDSVIK</t>
        </is>
      </c>
      <c r="I194" t="n">
        <v>2.7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Kungsörn</t>
        </is>
      </c>
      <c r="W194">
        <f>HYPERLINK("https://klasma.github.io/Logging_2284/artfynd/A 31647-2023 artfynd.xlsx", "A 31647-2023")</f>
        <v/>
      </c>
      <c r="X194">
        <f>HYPERLINK("https://klasma.github.io/Logging_2284/kartor/A 31647-2023 karta.png", "A 31647-2023")</f>
        <v/>
      </c>
      <c r="Y194">
        <f>HYPERLINK("https://klasma.github.io/Logging_2284/kartor_geotiff/A 31647-2023 georefererad karta.tif", "A 31647-2023")</f>
        <v/>
      </c>
      <c r="AA194">
        <f>HYPERLINK("https://klasma.github.io/Logging_2284/klagomål/A 31647-2023 FSC-klagomål.docx", "A 31647-2023")</f>
        <v/>
      </c>
      <c r="AB194">
        <f>HYPERLINK("https://klasma.github.io/Logging_2284/klagomålsmail/A 31647-2023 FSC-klagomål mail.docx", "A 31647-2023")</f>
        <v/>
      </c>
      <c r="AC194">
        <f>HYPERLINK("https://klasma.github.io/Logging_2284/tillsyn/A 31647-2023 tillsynsbegäran.docx", "A 31647-2023")</f>
        <v/>
      </c>
      <c r="AD194">
        <f>HYPERLINK("https://klasma.github.io/Logging_2284/tillsynsmail/A 31647-2023 tillsynsbegäran mail.docx", "A 31647-2023")</f>
        <v/>
      </c>
      <c r="AE194">
        <f>HYPERLINK("https://klasma.github.io/Logging_2284/fåglar/A 31647-2023 prioriterade fågelarter.docx", "A 31647-2023")</f>
        <v/>
      </c>
    </row>
    <row r="195" ht="15" customHeight="1">
      <c r="A195" t="inlineStr">
        <is>
          <t>A 47190-2023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46321</v>
      </c>
      <c r="F195" t="inlineStr">
        <is>
          <t>VÄSTERNORRLANDS LÄN</t>
        </is>
      </c>
      <c r="G195" t="inlineStr">
        <is>
          <t>ÖRNSKÖLDSVIK</t>
        </is>
      </c>
      <c r="I195" t="n">
        <v>1.6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Kungsfågel</t>
        </is>
      </c>
      <c r="W195">
        <f>HYPERLINK("https://klasma.github.io/Logging_2284/artfynd/A 47190-2023 artfynd.xlsx", "A 47190-2023")</f>
        <v/>
      </c>
      <c r="X195">
        <f>HYPERLINK("https://klasma.github.io/Logging_2284/kartor/A 47190-2023 karta.png", "A 47190-2023")</f>
        <v/>
      </c>
      <c r="Y195">
        <f>HYPERLINK("https://klasma.github.io/Logging_2284/kartor_geotiff/A 47190-2023 georefererad karta.tif", "A 47190-2023")</f>
        <v/>
      </c>
      <c r="AA195">
        <f>HYPERLINK("https://klasma.github.io/Logging_2284/klagomål/A 47190-2023 FSC-klagomål.docx", "A 47190-2023")</f>
        <v/>
      </c>
      <c r="AB195">
        <f>HYPERLINK("https://klasma.github.io/Logging_2284/klagomålsmail/A 47190-2023 FSC-klagomål mail.docx", "A 47190-2023")</f>
        <v/>
      </c>
      <c r="AC195">
        <f>HYPERLINK("https://klasma.github.io/Logging_2284/tillsyn/A 47190-2023 tillsynsbegäran.docx", "A 47190-2023")</f>
        <v/>
      </c>
      <c r="AD195">
        <f>HYPERLINK("https://klasma.github.io/Logging_2284/tillsynsmail/A 47190-2023 tillsynsbegäran mail.docx", "A 47190-2023")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46321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46321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46321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46321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46321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46321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46321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46321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46321</v>
      </c>
      <c r="F204" t="inlineStr">
        <is>
          <t>VÄSTERNORRLANDS LÄN</t>
        </is>
      </c>
      <c r="G204" t="inlineStr">
        <is>
          <t>ÖRNSKÖLDSVIK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45001-2022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44841</v>
      </c>
      <c r="E205" s="1" t="n">
        <v>46321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69799-2021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44532</v>
      </c>
      <c r="E206" s="1" t="n">
        <v>46321</v>
      </c>
      <c r="F206" t="inlineStr">
        <is>
          <t>VÄSTERNORRLANDS LÄN</t>
        </is>
      </c>
      <c r="G206" t="inlineStr">
        <is>
          <t>ÖRNSKÖLDSVIK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44713</v>
      </c>
      <c r="E207" s="1" t="n">
        <v>46321</v>
      </c>
      <c r="F207" t="inlineStr">
        <is>
          <t>VÄSTERNORRLANDS LÄN</t>
        </is>
      </c>
      <c r="G207" t="inlineStr">
        <is>
          <t>ÖRNSKÖLDSVIK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46321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46321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46321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46321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46321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46321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46321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46321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46321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46321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46321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46321</v>
      </c>
      <c r="F219" t="inlineStr">
        <is>
          <t>VÄSTERNORRLANDS LÄN</t>
        </is>
      </c>
      <c r="G219" t="inlineStr">
        <is>
          <t>ÖRNSKÖLDSVIK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46321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9028-2022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44615</v>
      </c>
      <c r="E221" s="1" t="n">
        <v>46321</v>
      </c>
      <c r="F221" t="inlineStr">
        <is>
          <t>VÄSTERNORRLANDS LÄN</t>
        </is>
      </c>
      <c r="G221" t="inlineStr">
        <is>
          <t>ÖRNSKÖLDSVIK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44763</v>
      </c>
      <c r="E222" s="1" t="n">
        <v>46321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44852</v>
      </c>
      <c r="E223" s="1" t="n">
        <v>46321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44707</v>
      </c>
      <c r="E224" s="1" t="n">
        <v>46321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69962-2021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44533</v>
      </c>
      <c r="E225" s="1" t="n">
        <v>46321</v>
      </c>
      <c r="F225" t="inlineStr">
        <is>
          <t>VÄSTERNORRLANDS LÄN</t>
        </is>
      </c>
      <c r="G225" t="inlineStr">
        <is>
          <t>ÖRNSKÖLDSVIK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46321</v>
      </c>
      <c r="F226" t="inlineStr">
        <is>
          <t>VÄSTERNORRLANDS LÄN</t>
        </is>
      </c>
      <c r="G226" t="inlineStr">
        <is>
          <t>ÖRNSKÖLDSVIK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46321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46321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46321</v>
      </c>
      <c r="F229" t="inlineStr">
        <is>
          <t>VÄSTERNORRLANDS LÄN</t>
        </is>
      </c>
      <c r="G229" t="inlineStr">
        <is>
          <t>ÖRNSKÖLDSVIK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46321</v>
      </c>
      <c r="F230" t="inlineStr">
        <is>
          <t>VÄSTERNORRLANDS LÄN</t>
        </is>
      </c>
      <c r="G230" t="inlineStr">
        <is>
          <t>ÖRNSKÖLDSVIK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64542-2021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46321</v>
      </c>
      <c r="F231" t="inlineStr">
        <is>
          <t>VÄSTERNORRLANDS LÄN</t>
        </is>
      </c>
      <c r="G231" t="inlineStr">
        <is>
          <t>ÖRNSKÖLDSVIK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64434-2021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46321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46321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46321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46321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17781-2022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44682</v>
      </c>
      <c r="E236" s="1" t="n">
        <v>46321</v>
      </c>
      <c r="F236" t="inlineStr">
        <is>
          <t>VÄSTERNORRLANDS LÄN</t>
        </is>
      </c>
      <c r="G236" t="inlineStr">
        <is>
          <t>ÖRNSKÖLDSVIK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46321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46321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46321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46321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46321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44707</v>
      </c>
      <c r="E242" s="1" t="n">
        <v>46321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46321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46321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46321</v>
      </c>
      <c r="F245" t="inlineStr">
        <is>
          <t>VÄSTERNORRLANDS LÄN</t>
        </is>
      </c>
      <c r="G245" t="inlineStr">
        <is>
          <t>ÖRNSKÖLDSVIK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44777</v>
      </c>
      <c r="E246" s="1" t="n">
        <v>46321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44592</v>
      </c>
      <c r="E247" s="1" t="n">
        <v>46321</v>
      </c>
      <c r="F247" t="inlineStr">
        <is>
          <t>VÄSTERNORRLANDS LÄN</t>
        </is>
      </c>
      <c r="G247" t="inlineStr">
        <is>
          <t>ÖRNSKÖLDSVIK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46321</v>
      </c>
      <c r="F248" t="inlineStr">
        <is>
          <t>VÄSTERNORRLANDS LÄN</t>
        </is>
      </c>
      <c r="G248" t="inlineStr">
        <is>
          <t>ÖRNSKÖLDSVIK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46321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46321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46321</v>
      </c>
      <c r="F251" t="inlineStr">
        <is>
          <t>VÄSTERNORRLANDS LÄN</t>
        </is>
      </c>
      <c r="G251" t="inlineStr">
        <is>
          <t>ÖRNSKÖLDSVIK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46321</v>
      </c>
      <c r="F252" t="inlineStr">
        <is>
          <t>VÄSTERNORRLANDS LÄN</t>
        </is>
      </c>
      <c r="G252" t="inlineStr">
        <is>
          <t>ÖRNSKÖLDSVIK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33555-2022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44789</v>
      </c>
      <c r="E253" s="1" t="n">
        <v>46321</v>
      </c>
      <c r="F253" t="inlineStr">
        <is>
          <t>VÄSTERNORRLANDS LÄN</t>
        </is>
      </c>
      <c r="G253" t="inlineStr">
        <is>
          <t>ÖRNSKÖLDSVIK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46321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46321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64113-2021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46321</v>
      </c>
      <c r="F256" t="inlineStr">
        <is>
          <t>VÄSTERNORRLANDS LÄN</t>
        </is>
      </c>
      <c r="G256" t="inlineStr">
        <is>
          <t>ÖRNSKÖLDSVIK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46321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44508</v>
      </c>
      <c r="E258" s="1" t="n">
        <v>46321</v>
      </c>
      <c r="F258" t="inlineStr">
        <is>
          <t>VÄSTERNORRLANDS LÄN</t>
        </is>
      </c>
      <c r="G258" t="inlineStr">
        <is>
          <t>ÖRNSKÖLDSVIK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44697</v>
      </c>
      <c r="E259" s="1" t="n">
        <v>46321</v>
      </c>
      <c r="F259" t="inlineStr">
        <is>
          <t>VÄSTERNORRLANDS LÄN</t>
        </is>
      </c>
      <c r="G259" t="inlineStr">
        <is>
          <t>ÖRNSKÖLDSVIK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44705</v>
      </c>
      <c r="E260" s="1" t="n">
        <v>46321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46321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16249-2022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44670</v>
      </c>
      <c r="E262" s="1" t="n">
        <v>46321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44839</v>
      </c>
      <c r="E263" s="1" t="n">
        <v>46321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46224-2022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46321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63443-2021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46321</v>
      </c>
      <c r="F265" t="inlineStr">
        <is>
          <t>VÄSTERNORRLANDS LÄN</t>
        </is>
      </c>
      <c r="G265" t="inlineStr">
        <is>
          <t>ÖRNSKÖLDSVIK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44818</v>
      </c>
      <c r="E266" s="1" t="n">
        <v>46321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69786-2021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44532</v>
      </c>
      <c r="E267" s="1" t="n">
        <v>46321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46321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46321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46321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46321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44799-2022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44841</v>
      </c>
      <c r="E272" s="1" t="n">
        <v>46321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44844</v>
      </c>
      <c r="E273" s="1" t="n">
        <v>46321</v>
      </c>
      <c r="F273" t="inlineStr">
        <is>
          <t>VÄSTERNORRLANDS LÄN</t>
        </is>
      </c>
      <c r="G273" t="inlineStr">
        <is>
          <t>ÖRNSKÖLDSVIK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45254-2022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46321</v>
      </c>
      <c r="F274" t="inlineStr">
        <is>
          <t>VÄSTERNORRLANDS LÄN</t>
        </is>
      </c>
      <c r="G274" t="inlineStr">
        <is>
          <t>ÖRNSKÖLDSVIK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45320-2022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46321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46321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44828</v>
      </c>
      <c r="E277" s="1" t="n">
        <v>46321</v>
      </c>
      <c r="F277" t="inlineStr">
        <is>
          <t>VÄSTERNORRLANDS LÄN</t>
        </is>
      </c>
      <c r="G277" t="inlineStr">
        <is>
          <t>ÖRNSKÖLDSVIK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46321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62288-2021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44503</v>
      </c>
      <c r="E279" s="1" t="n">
        <v>46321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66753-2021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44521</v>
      </c>
      <c r="E280" s="1" t="n">
        <v>46321</v>
      </c>
      <c r="F280" t="inlineStr">
        <is>
          <t>VÄSTERNORRLANDS LÄN</t>
        </is>
      </c>
      <c r="G280" t="inlineStr">
        <is>
          <t>ÖRNSKÖLDSVIK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44859</v>
      </c>
      <c r="E281" s="1" t="n">
        <v>46321</v>
      </c>
      <c r="F281" t="inlineStr">
        <is>
          <t>VÄSTERNORRLANDS LÄN</t>
        </is>
      </c>
      <c r="G281" t="inlineStr">
        <is>
          <t>ÖRNSKÖLDSVIK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60469-2021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44496</v>
      </c>
      <c r="E282" s="1" t="n">
        <v>46321</v>
      </c>
      <c r="F282" t="inlineStr">
        <is>
          <t>VÄSTERNORRLANDS LÄN</t>
        </is>
      </c>
      <c r="G282" t="inlineStr">
        <is>
          <t>ÖRNSKÖLDSVIK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16336-2022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44670</v>
      </c>
      <c r="E283" s="1" t="n">
        <v>46321</v>
      </c>
      <c r="F283" t="inlineStr">
        <is>
          <t>VÄSTERNORRLANDS LÄN</t>
        </is>
      </c>
      <c r="G283" t="inlineStr">
        <is>
          <t>ÖRNSKÖLDSVIK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55915-2022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44889</v>
      </c>
      <c r="E284" s="1" t="n">
        <v>46321</v>
      </c>
      <c r="F284" t="inlineStr">
        <is>
          <t>VÄSTERNORRLANDS LÄN</t>
        </is>
      </c>
      <c r="G284" t="inlineStr">
        <is>
          <t>ÖRNSKÖLDSVIK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61355-2021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46321</v>
      </c>
      <c r="F285" t="inlineStr">
        <is>
          <t>VÄSTERNORRLANDS LÄN</t>
        </is>
      </c>
      <c r="G285" t="inlineStr">
        <is>
          <t>ÖRNSKÖLDSVIK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68829-2021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44529</v>
      </c>
      <c r="E286" s="1" t="n">
        <v>46321</v>
      </c>
      <c r="F286" t="inlineStr">
        <is>
          <t>VÄSTERNORRLANDS LÄN</t>
        </is>
      </c>
      <c r="G286" t="inlineStr">
        <is>
          <t>ÖRNSKÖLDSVIK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60620-2021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46321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40483-2022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44823</v>
      </c>
      <c r="E288" s="1" t="n">
        <v>46321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33911-2022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44790</v>
      </c>
      <c r="E289" s="1" t="n">
        <v>46321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44568</v>
      </c>
      <c r="E290" s="1" t="n">
        <v>46321</v>
      </c>
      <c r="F290" t="inlineStr">
        <is>
          <t>VÄSTERNORRLANDS LÄN</t>
        </is>
      </c>
      <c r="G290" t="inlineStr">
        <is>
          <t>ÖRNSKÖLDSVIK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33201-2022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44785</v>
      </c>
      <c r="E291" s="1" t="n">
        <v>46321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Kyrkan</t>
        </is>
      </c>
      <c r="I291" t="n">
        <v>10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44568</v>
      </c>
      <c r="E292" s="1" t="n">
        <v>46321</v>
      </c>
      <c r="F292" t="inlineStr">
        <is>
          <t>VÄSTERNORRLANDS LÄN</t>
        </is>
      </c>
      <c r="G292" t="inlineStr">
        <is>
          <t>ÖRNSKÖLDSVIK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44566</v>
      </c>
      <c r="E293" s="1" t="n">
        <v>46321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44706</v>
      </c>
      <c r="E294" s="1" t="n">
        <v>46321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37247-2022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44806</v>
      </c>
      <c r="E295" s="1" t="n">
        <v>46321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SCA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44742</v>
      </c>
      <c r="E296" s="1" t="n">
        <v>46321</v>
      </c>
      <c r="F296" t="inlineStr">
        <is>
          <t>VÄSTERNORRLANDS LÄN</t>
        </is>
      </c>
      <c r="G296" t="inlineStr">
        <is>
          <t>ÖRNSKÖLDSVIK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61356-2021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46321</v>
      </c>
      <c r="F297" t="inlineStr">
        <is>
          <t>VÄSTERNORRLANDS LÄN</t>
        </is>
      </c>
      <c r="G297" t="inlineStr">
        <is>
          <t>ÖRNSKÖLDSVIK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51506-2022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44869</v>
      </c>
      <c r="E298" s="1" t="n">
        <v>46321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55283-2022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44882</v>
      </c>
      <c r="E299" s="1" t="n">
        <v>46321</v>
      </c>
      <c r="F299" t="inlineStr">
        <is>
          <t>VÄSTERNORRLANDS LÄN</t>
        </is>
      </c>
      <c r="G299" t="inlineStr">
        <is>
          <t>ÖRNSKÖLDSVIK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30247-2022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44758</v>
      </c>
      <c r="E300" s="1" t="n">
        <v>46321</v>
      </c>
      <c r="F300" t="inlineStr">
        <is>
          <t>VÄSTERNORRLANDS LÄN</t>
        </is>
      </c>
      <c r="G300" t="inlineStr">
        <is>
          <t>ÖRNSKÖLDSVIK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44734</v>
      </c>
      <c r="E301" s="1" t="n">
        <v>46321</v>
      </c>
      <c r="F301" t="inlineStr">
        <is>
          <t>VÄSTERNORRLANDS LÄN</t>
        </is>
      </c>
      <c r="G301" t="inlineStr">
        <is>
          <t>ÖRNSKÖLDSVIK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30408-2022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44761</v>
      </c>
      <c r="E302" s="1" t="n">
        <v>46321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36554-2022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44804</v>
      </c>
      <c r="E303" s="1" t="n">
        <v>46321</v>
      </c>
      <c r="F303" t="inlineStr">
        <is>
          <t>VÄSTERNORRLANDS LÄN</t>
        </is>
      </c>
      <c r="G303" t="inlineStr">
        <is>
          <t>ÖRNSKÖLDSVIK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45829-2022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44846</v>
      </c>
      <c r="E304" s="1" t="n">
        <v>46321</v>
      </c>
      <c r="F304" t="inlineStr">
        <is>
          <t>VÄSTERNORRLANDS LÄN</t>
        </is>
      </c>
      <c r="G304" t="inlineStr">
        <is>
          <t>ÖRNSKÖLDSVIK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42320-2022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44831</v>
      </c>
      <c r="E305" s="1" t="n">
        <v>46321</v>
      </c>
      <c r="F305" t="inlineStr">
        <is>
          <t>VÄSTERNORRLANDS LÄN</t>
        </is>
      </c>
      <c r="G305" t="inlineStr">
        <is>
          <t>ÖRNSKÖLDSVIK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44749</v>
      </c>
      <c r="E306" s="1" t="n">
        <v>46321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44826</v>
      </c>
      <c r="E307" s="1" t="n">
        <v>46321</v>
      </c>
      <c r="F307" t="inlineStr">
        <is>
          <t>VÄSTERNORRLANDS LÄN</t>
        </is>
      </c>
      <c r="G307" t="inlineStr">
        <is>
          <t>ÖRNSKÖLDSVIK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68876-2021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44530</v>
      </c>
      <c r="E308" s="1" t="n">
        <v>46321</v>
      </c>
      <c r="F308" t="inlineStr">
        <is>
          <t>VÄSTERNORRLANDS LÄN</t>
        </is>
      </c>
      <c r="G308" t="inlineStr">
        <is>
          <t>ÖRNSKÖLDSVIK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44843-2022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44839</v>
      </c>
      <c r="E309" s="1" t="n">
        <v>46321</v>
      </c>
      <c r="F309" t="inlineStr">
        <is>
          <t>VÄSTERNORRLANDS LÄN</t>
        </is>
      </c>
      <c r="G309" t="inlineStr">
        <is>
          <t>ÖRNSKÖLDSVIK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8581-2022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44613</v>
      </c>
      <c r="E310" s="1" t="n">
        <v>46321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50867-2022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44867</v>
      </c>
      <c r="E311" s="1" t="n">
        <v>46321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14.5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21595-2022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44706</v>
      </c>
      <c r="E312" s="1" t="n">
        <v>46321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32078-2022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46321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32079-2022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46321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20532-2022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44699</v>
      </c>
      <c r="E315" s="1" t="n">
        <v>46321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SCA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63230-2021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44505</v>
      </c>
      <c r="E316" s="1" t="n">
        <v>46321</v>
      </c>
      <c r="F316" t="inlineStr">
        <is>
          <t>VÄSTERNORRLANDS LÄN</t>
        </is>
      </c>
      <c r="G316" t="inlineStr">
        <is>
          <t>ÖRNSKÖLDSVIK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27869-2022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44743</v>
      </c>
      <c r="E317" s="1" t="n">
        <v>46321</v>
      </c>
      <c r="F317" t="inlineStr">
        <is>
          <t>VÄSTERNORRLANDS LÄN</t>
        </is>
      </c>
      <c r="G317" t="inlineStr">
        <is>
          <t>ÖRNSKÖLDSVIK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31008-2022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44768</v>
      </c>
      <c r="E318" s="1" t="n">
        <v>46321</v>
      </c>
      <c r="F318" t="inlineStr">
        <is>
          <t>VÄSTERNORRLANDS LÄN</t>
        </is>
      </c>
      <c r="G318" t="inlineStr">
        <is>
          <t>ÖRNSKÖLDSVIK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32031-2022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44778</v>
      </c>
      <c r="E319" s="1" t="n">
        <v>46321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44819</v>
      </c>
      <c r="E320" s="1" t="n">
        <v>46321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SCA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35408-2022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44798</v>
      </c>
      <c r="E321" s="1" t="n">
        <v>46321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35415-2022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44798</v>
      </c>
      <c r="E322" s="1" t="n">
        <v>46321</v>
      </c>
      <c r="F322" t="inlineStr">
        <is>
          <t>VÄSTERNORRLANDS LÄN</t>
        </is>
      </c>
      <c r="G322" t="inlineStr">
        <is>
          <t>ÖRNSKÖLDSVIK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44851</v>
      </c>
      <c r="E323" s="1" t="n">
        <v>46321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72397-2021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44545</v>
      </c>
      <c r="E324" s="1" t="n">
        <v>46321</v>
      </c>
      <c r="F324" t="inlineStr">
        <is>
          <t>VÄSTERNORRLANDS LÄN</t>
        </is>
      </c>
      <c r="G324" t="inlineStr">
        <is>
          <t>ÖRNSKÖLDSVIK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11142-2022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44629</v>
      </c>
      <c r="E325" s="1" t="n">
        <v>46321</v>
      </c>
      <c r="F325" t="inlineStr">
        <is>
          <t>VÄSTERNORRLANDS LÄN</t>
        </is>
      </c>
      <c r="G325" t="inlineStr">
        <is>
          <t>ÖRNSKÖLDSVIK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44841</v>
      </c>
      <c r="E326" s="1" t="n">
        <v>46321</v>
      </c>
      <c r="F326" t="inlineStr">
        <is>
          <t>VÄSTERNORRLANDS LÄN</t>
        </is>
      </c>
      <c r="G326" t="inlineStr">
        <is>
          <t>ÖRNSKÖLDSVIK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51454-2022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44869</v>
      </c>
      <c r="E327" s="1" t="n">
        <v>46321</v>
      </c>
      <c r="F327" t="inlineStr">
        <is>
          <t>VÄSTERNORRLANDS LÄN</t>
        </is>
      </c>
      <c r="G327" t="inlineStr">
        <is>
          <t>ÖRNSKÖLDSVIK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63458-2021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44508</v>
      </c>
      <c r="E328" s="1" t="n">
        <v>46321</v>
      </c>
      <c r="F328" t="inlineStr">
        <is>
          <t>VÄSTERNORRLANDS LÄN</t>
        </is>
      </c>
      <c r="G328" t="inlineStr">
        <is>
          <t>ÖRNSKÖLDSVIK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63449-2021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44508</v>
      </c>
      <c r="E329" s="1" t="n">
        <v>46321</v>
      </c>
      <c r="F329" t="inlineStr">
        <is>
          <t>VÄSTERNORRLANDS LÄN</t>
        </is>
      </c>
      <c r="G329" t="inlineStr">
        <is>
          <t>ÖRNSKÖLDSVIK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69971-2021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44533</v>
      </c>
      <c r="E330" s="1" t="n">
        <v>46321</v>
      </c>
      <c r="F330" t="inlineStr">
        <is>
          <t>VÄSTERNORRLANDS LÄN</t>
        </is>
      </c>
      <c r="G330" t="inlineStr">
        <is>
          <t>ÖRNSKÖLDSVIK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48004-2022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44855</v>
      </c>
      <c r="E331" s="1" t="n">
        <v>46321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73637-2021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44552</v>
      </c>
      <c r="E332" s="1" t="n">
        <v>46321</v>
      </c>
      <c r="F332" t="inlineStr">
        <is>
          <t>VÄSTERNORRLANDS LÄN</t>
        </is>
      </c>
      <c r="G332" t="inlineStr">
        <is>
          <t>ÖRNSKÖLDSVIK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33684-2022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44789</v>
      </c>
      <c r="E333" s="1" t="n">
        <v>46321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16209-2022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44670</v>
      </c>
      <c r="E334" s="1" t="n">
        <v>46321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16211-2022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44670</v>
      </c>
      <c r="E335" s="1" t="n">
        <v>46321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66752-2021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44521</v>
      </c>
      <c r="E336" s="1" t="n">
        <v>46321</v>
      </c>
      <c r="F336" t="inlineStr">
        <is>
          <t>VÄSTERNORRLANDS LÄN</t>
        </is>
      </c>
      <c r="G336" t="inlineStr">
        <is>
          <t>ÖRNSKÖLDSVIK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64714-2021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44512</v>
      </c>
      <c r="E337" s="1" t="n">
        <v>46321</v>
      </c>
      <c r="F337" t="inlineStr">
        <is>
          <t>VÄSTERNORRLANDS LÄN</t>
        </is>
      </c>
      <c r="G337" t="inlineStr">
        <is>
          <t>ÖRNSKÖLDSVIK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20600-2022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44700</v>
      </c>
      <c r="E338" s="1" t="n">
        <v>46321</v>
      </c>
      <c r="F338" t="inlineStr">
        <is>
          <t>VÄSTERNORRLANDS LÄN</t>
        </is>
      </c>
      <c r="G338" t="inlineStr">
        <is>
          <t>ÖRNSKÖLDSVIK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20127-2022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44698</v>
      </c>
      <c r="E339" s="1" t="n">
        <v>46321</v>
      </c>
      <c r="F339" t="inlineStr">
        <is>
          <t>VÄSTERNORRLANDS LÄN</t>
        </is>
      </c>
      <c r="G339" t="inlineStr">
        <is>
          <t>ÖRNSKÖLDSVIK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64018-2021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44510</v>
      </c>
      <c r="E340" s="1" t="n">
        <v>46321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70885-2021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44537</v>
      </c>
      <c r="E341" s="1" t="n">
        <v>46321</v>
      </c>
      <c r="F341" t="inlineStr">
        <is>
          <t>VÄSTERNORRLANDS LÄN</t>
        </is>
      </c>
      <c r="G341" t="inlineStr">
        <is>
          <t>ÖRNSKÖLDSVIK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44961-2022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44841</v>
      </c>
      <c r="E342" s="1" t="n">
        <v>46321</v>
      </c>
      <c r="F342" t="inlineStr">
        <is>
          <t>VÄSTERNORRLANDS LÄN</t>
        </is>
      </c>
      <c r="G342" t="inlineStr">
        <is>
          <t>ÖRNSKÖLDSVIK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38366-2022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44812</v>
      </c>
      <c r="E343" s="1" t="n">
        <v>46321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24202-2022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44725</v>
      </c>
      <c r="E344" s="1" t="n">
        <v>46321</v>
      </c>
      <c r="F344" t="inlineStr">
        <is>
          <t>VÄSTERNORRLANDS LÄN</t>
        </is>
      </c>
      <c r="G344" t="inlineStr">
        <is>
          <t>ÖRNSKÖLDSVIK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44862</v>
      </c>
      <c r="E345" s="1" t="n">
        <v>46321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16.6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22749-2022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44714</v>
      </c>
      <c r="E346" s="1" t="n">
        <v>46321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6594-2022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44601</v>
      </c>
      <c r="E347" s="1" t="n">
        <v>46321</v>
      </c>
      <c r="F347" t="inlineStr">
        <is>
          <t>VÄSTERNORRLANDS LÄN</t>
        </is>
      </c>
      <c r="G347" t="inlineStr">
        <is>
          <t>ÖRNSKÖLDSVIK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44699</v>
      </c>
      <c r="E348" s="1" t="n">
        <v>46321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44805</v>
      </c>
      <c r="E349" s="1" t="n">
        <v>46321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36151-2022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44803</v>
      </c>
      <c r="E350" s="1" t="n">
        <v>46321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64707-2021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44512</v>
      </c>
      <c r="E351" s="1" t="n">
        <v>46321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44568</v>
      </c>
      <c r="E352" s="1" t="n">
        <v>46321</v>
      </c>
      <c r="F352" t="inlineStr">
        <is>
          <t>VÄSTERNORRLANDS LÄN</t>
        </is>
      </c>
      <c r="G352" t="inlineStr">
        <is>
          <t>ÖRNSKÖLDSVIK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64116-2021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44509</v>
      </c>
      <c r="E353" s="1" t="n">
        <v>46321</v>
      </c>
      <c r="F353" t="inlineStr">
        <is>
          <t>VÄSTERNORRLANDS LÄN</t>
        </is>
      </c>
      <c r="G353" t="inlineStr">
        <is>
          <t>ÖRNSKÖLDSVIK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67865-2021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44525</v>
      </c>
      <c r="E354" s="1" t="n">
        <v>46321</v>
      </c>
      <c r="F354" t="inlineStr">
        <is>
          <t>VÄSTERNORRLANDS LÄN</t>
        </is>
      </c>
      <c r="G354" t="inlineStr">
        <is>
          <t>ÖRNSKÖLDSVIK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47830-2022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44855</v>
      </c>
      <c r="E355" s="1" t="n">
        <v>46321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70581-2021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44537</v>
      </c>
      <c r="E356" s="1" t="n">
        <v>46321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60612-2021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44495</v>
      </c>
      <c r="E357" s="1" t="n">
        <v>46321</v>
      </c>
      <c r="F357" t="inlineStr">
        <is>
          <t>VÄSTERNORRLANDS LÄN</t>
        </is>
      </c>
      <c r="G357" t="inlineStr">
        <is>
          <t>ÖRNSKÖLDSVIK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20470-2022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44699</v>
      </c>
      <c r="E358" s="1" t="n">
        <v>46321</v>
      </c>
      <c r="F358" t="inlineStr">
        <is>
          <t>VÄSTERNORRLANDS LÄN</t>
        </is>
      </c>
      <c r="G358" t="inlineStr">
        <is>
          <t>ÖRNSKÖLDSVIK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16477-2022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44671</v>
      </c>
      <c r="E359" s="1" t="n">
        <v>46321</v>
      </c>
      <c r="F359" t="inlineStr">
        <is>
          <t>VÄSTERNORRLANDS LÄN</t>
        </is>
      </c>
      <c r="G359" t="inlineStr">
        <is>
          <t>ÖRNSKÖLDSVIK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27368-2022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44742</v>
      </c>
      <c r="E360" s="1" t="n">
        <v>46321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24569-2022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44726</v>
      </c>
      <c r="E361" s="1" t="n">
        <v>46321</v>
      </c>
      <c r="F361" t="inlineStr">
        <is>
          <t>VÄSTERNORRLANDS LÄN</t>
        </is>
      </c>
      <c r="G361" t="inlineStr">
        <is>
          <t>ÖRNSKÖLDSVIK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48457-2022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44858</v>
      </c>
      <c r="E362" s="1" t="n">
        <v>46321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50732-2022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44862</v>
      </c>
      <c r="E363" s="1" t="n">
        <v>46321</v>
      </c>
      <c r="F363" t="inlineStr">
        <is>
          <t>VÄSTERNORRLANDS LÄN</t>
        </is>
      </c>
      <c r="G363" t="inlineStr">
        <is>
          <t>ÖRNSKÖLDSVIK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12960-2022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44642</v>
      </c>
      <c r="E364" s="1" t="n">
        <v>46321</v>
      </c>
      <c r="F364" t="inlineStr">
        <is>
          <t>VÄSTERNORRLANDS LÄN</t>
        </is>
      </c>
      <c r="G364" t="inlineStr">
        <is>
          <t>ÖRNSKÖLDSVIK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26647-2022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44739</v>
      </c>
      <c r="E365" s="1" t="n">
        <v>46321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18074-2022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44684</v>
      </c>
      <c r="E366" s="1" t="n">
        <v>46321</v>
      </c>
      <c r="F366" t="inlineStr">
        <is>
          <t>VÄSTERNORRLANDS LÄN</t>
        </is>
      </c>
      <c r="G366" t="inlineStr">
        <is>
          <t>ÖRNSKÖLDSVIK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20096-2022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44698</v>
      </c>
      <c r="E367" s="1" t="n">
        <v>46321</v>
      </c>
      <c r="F367" t="inlineStr">
        <is>
          <t>VÄSTERNORRLANDS LÄN</t>
        </is>
      </c>
      <c r="G367" t="inlineStr">
        <is>
          <t>ÖRNSKÖLDSVIK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44706</v>
      </c>
      <c r="E368" s="1" t="n">
        <v>46321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22077-2022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46321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67834-2021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44525</v>
      </c>
      <c r="E370" s="1" t="n">
        <v>46321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59660-2021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44494</v>
      </c>
      <c r="E371" s="1" t="n">
        <v>46321</v>
      </c>
      <c r="F371" t="inlineStr">
        <is>
          <t>VÄSTERNORRLANDS LÄN</t>
        </is>
      </c>
      <c r="G371" t="inlineStr">
        <is>
          <t>ÖRNSKÖLDSVIK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44594</v>
      </c>
      <c r="E372" s="1" t="n">
        <v>46321</v>
      </c>
      <c r="F372" t="inlineStr">
        <is>
          <t>VÄSTERNORRLANDS LÄN</t>
        </is>
      </c>
      <c r="G372" t="inlineStr">
        <is>
          <t>ÖRNSKÖLDSVIK</t>
        </is>
      </c>
      <c r="I372" t="n">
        <v>22.3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65317-2021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44515</v>
      </c>
      <c r="E373" s="1" t="n">
        <v>46321</v>
      </c>
      <c r="F373" t="inlineStr">
        <is>
          <t>VÄSTERNORRLANDS LÄN</t>
        </is>
      </c>
      <c r="G373" t="inlineStr">
        <is>
          <t>ÖRNSKÖLDSVIK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72876-2021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44547</v>
      </c>
      <c r="E374" s="1" t="n">
        <v>46321</v>
      </c>
      <c r="F374" t="inlineStr">
        <is>
          <t>VÄSTERNORRLANDS LÄN</t>
        </is>
      </c>
      <c r="G374" t="inlineStr">
        <is>
          <t>ÖRNSKÖLDSVIK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39078-2025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46321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45160</v>
      </c>
      <c r="E376" s="1" t="n">
        <v>46321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68152-2021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44526</v>
      </c>
      <c r="E377" s="1" t="n">
        <v>46321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47922-2022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44855</v>
      </c>
      <c r="E378" s="1" t="n">
        <v>46321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11308-2024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45371</v>
      </c>
      <c r="E379" s="1" t="n">
        <v>46321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Kyrkan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39050-2025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46321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38983-2025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46321</v>
      </c>
      <c r="F381" t="inlineStr">
        <is>
          <t>VÄSTERNORRLANDS LÄN</t>
        </is>
      </c>
      <c r="G381" t="inlineStr">
        <is>
          <t>ÖRNSKÖLDSVIK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45887</v>
      </c>
      <c r="E382" s="1" t="n">
        <v>46321</v>
      </c>
      <c r="F382" t="inlineStr">
        <is>
          <t>VÄSTERNORRLANDS LÄN</t>
        </is>
      </c>
      <c r="G382" t="inlineStr">
        <is>
          <t>ÖRNSKÖLDSVIK</t>
        </is>
      </c>
      <c r="I382" t="n">
        <v>14.4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47836-2022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44855</v>
      </c>
      <c r="E383" s="1" t="n">
        <v>46321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45887</v>
      </c>
      <c r="E384" s="1" t="n">
        <v>46321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6.8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38798-2025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45887</v>
      </c>
      <c r="E385" s="1" t="n">
        <v>46321</v>
      </c>
      <c r="F385" t="inlineStr">
        <is>
          <t>VÄSTERNORRLANDS LÄN</t>
        </is>
      </c>
      <c r="G385" t="inlineStr">
        <is>
          <t>ÖRNSKÖLDSVIK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38821-2025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45887</v>
      </c>
      <c r="E386" s="1" t="n">
        <v>46321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38884-2025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45887</v>
      </c>
      <c r="E387" s="1" t="n">
        <v>46321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60450-2021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44496</v>
      </c>
      <c r="E388" s="1" t="n">
        <v>46321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58358-2022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44901</v>
      </c>
      <c r="E389" s="1" t="n">
        <v>46321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45302</v>
      </c>
      <c r="E390" s="1" t="n">
        <v>46321</v>
      </c>
      <c r="F390" t="inlineStr">
        <is>
          <t>VÄSTERNORRLANDS LÄN</t>
        </is>
      </c>
      <c r="G390" t="inlineStr">
        <is>
          <t>ÖRNSKÖLDSVIK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39636-2024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45552</v>
      </c>
      <c r="E391" s="1" t="n">
        <v>46321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SCA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33242-2023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45114</v>
      </c>
      <c r="E392" s="1" t="n">
        <v>46321</v>
      </c>
      <c r="F392" t="inlineStr">
        <is>
          <t>VÄSTERNORRLANDS LÄN</t>
        </is>
      </c>
      <c r="G392" t="inlineStr">
        <is>
          <t>ÖRNSKÖLDSVIK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10482-2025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45721</v>
      </c>
      <c r="E393" s="1" t="n">
        <v>46321</v>
      </c>
      <c r="F393" t="inlineStr">
        <is>
          <t>VÄSTERNORRLANDS LÄN</t>
        </is>
      </c>
      <c r="G393" t="inlineStr">
        <is>
          <t>ÖRNSKÖLDSVIK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45888</v>
      </c>
      <c r="E394" s="1" t="n">
        <v>46321</v>
      </c>
      <c r="F394" t="inlineStr">
        <is>
          <t>VÄSTERNORRLANDS LÄN</t>
        </is>
      </c>
      <c r="G394" t="inlineStr">
        <is>
          <t>ÖRNSKÖLDSVIK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39236-2025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45888</v>
      </c>
      <c r="E395" s="1" t="n">
        <v>46321</v>
      </c>
      <c r="F395" t="inlineStr">
        <is>
          <t>VÄSTERNORRLANDS LÄN</t>
        </is>
      </c>
      <c r="G395" t="inlineStr">
        <is>
          <t>ÖRNSKÖLDSVIK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45579</v>
      </c>
      <c r="E396" s="1" t="n">
        <v>46321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19519-2023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45050</v>
      </c>
      <c r="E397" s="1" t="n">
        <v>46321</v>
      </c>
      <c r="F397" t="inlineStr">
        <is>
          <t>VÄSTERNORRLANDS LÄN</t>
        </is>
      </c>
      <c r="G397" t="inlineStr">
        <is>
          <t>ÖRNSKÖLDSVIK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21445-2025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45782</v>
      </c>
      <c r="E398" s="1" t="n">
        <v>46321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32756-2022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44783</v>
      </c>
      <c r="E399" s="1" t="n">
        <v>46321</v>
      </c>
      <c r="F399" t="inlineStr">
        <is>
          <t>VÄSTERNORRLANDS LÄN</t>
        </is>
      </c>
      <c r="G399" t="inlineStr">
        <is>
          <t>ÖRNSKÖLDSVIK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46989-2024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45586</v>
      </c>
      <c r="E400" s="1" t="n">
        <v>46321</v>
      </c>
      <c r="F400" t="inlineStr">
        <is>
          <t>VÄSTERNORRLANDS LÄN</t>
        </is>
      </c>
      <c r="G400" t="inlineStr">
        <is>
          <t>ÖRNSKÖLDSVIK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39200-2025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45888</v>
      </c>
      <c r="E401" s="1" t="n">
        <v>46321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9.699999999999999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45890</v>
      </c>
      <c r="E402" s="1" t="n">
        <v>46321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20.8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47016-2024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45586</v>
      </c>
      <c r="E403" s="1" t="n">
        <v>46321</v>
      </c>
      <c r="F403" t="inlineStr">
        <is>
          <t>VÄSTERNORRLANDS LÄN</t>
        </is>
      </c>
      <c r="G403" t="inlineStr">
        <is>
          <t>ÖRNSKÖLDSVIK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48701-2024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45593</v>
      </c>
      <c r="E404" s="1" t="n">
        <v>46321</v>
      </c>
      <c r="F404" t="inlineStr">
        <is>
          <t>VÄSTERNORRLANDS LÄN</t>
        </is>
      </c>
      <c r="G404" t="inlineStr">
        <is>
          <t>ÖRNSKÖLDSVIK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39423-2025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45889</v>
      </c>
      <c r="E405" s="1" t="n">
        <v>46321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48199-2023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45205</v>
      </c>
      <c r="E406" s="1" t="n">
        <v>46321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10700-2023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44988</v>
      </c>
      <c r="E407" s="1" t="n">
        <v>46321</v>
      </c>
      <c r="F407" t="inlineStr">
        <is>
          <t>VÄSTERNORRLANDS LÄN</t>
        </is>
      </c>
      <c r="G407" t="inlineStr">
        <is>
          <t>ÖRNSKÖLDSVIK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38364-2025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45883</v>
      </c>
      <c r="E408" s="1" t="n">
        <v>46321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39214-2025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45888</v>
      </c>
      <c r="E409" s="1" t="n">
        <v>46321</v>
      </c>
      <c r="F409" t="inlineStr">
        <is>
          <t>VÄSTERNORRLANDS LÄN</t>
        </is>
      </c>
      <c r="G409" t="inlineStr">
        <is>
          <t>ÖRNSKÖLDSVIK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64987-2021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44514</v>
      </c>
      <c r="E410" s="1" t="n">
        <v>46321</v>
      </c>
      <c r="F410" t="inlineStr">
        <is>
          <t>VÄSTERNORRLANDS LÄN</t>
        </is>
      </c>
      <c r="G410" t="inlineStr">
        <is>
          <t>ÖRNSKÖLDSVIK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27163-2022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44741</v>
      </c>
      <c r="E411" s="1" t="n">
        <v>46321</v>
      </c>
      <c r="F411" t="inlineStr">
        <is>
          <t>VÄSTERNORRLANDS LÄN</t>
        </is>
      </c>
      <c r="G411" t="inlineStr">
        <is>
          <t>ÖRNSKÖLDSVIK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44746</v>
      </c>
      <c r="E412" s="1" t="n">
        <v>46321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42578-2024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45565</v>
      </c>
      <c r="E413" s="1" t="n">
        <v>46321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45826</v>
      </c>
      <c r="E414" s="1" t="n">
        <v>46321</v>
      </c>
      <c r="F414" t="inlineStr">
        <is>
          <t>VÄSTERNORRLANDS LÄN</t>
        </is>
      </c>
      <c r="G414" t="inlineStr">
        <is>
          <t>ÖRNSKÖLDSVIK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9772-2024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45362</v>
      </c>
      <c r="E415" s="1" t="n">
        <v>46321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40205-2025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45894</v>
      </c>
      <c r="E416" s="1" t="n">
        <v>46321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57567-2022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44896</v>
      </c>
      <c r="E417" s="1" t="n">
        <v>46321</v>
      </c>
      <c r="F417" t="inlineStr">
        <is>
          <t>VÄSTERNORRLANDS LÄN</t>
        </is>
      </c>
      <c r="G417" t="inlineStr">
        <is>
          <t>ÖRNSKÖLDSVIK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45337</v>
      </c>
      <c r="E418" s="1" t="n">
        <v>46321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SCA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61661-2022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44916</v>
      </c>
      <c r="E419" s="1" t="n">
        <v>46321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SCA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45894</v>
      </c>
      <c r="E420" s="1" t="n">
        <v>46321</v>
      </c>
      <c r="F420" t="inlineStr">
        <is>
          <t>VÄSTERNORRLANDS LÄN</t>
        </is>
      </c>
      <c r="G420" t="inlineStr">
        <is>
          <t>ÖRNSKÖLDSVIK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45894</v>
      </c>
      <c r="E421" s="1" t="n">
        <v>46321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38566-2023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45162</v>
      </c>
      <c r="E422" s="1" t="n">
        <v>46321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39294-2023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45162</v>
      </c>
      <c r="E423" s="1" t="n">
        <v>46321</v>
      </c>
      <c r="F423" t="inlineStr">
        <is>
          <t>VÄSTERNORRLANDS LÄN</t>
        </is>
      </c>
      <c r="G423" t="inlineStr">
        <is>
          <t>ÖRNSKÖLDSVIK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51565-2024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45604</v>
      </c>
      <c r="E424" s="1" t="n">
        <v>46321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50217-2022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44865</v>
      </c>
      <c r="E425" s="1" t="n">
        <v>46321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24.6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40252-2025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45895</v>
      </c>
      <c r="E426" s="1" t="n">
        <v>46321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45895</v>
      </c>
      <c r="E427" s="1" t="n">
        <v>46321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40516-2025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45896</v>
      </c>
      <c r="E428" s="1" t="n">
        <v>46321</v>
      </c>
      <c r="F428" t="inlineStr">
        <is>
          <t>VÄSTERNORRLANDS LÄN</t>
        </is>
      </c>
      <c r="G428" t="inlineStr">
        <is>
          <t>ÖRNSKÖLDSVIK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25189-2024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45462</v>
      </c>
      <c r="E429" s="1" t="n">
        <v>46321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44564</v>
      </c>
      <c r="E430" s="1" t="n">
        <v>46321</v>
      </c>
      <c r="F430" t="inlineStr">
        <is>
          <t>VÄSTERNORRLANDS LÄN</t>
        </is>
      </c>
      <c r="G430" t="inlineStr">
        <is>
          <t>ÖRNSKÖLDSVIK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57320-2022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44896</v>
      </c>
      <c r="E431" s="1" t="n">
        <v>46321</v>
      </c>
      <c r="F431" t="inlineStr">
        <is>
          <t>VÄSTERNORRLANDS LÄN</t>
        </is>
      </c>
      <c r="G431" t="inlineStr">
        <is>
          <t>ÖRNSKÖLDSVIK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63044-2023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45272</v>
      </c>
      <c r="E432" s="1" t="n">
        <v>46321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Övriga Aktiebolag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41103-2025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45898</v>
      </c>
      <c r="E433" s="1" t="n">
        <v>46321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57498-2022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44896</v>
      </c>
      <c r="E434" s="1" t="n">
        <v>46321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51972-2023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45216</v>
      </c>
      <c r="E435" s="1" t="n">
        <v>46321</v>
      </c>
      <c r="F435" t="inlineStr">
        <is>
          <t>VÄSTERNORRLANDS LÄN</t>
        </is>
      </c>
      <c r="G435" t="inlineStr">
        <is>
          <t>ÖRNSKÖLDSVIK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41143-2025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45898</v>
      </c>
      <c r="E436" s="1" t="n">
        <v>46321</v>
      </c>
      <c r="F436" t="inlineStr">
        <is>
          <t>VÄSTERNORRLANDS LÄN</t>
        </is>
      </c>
      <c r="G436" t="inlineStr">
        <is>
          <t>ÖRNSKÖLDSVIK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3173-2024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46321</v>
      </c>
      <c r="F437" t="inlineStr">
        <is>
          <t>VÄSTERNORRLANDS LÄN</t>
        </is>
      </c>
      <c r="G437" t="inlineStr">
        <is>
          <t>ÖRNSKÖLDSVIK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45667</v>
      </c>
      <c r="E438" s="1" t="n">
        <v>46321</v>
      </c>
      <c r="F438" t="inlineStr">
        <is>
          <t>VÄSTERNORRLANDS LÄN</t>
        </is>
      </c>
      <c r="G438" t="inlineStr">
        <is>
          <t>ÖRNSKÖLDSVIK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43176-2022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44834</v>
      </c>
      <c r="E439" s="1" t="n">
        <v>46321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19.8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40825-2025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45897</v>
      </c>
      <c r="E440" s="1" t="n">
        <v>46321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41067-2025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45898</v>
      </c>
      <c r="E441" s="1" t="n">
        <v>46321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48486-2023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45206</v>
      </c>
      <c r="E442" s="1" t="n">
        <v>46321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SCA</t>
        </is>
      </c>
      <c r="I442" t="n">
        <v>8.5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48523-2023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45208</v>
      </c>
      <c r="E443" s="1" t="n">
        <v>46321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11749-2025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45727</v>
      </c>
      <c r="E444" s="1" t="n">
        <v>46321</v>
      </c>
      <c r="F444" t="inlineStr">
        <is>
          <t>VÄSTERNORRLANDS LÄN</t>
        </is>
      </c>
      <c r="G444" t="inlineStr">
        <is>
          <t>ÖRNSKÖLDSVIK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38501-2025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45884</v>
      </c>
      <c r="E445" s="1" t="n">
        <v>46321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9.699999999999999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68748-2021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44529</v>
      </c>
      <c r="E446" s="1" t="n">
        <v>46321</v>
      </c>
      <c r="F446" t="inlineStr">
        <is>
          <t>VÄSTERNORRLANDS LÄN</t>
        </is>
      </c>
      <c r="G446" t="inlineStr">
        <is>
          <t>ÖRNSKÖLDSVIK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28827-2023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45104</v>
      </c>
      <c r="E447" s="1" t="n">
        <v>46321</v>
      </c>
      <c r="F447" t="inlineStr">
        <is>
          <t>VÄSTERNORRLANDS LÄN</t>
        </is>
      </c>
      <c r="G447" t="inlineStr">
        <is>
          <t>ÖRNSKÖLDSVIK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48913-2023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45204</v>
      </c>
      <c r="E448" s="1" t="n">
        <v>46321</v>
      </c>
      <c r="F448" t="inlineStr">
        <is>
          <t>VÄSTERNORRLANDS LÄN</t>
        </is>
      </c>
      <c r="G448" t="inlineStr">
        <is>
          <t>ÖRNSKÖLDSVIK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34545-2022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44793</v>
      </c>
      <c r="E449" s="1" t="n">
        <v>46321</v>
      </c>
      <c r="F449" t="inlineStr">
        <is>
          <t>VÄSTERNORRLANDS LÄN</t>
        </is>
      </c>
      <c r="G449" t="inlineStr">
        <is>
          <t>ÖRNSKÖLDSVIK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38606-2025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45884</v>
      </c>
      <c r="E450" s="1" t="n">
        <v>46321</v>
      </c>
      <c r="F450" t="inlineStr">
        <is>
          <t>VÄSTERNORRLANDS LÄN</t>
        </is>
      </c>
      <c r="G450" t="inlineStr">
        <is>
          <t>ÖRNSKÖLDSVIK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11804-2024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45375</v>
      </c>
      <c r="E451" s="1" t="n">
        <v>46321</v>
      </c>
      <c r="F451" t="inlineStr">
        <is>
          <t>VÄSTERNORRLANDS LÄN</t>
        </is>
      </c>
      <c r="G451" t="inlineStr">
        <is>
          <t>ÖRNSKÖLDSVIK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9474-2023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44977</v>
      </c>
      <c r="E452" s="1" t="n">
        <v>46321</v>
      </c>
      <c r="F452" t="inlineStr">
        <is>
          <t>VÄSTERNORRLANDS LÄN</t>
        </is>
      </c>
      <c r="G452" t="inlineStr">
        <is>
          <t>ÖRNSKÖLDSVIK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41545-2025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45901</v>
      </c>
      <c r="E453" s="1" t="n">
        <v>46321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41489-2025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45901</v>
      </c>
      <c r="E454" s="1" t="n">
        <v>46321</v>
      </c>
      <c r="F454" t="inlineStr">
        <is>
          <t>VÄSTERNORRLANDS LÄN</t>
        </is>
      </c>
      <c r="G454" t="inlineStr">
        <is>
          <t>ÖRNSKÖLDSVIK</t>
        </is>
      </c>
      <c r="I454" t="n">
        <v>8.800000000000001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47582-2023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45197</v>
      </c>
      <c r="E455" s="1" t="n">
        <v>46321</v>
      </c>
      <c r="F455" t="inlineStr">
        <is>
          <t>VÄSTERNORRLANDS LÄN</t>
        </is>
      </c>
      <c r="G455" t="inlineStr">
        <is>
          <t>ÖRNSKÖLDSVIK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10153-2025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46321</v>
      </c>
      <c r="F456" t="inlineStr">
        <is>
          <t>VÄSTERNORRLANDS LÄN</t>
        </is>
      </c>
      <c r="G456" t="inlineStr">
        <is>
          <t>ÖRNSKÖLDSVIK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54714-2022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46321</v>
      </c>
      <c r="F457" t="inlineStr">
        <is>
          <t>VÄSTERNORRLANDS LÄN</t>
        </is>
      </c>
      <c r="G457" t="inlineStr">
        <is>
          <t>ÖRNSKÖLDSVIK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62593-2023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45271</v>
      </c>
      <c r="E458" s="1" t="n">
        <v>46321</v>
      </c>
      <c r="F458" t="inlineStr">
        <is>
          <t>VÄSTERNORRLANDS LÄN</t>
        </is>
      </c>
      <c r="G458" t="inlineStr">
        <is>
          <t>ÖRNSKÖLDSVIK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42254-2025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45904</v>
      </c>
      <c r="E459" s="1" t="n">
        <v>46321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42239-2025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45904</v>
      </c>
      <c r="E460" s="1" t="n">
        <v>46321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42299-2025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45904</v>
      </c>
      <c r="E461" s="1" t="n">
        <v>46321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41894-2025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45903</v>
      </c>
      <c r="E462" s="1" t="n">
        <v>46321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44782</v>
      </c>
      <c r="E463" s="1" t="n">
        <v>46321</v>
      </c>
      <c r="F463" t="inlineStr">
        <is>
          <t>VÄSTERNORRLANDS LÄN</t>
        </is>
      </c>
      <c r="G463" t="inlineStr">
        <is>
          <t>ÖRNSKÖLDSVIK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41931-2025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45903</v>
      </c>
      <c r="E464" s="1" t="n">
        <v>46321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22631-2024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45447</v>
      </c>
      <c r="E465" s="1" t="n">
        <v>46321</v>
      </c>
      <c r="F465" t="inlineStr">
        <is>
          <t>VÄSTERNORRLANDS LÄN</t>
        </is>
      </c>
      <c r="G465" t="inlineStr">
        <is>
          <t>ÖRNSKÖLDSVIK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41903-2025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45903</v>
      </c>
      <c r="E466" s="1" t="n">
        <v>46321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44490-2022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44840</v>
      </c>
      <c r="E467" s="1" t="n">
        <v>46321</v>
      </c>
      <c r="F467" t="inlineStr">
        <is>
          <t>VÄSTERNORRLANDS LÄN</t>
        </is>
      </c>
      <c r="G467" t="inlineStr">
        <is>
          <t>ÖRNSKÖLDSVIK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37524-2024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45541</v>
      </c>
      <c r="E468" s="1" t="n">
        <v>46321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42080-2025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45903</v>
      </c>
      <c r="E469" s="1" t="n">
        <v>46321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50562-2022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44862</v>
      </c>
      <c r="E470" s="1" t="n">
        <v>46321</v>
      </c>
      <c r="F470" t="inlineStr">
        <is>
          <t>VÄSTERNORRLANDS LÄN</t>
        </is>
      </c>
      <c r="G470" t="inlineStr">
        <is>
          <t>ÖRNSKÖLDSVIK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24487-2023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46321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42034-2025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45903</v>
      </c>
      <c r="E472" s="1" t="n">
        <v>46321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42164-2025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45904</v>
      </c>
      <c r="E473" s="1" t="n">
        <v>46321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56306-2024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45624</v>
      </c>
      <c r="E474" s="1" t="n">
        <v>46321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SCA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48979-2023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45209</v>
      </c>
      <c r="E475" s="1" t="n">
        <v>46321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48605-2024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45593</v>
      </c>
      <c r="E476" s="1" t="n">
        <v>46321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42450-2025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45905</v>
      </c>
      <c r="E477" s="1" t="n">
        <v>46321</v>
      </c>
      <c r="F477" t="inlineStr">
        <is>
          <t>VÄSTERNORRLANDS LÄN</t>
        </is>
      </c>
      <c r="G477" t="inlineStr">
        <is>
          <t>ÖRNSKÖLDSVIK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42451-2025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45905</v>
      </c>
      <c r="E478" s="1" t="n">
        <v>46321</v>
      </c>
      <c r="F478" t="inlineStr">
        <is>
          <t>VÄSTERNORRLANDS LÄN</t>
        </is>
      </c>
      <c r="G478" t="inlineStr">
        <is>
          <t>ÖRNSKÖLDSVIK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42700-2025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45908</v>
      </c>
      <c r="E479" s="1" t="n">
        <v>46321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SCA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48001-2023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46321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42699-2025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45908</v>
      </c>
      <c r="E481" s="1" t="n">
        <v>46321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SCA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53371-2023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45229</v>
      </c>
      <c r="E482" s="1" t="n">
        <v>46321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43906-2024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45572</v>
      </c>
      <c r="E483" s="1" t="n">
        <v>46321</v>
      </c>
      <c r="F483" t="inlineStr">
        <is>
          <t>VÄSTERNORRLANDS LÄN</t>
        </is>
      </c>
      <c r="G483" t="inlineStr">
        <is>
          <t>ÖRNSKÖLDSVIK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42418-2025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45905</v>
      </c>
      <c r="E484" s="1" t="n">
        <v>46321</v>
      </c>
      <c r="F484" t="inlineStr">
        <is>
          <t>VÄSTERNORRLANDS LÄN</t>
        </is>
      </c>
      <c r="G484" t="inlineStr">
        <is>
          <t>ÖRNSKÖLDSVIK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43023-2025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45909</v>
      </c>
      <c r="E485" s="1" t="n">
        <v>46321</v>
      </c>
      <c r="F485" t="inlineStr">
        <is>
          <t>VÄSTERNORRLANDS LÄN</t>
        </is>
      </c>
      <c r="G485" t="inlineStr">
        <is>
          <t>ÖRNSKÖLDSVIK</t>
        </is>
      </c>
      <c r="I485" t="n">
        <v>8.4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54599-2024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45617</v>
      </c>
      <c r="E486" s="1" t="n">
        <v>46321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45682</v>
      </c>
      <c r="E487" s="1" t="n">
        <v>46321</v>
      </c>
      <c r="F487" t="inlineStr">
        <is>
          <t>VÄSTERNORRLANDS LÄN</t>
        </is>
      </c>
      <c r="G487" t="inlineStr">
        <is>
          <t>ÖRNSKÖLDSVIK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802-2024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45300</v>
      </c>
      <c r="E488" s="1" t="n">
        <v>46321</v>
      </c>
      <c r="F488" t="inlineStr">
        <is>
          <t>VÄSTERNORRLANDS LÄN</t>
        </is>
      </c>
      <c r="G488" t="inlineStr">
        <is>
          <t>ÖRNSKÖLDSVIK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43105-2025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45909</v>
      </c>
      <c r="E489" s="1" t="n">
        <v>46321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45211</v>
      </c>
      <c r="E490" s="1" t="n">
        <v>46321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34309-2022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44792</v>
      </c>
      <c r="E491" s="1" t="n">
        <v>46321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43035-2025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45909</v>
      </c>
      <c r="E492" s="1" t="n">
        <v>46321</v>
      </c>
      <c r="F492" t="inlineStr">
        <is>
          <t>VÄSTERNORRLANDS LÄN</t>
        </is>
      </c>
      <c r="G492" t="inlineStr">
        <is>
          <t>ÖRNSKÖLDSVIK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50670-2025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45945</v>
      </c>
      <c r="E493" s="1" t="n">
        <v>46321</v>
      </c>
      <c r="F493" t="inlineStr">
        <is>
          <t>VÄSTERNORRLANDS LÄN</t>
        </is>
      </c>
      <c r="G493" t="inlineStr">
        <is>
          <t>ÖRNSKÖLDSVIK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18199-2023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45041</v>
      </c>
      <c r="E494" s="1" t="n">
        <v>46321</v>
      </c>
      <c r="F494" t="inlineStr">
        <is>
          <t>VÄSTERNORRLANDS LÄN</t>
        </is>
      </c>
      <c r="G494" t="inlineStr">
        <is>
          <t>ÖRNSKÖLDSVIK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61195-2024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45645</v>
      </c>
      <c r="E495" s="1" t="n">
        <v>46321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9.5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55868-2024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45623</v>
      </c>
      <c r="E496" s="1" t="n">
        <v>46321</v>
      </c>
      <c r="F496" t="inlineStr">
        <is>
          <t>VÄSTERNORRLANDS LÄN</t>
        </is>
      </c>
      <c r="G496" t="inlineStr">
        <is>
          <t>ÖRNSKÖLDSVIK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43053-2025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45909</v>
      </c>
      <c r="E497" s="1" t="n">
        <v>46321</v>
      </c>
      <c r="F497" t="inlineStr">
        <is>
          <t>VÄSTERNORRLANDS LÄN</t>
        </is>
      </c>
      <c r="G497" t="inlineStr">
        <is>
          <t>ÖRNSKÖLDSVIK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13427-2023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45005</v>
      </c>
      <c r="E498" s="1" t="n">
        <v>46321</v>
      </c>
      <c r="F498" t="inlineStr">
        <is>
          <t>VÄSTERNORRLANDS LÄN</t>
        </is>
      </c>
      <c r="G498" t="inlineStr">
        <is>
          <t>ÖRNSKÖLDSVIK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46035</v>
      </c>
      <c r="E499" s="1" t="n">
        <v>46321</v>
      </c>
      <c r="F499" t="inlineStr">
        <is>
          <t>VÄSTERNORRLANDS LÄN</t>
        </is>
      </c>
      <c r="G499" t="inlineStr">
        <is>
          <t>ÖRNSKÖLDSVIK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23014-2026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46161</v>
      </c>
      <c r="E500" s="1" t="n">
        <v>46321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43712-2025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45912</v>
      </c>
      <c r="E501" s="1" t="n">
        <v>46321</v>
      </c>
      <c r="F501" t="inlineStr">
        <is>
          <t>VÄSTERNORRLANDS LÄN</t>
        </is>
      </c>
      <c r="G501" t="inlineStr">
        <is>
          <t>ÖRNSKÖLDSVIK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35692-2025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45860</v>
      </c>
      <c r="E502" s="1" t="n">
        <v>46321</v>
      </c>
      <c r="F502" t="inlineStr">
        <is>
          <t>VÄSTERNORRLANDS LÄN</t>
        </is>
      </c>
      <c r="G502" t="inlineStr">
        <is>
          <t>ÖRNSKÖLDSVIK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43696-2025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45912</v>
      </c>
      <c r="E503" s="1" t="n">
        <v>46321</v>
      </c>
      <c r="F503" t="inlineStr">
        <is>
          <t>VÄSTERNORRLANDS LÄN</t>
        </is>
      </c>
      <c r="G503" t="inlineStr">
        <is>
          <t>ÖRNSKÖLDSVIK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38811-2022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44816</v>
      </c>
      <c r="E504" s="1" t="n">
        <v>46321</v>
      </c>
      <c r="F504" t="inlineStr">
        <is>
          <t>VÄSTERNORRLANDS LÄN</t>
        </is>
      </c>
      <c r="G504" t="inlineStr">
        <is>
          <t>ÖRNSKÖLDSVIK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46025</v>
      </c>
      <c r="E505" s="1" t="n">
        <v>46321</v>
      </c>
      <c r="F505" t="inlineStr">
        <is>
          <t>VÄSTERNORRLANDS LÄN</t>
        </is>
      </c>
      <c r="G505" t="inlineStr">
        <is>
          <t>ÖRNSKÖLDSVIK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43403-2025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45911</v>
      </c>
      <c r="E506" s="1" t="n">
        <v>46321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7.8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43417-2025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45911</v>
      </c>
      <c r="E507" s="1" t="n">
        <v>46321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SCA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43418-2025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45911</v>
      </c>
      <c r="E508" s="1" t="n">
        <v>46321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SCA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43810-2025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45912</v>
      </c>
      <c r="E509" s="1" t="n">
        <v>46321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44314-2025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45915</v>
      </c>
      <c r="E510" s="1" t="n">
        <v>46321</v>
      </c>
      <c r="F510" t="inlineStr">
        <is>
          <t>VÄSTERNORRLANDS LÄN</t>
        </is>
      </c>
      <c r="G510" t="inlineStr">
        <is>
          <t>ÖRNSKÖLDSVIK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48896-2024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45594</v>
      </c>
      <c r="E511" s="1" t="n">
        <v>46321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SCA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43927-2025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46321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23612-2026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46321</v>
      </c>
      <c r="F513" t="inlineStr">
        <is>
          <t>VÄSTERNORRLANDS LÄN</t>
        </is>
      </c>
      <c r="G513" t="inlineStr">
        <is>
          <t>ÖRNSKÖLDSVIK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44352-2025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45915</v>
      </c>
      <c r="E514" s="1" t="n">
        <v>46321</v>
      </c>
      <c r="F514" t="inlineStr">
        <is>
          <t>VÄSTERNORRLANDS LÄN</t>
        </is>
      </c>
      <c r="G514" t="inlineStr">
        <is>
          <t>ÖRNSKÖLDSVIK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44490-2025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45916</v>
      </c>
      <c r="E515" s="1" t="n">
        <v>46321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46321</v>
      </c>
      <c r="F516" t="inlineStr">
        <is>
          <t>VÄSTERNORRLANDS LÄN</t>
        </is>
      </c>
      <c r="G516" t="inlineStr">
        <is>
          <t>ÖRNSKÖLDSVIK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46164</v>
      </c>
      <c r="E517" s="1" t="n">
        <v>46321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SCA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44002-2025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45915</v>
      </c>
      <c r="E518" s="1" t="n">
        <v>46321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44008-2025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45915</v>
      </c>
      <c r="E519" s="1" t="n">
        <v>46321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44123-2025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45915</v>
      </c>
      <c r="E520" s="1" t="n">
        <v>46321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44222-2025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45915</v>
      </c>
      <c r="E521" s="1" t="n">
        <v>46321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29425-2023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45106</v>
      </c>
      <c r="E522" s="1" t="n">
        <v>46321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29428-2023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45106</v>
      </c>
      <c r="E523" s="1" t="n">
        <v>46321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29462-2023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45106</v>
      </c>
      <c r="E524" s="1" t="n">
        <v>46321</v>
      </c>
      <c r="F524" t="inlineStr">
        <is>
          <t>VÄSTERNORRLANDS LÄN</t>
        </is>
      </c>
      <c r="G524" t="inlineStr">
        <is>
          <t>ÖRNSKÖLDSVIK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44255-2025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45915</v>
      </c>
      <c r="E525" s="1" t="n">
        <v>46321</v>
      </c>
      <c r="F525" t="inlineStr">
        <is>
          <t>VÄSTERNORRLANDS LÄN</t>
        </is>
      </c>
      <c r="G525" t="inlineStr">
        <is>
          <t>ÖRNSKÖLDSVIK</t>
        </is>
      </c>
      <c r="I525" t="n">
        <v>8.5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56992-2024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45628</v>
      </c>
      <c r="E526" s="1" t="n">
        <v>46321</v>
      </c>
      <c r="F526" t="inlineStr">
        <is>
          <t>VÄSTERNORRLANDS LÄN</t>
        </is>
      </c>
      <c r="G526" t="inlineStr">
        <is>
          <t>ÖRNSKÖLDSVIK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23213-2026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46162</v>
      </c>
      <c r="E527" s="1" t="n">
        <v>46321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23730-2026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46163</v>
      </c>
      <c r="E528" s="1" t="n">
        <v>46321</v>
      </c>
      <c r="F528" t="inlineStr">
        <is>
          <t>VÄSTERNORRLANDS LÄN</t>
        </is>
      </c>
      <c r="G528" t="inlineStr">
        <is>
          <t>ÖRNSKÖLDSVIK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45026-2025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45918</v>
      </c>
      <c r="E529" s="1" t="n">
        <v>46321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23717-2026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46164</v>
      </c>
      <c r="E530" s="1" t="n">
        <v>46321</v>
      </c>
      <c r="F530" t="inlineStr">
        <is>
          <t>VÄSTERNORRLANDS LÄN</t>
        </is>
      </c>
      <c r="G530" t="inlineStr">
        <is>
          <t>ÖRNSKÖLDSVIK</t>
        </is>
      </c>
      <c r="I530" t="n">
        <v>13.3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17099-2023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45034</v>
      </c>
      <c r="E531" s="1" t="n">
        <v>46321</v>
      </c>
      <c r="F531" t="inlineStr">
        <is>
          <t>VÄSTERNORRLANDS LÄN</t>
        </is>
      </c>
      <c r="G531" t="inlineStr">
        <is>
          <t>ÖRNSKÖLDSVIK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23670-2026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46164</v>
      </c>
      <c r="E532" s="1" t="n">
        <v>46321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SCA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35269-2022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44798</v>
      </c>
      <c r="E533" s="1" t="n">
        <v>46321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Kyrkan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44738-2025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45917</v>
      </c>
      <c r="E534" s="1" t="n">
        <v>46321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44689-2025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45917</v>
      </c>
      <c r="E535" s="1" t="n">
        <v>46321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35416-2022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44798</v>
      </c>
      <c r="E536" s="1" t="n">
        <v>46321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44947-2025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45918</v>
      </c>
      <c r="E537" s="1" t="n">
        <v>46321</v>
      </c>
      <c r="F537" t="inlineStr">
        <is>
          <t>VÄSTERNORRLANDS LÄN</t>
        </is>
      </c>
      <c r="G537" t="inlineStr">
        <is>
          <t>ÖRNSKÖLDSVIK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44952-2025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45918</v>
      </c>
      <c r="E538" s="1" t="n">
        <v>46321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57120-2024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45629</v>
      </c>
      <c r="E539" s="1" t="n">
        <v>46321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24078-2026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46321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26706-2024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45470</v>
      </c>
      <c r="E541" s="1" t="n">
        <v>46321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45461-2025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45922</v>
      </c>
      <c r="E542" s="1" t="n">
        <v>46321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9.6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26776-2024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45470</v>
      </c>
      <c r="E543" s="1" t="n">
        <v>46321</v>
      </c>
      <c r="F543" t="inlineStr">
        <is>
          <t>VÄSTERNORRLANDS LÄN</t>
        </is>
      </c>
      <c r="G543" t="inlineStr">
        <is>
          <t>ÖRNSKÖLDSVIK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45095-2025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45919</v>
      </c>
      <c r="E544" s="1" t="n">
        <v>46321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SCA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45532-2025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45922</v>
      </c>
      <c r="E545" s="1" t="n">
        <v>46321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6.9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45220-2025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45919</v>
      </c>
      <c r="E546" s="1" t="n">
        <v>46321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5193-2025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45691</v>
      </c>
      <c r="E547" s="1" t="n">
        <v>46321</v>
      </c>
      <c r="F547" t="inlineStr">
        <is>
          <t>VÄSTERNORRLANDS LÄN</t>
        </is>
      </c>
      <c r="G547" t="inlineStr">
        <is>
          <t>ÖRNSKÖLDSVIK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4802-2025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45688</v>
      </c>
      <c r="E548" s="1" t="n">
        <v>46321</v>
      </c>
      <c r="F548" t="inlineStr">
        <is>
          <t>VÄSTERNORRLANDS LÄN</t>
        </is>
      </c>
      <c r="G548" t="inlineStr">
        <is>
          <t>ÖRNSKÖLDSVIK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46168</v>
      </c>
      <c r="E549" s="1" t="n">
        <v>46321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46321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45592-2025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45922</v>
      </c>
      <c r="E551" s="1" t="n">
        <v>46321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SCA</t>
        </is>
      </c>
      <c r="I551" t="n">
        <v>25.8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38745-2024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45547</v>
      </c>
      <c r="E552" s="1" t="n">
        <v>46321</v>
      </c>
      <c r="F552" t="inlineStr">
        <is>
          <t>VÄSTERNORRLANDS LÄN</t>
        </is>
      </c>
      <c r="G552" t="inlineStr">
        <is>
          <t>ÖRNSKÖLDSVIK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45229-2025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45919</v>
      </c>
      <c r="E553" s="1" t="n">
        <v>46321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4345-2024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45324</v>
      </c>
      <c r="E554" s="1" t="n">
        <v>46321</v>
      </c>
      <c r="F554" t="inlineStr">
        <is>
          <t>VÄSTERNORRLANDS LÄN</t>
        </is>
      </c>
      <c r="G554" t="inlineStr">
        <is>
          <t>ÖRNSKÖLDSVIK</t>
        </is>
      </c>
      <c r="I554" t="n">
        <v>9.1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45817-2025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45923</v>
      </c>
      <c r="E555" s="1" t="n">
        <v>46321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29151-2023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45105</v>
      </c>
      <c r="E556" s="1" t="n">
        <v>46321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44957</v>
      </c>
      <c r="E557" s="1" t="n">
        <v>46321</v>
      </c>
      <c r="F557" t="inlineStr">
        <is>
          <t>VÄSTERNORRLANDS LÄN</t>
        </is>
      </c>
      <c r="G557" t="inlineStr">
        <is>
          <t>ÖRNSKÖLDSVIK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45979-2025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45924</v>
      </c>
      <c r="E558" s="1" t="n">
        <v>46321</v>
      </c>
      <c r="F558" t="inlineStr">
        <is>
          <t>VÄSTERNORRLANDS LÄN</t>
        </is>
      </c>
      <c r="G558" t="inlineStr">
        <is>
          <t>ÖRNSKÖLDSVIK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46137-2025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45924</v>
      </c>
      <c r="E559" s="1" t="n">
        <v>46321</v>
      </c>
      <c r="F559" t="inlineStr">
        <is>
          <t>VÄSTERNORRLANDS LÄN</t>
        </is>
      </c>
      <c r="G559" t="inlineStr">
        <is>
          <t>ÖRNSKÖLDSVIK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54773-2024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46321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45975-2025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45924</v>
      </c>
      <c r="E561" s="1" t="n">
        <v>46321</v>
      </c>
      <c r="F561" t="inlineStr">
        <is>
          <t>VÄSTERNORRLANDS LÄN</t>
        </is>
      </c>
      <c r="G561" t="inlineStr">
        <is>
          <t>ÖRNSKÖLDSVIK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46082-2025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45924</v>
      </c>
      <c r="E562" s="1" t="n">
        <v>46321</v>
      </c>
      <c r="F562" t="inlineStr">
        <is>
          <t>VÄSTERNORRLANDS LÄN</t>
        </is>
      </c>
      <c r="G562" t="inlineStr">
        <is>
          <t>ÖRNSKÖLDSVIK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28788-2025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45820</v>
      </c>
      <c r="E563" s="1" t="n">
        <v>46321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45653-2025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45923</v>
      </c>
      <c r="E564" s="1" t="n">
        <v>46321</v>
      </c>
      <c r="F564" t="inlineStr">
        <is>
          <t>VÄSTERNORRLANDS LÄN</t>
        </is>
      </c>
      <c r="G564" t="inlineStr">
        <is>
          <t>ÖRNSKÖLDSVIK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46048-2025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45924</v>
      </c>
      <c r="E565" s="1" t="n">
        <v>46321</v>
      </c>
      <c r="F565" t="inlineStr">
        <is>
          <t>VÄSTERNORRLANDS LÄN</t>
        </is>
      </c>
      <c r="G565" t="inlineStr">
        <is>
          <t>ÖRNSKÖLDSVIK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46130-2025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45924</v>
      </c>
      <c r="E566" s="1" t="n">
        <v>46321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SCA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45880-2025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45923</v>
      </c>
      <c r="E567" s="1" t="n">
        <v>46321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46038-2025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45924</v>
      </c>
      <c r="E568" s="1" t="n">
        <v>46321</v>
      </c>
      <c r="F568" t="inlineStr">
        <is>
          <t>VÄSTERNORRLANDS LÄN</t>
        </is>
      </c>
      <c r="G568" t="inlineStr">
        <is>
          <t>ÖRNSKÖLDSVIK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46039-2025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45924</v>
      </c>
      <c r="E569" s="1" t="n">
        <v>46321</v>
      </c>
      <c r="F569" t="inlineStr">
        <is>
          <t>VÄSTERNORRLANDS LÄN</t>
        </is>
      </c>
      <c r="G569" t="inlineStr">
        <is>
          <t>ÖRNSKÖLDSVIK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46107-2025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45924</v>
      </c>
      <c r="E570" s="1" t="n">
        <v>46321</v>
      </c>
      <c r="F570" t="inlineStr">
        <is>
          <t>VÄSTERNORRLANDS LÄN</t>
        </is>
      </c>
      <c r="G570" t="inlineStr">
        <is>
          <t>ÖRNSKÖLDSVIK</t>
        </is>
      </c>
      <c r="I570" t="n">
        <v>12.2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46112-2025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45924</v>
      </c>
      <c r="E571" s="1" t="n">
        <v>46321</v>
      </c>
      <c r="F571" t="inlineStr">
        <is>
          <t>VÄSTERNORRLANDS LÄN</t>
        </is>
      </c>
      <c r="G571" t="inlineStr">
        <is>
          <t>ÖRNSKÖLDSVIK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45793-2025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45923</v>
      </c>
      <c r="E572" s="1" t="n">
        <v>46321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SCA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45652-2025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45923</v>
      </c>
      <c r="E573" s="1" t="n">
        <v>46321</v>
      </c>
      <c r="F573" t="inlineStr">
        <is>
          <t>VÄSTERNORRLANDS LÄN</t>
        </is>
      </c>
      <c r="G573" t="inlineStr">
        <is>
          <t>ÖRNSKÖLDSVIK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47948-2024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45589</v>
      </c>
      <c r="E574" s="1" t="n">
        <v>46321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35231-2023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45145</v>
      </c>
      <c r="E575" s="1" t="n">
        <v>46321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45667-2025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45923</v>
      </c>
      <c r="E576" s="1" t="n">
        <v>46321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24019-2026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46167</v>
      </c>
      <c r="E577" s="1" t="n">
        <v>46321</v>
      </c>
      <c r="F577" t="inlineStr">
        <is>
          <t>VÄSTERNORRLANDS LÄN</t>
        </is>
      </c>
      <c r="G577" t="inlineStr">
        <is>
          <t>ÖRNSKÖLDSVIK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27829-2022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44743</v>
      </c>
      <c r="E578" s="1" t="n">
        <v>46321</v>
      </c>
      <c r="F578" t="inlineStr">
        <is>
          <t>VÄSTERNORRLANDS LÄN</t>
        </is>
      </c>
      <c r="G578" t="inlineStr">
        <is>
          <t>ÖRNSKÖLDSVIK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18148-2023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45040</v>
      </c>
      <c r="E579" s="1" t="n">
        <v>46321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SCA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16489-2023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45027</v>
      </c>
      <c r="E580" s="1" t="n">
        <v>46321</v>
      </c>
      <c r="F580" t="inlineStr">
        <is>
          <t>VÄSTERNORRLANDS LÄN</t>
        </is>
      </c>
      <c r="G580" t="inlineStr">
        <is>
          <t>ÖRNSKÖLDSVIK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46619-2025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45926</v>
      </c>
      <c r="E581" s="1" t="n">
        <v>46321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46694-2025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45926</v>
      </c>
      <c r="E582" s="1" t="n">
        <v>46321</v>
      </c>
      <c r="F582" t="inlineStr">
        <is>
          <t>VÄSTERNORRLANDS LÄN</t>
        </is>
      </c>
      <c r="G582" t="inlineStr">
        <is>
          <t>ÖRNSKÖLDSVIK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46711-2025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45926</v>
      </c>
      <c r="E583" s="1" t="n">
        <v>46321</v>
      </c>
      <c r="F583" t="inlineStr">
        <is>
          <t>VÄSTERNORRLANDS LÄN</t>
        </is>
      </c>
      <c r="G583" t="inlineStr">
        <is>
          <t>ÖRNSKÖLDSVIK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46321</v>
      </c>
      <c r="F584" t="inlineStr">
        <is>
          <t>VÄSTERNORRLANDS LÄN</t>
        </is>
      </c>
      <c r="G584" t="inlineStr">
        <is>
          <t>ÖRNSKÖLDSVIK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49887-2024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45597</v>
      </c>
      <c r="E585" s="1" t="n">
        <v>46321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SCA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55165-2023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45237</v>
      </c>
      <c r="E586" s="1" t="n">
        <v>46321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46709-2025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45926</v>
      </c>
      <c r="E587" s="1" t="n">
        <v>46321</v>
      </c>
      <c r="F587" t="inlineStr">
        <is>
          <t>VÄSTERNORRLANDS LÄN</t>
        </is>
      </c>
      <c r="G587" t="inlineStr">
        <is>
          <t>ÖRNSKÖLDSVIK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40153-2024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45554</v>
      </c>
      <c r="E588" s="1" t="n">
        <v>46321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46734-2025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45926</v>
      </c>
      <c r="E589" s="1" t="n">
        <v>46321</v>
      </c>
      <c r="F589" t="inlineStr">
        <is>
          <t>VÄSTERNORRLANDS LÄN</t>
        </is>
      </c>
      <c r="G589" t="inlineStr">
        <is>
          <t>ÖRNSKÖLDSVIK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46321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59835-2024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45638</v>
      </c>
      <c r="E591" s="1" t="n">
        <v>46321</v>
      </c>
      <c r="F591" t="inlineStr">
        <is>
          <t>VÄSTERNORRLANDS LÄN</t>
        </is>
      </c>
      <c r="G591" t="inlineStr">
        <is>
          <t>ÖRNSKÖLDSVIK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14761-2025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45742</v>
      </c>
      <c r="E592" s="1" t="n">
        <v>46321</v>
      </c>
      <c r="F592" t="inlineStr">
        <is>
          <t>VÄSTERNORRLANDS LÄN</t>
        </is>
      </c>
      <c r="G592" t="inlineStr">
        <is>
          <t>ÖRNSKÖLDSVIK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46169</v>
      </c>
      <c r="E593" s="1" t="n">
        <v>46321</v>
      </c>
      <c r="F593" t="inlineStr">
        <is>
          <t>VÄSTERNORRLANDS LÄN</t>
        </is>
      </c>
      <c r="G593" t="inlineStr">
        <is>
          <t>ÖRNSKÖLDSVIK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44948-2022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44841</v>
      </c>
      <c r="E594" s="1" t="n">
        <v>46321</v>
      </c>
      <c r="F594" t="inlineStr">
        <is>
          <t>VÄSTERNORRLANDS LÄN</t>
        </is>
      </c>
      <c r="G594" t="inlineStr">
        <is>
          <t>ÖRNSKÖLDSVIK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47266-2025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45930</v>
      </c>
      <c r="E595" s="1" t="n">
        <v>46321</v>
      </c>
      <c r="F595" t="inlineStr">
        <is>
          <t>VÄSTERNORRLANDS LÄN</t>
        </is>
      </c>
      <c r="G595" t="inlineStr">
        <is>
          <t>ÖRNSKÖLDSVIK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31930-2023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45118</v>
      </c>
      <c r="E596" s="1" t="n">
        <v>46321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SCA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46321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10763-2024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45369</v>
      </c>
      <c r="E598" s="1" t="n">
        <v>46321</v>
      </c>
      <c r="F598" t="inlineStr">
        <is>
          <t>VÄSTERNORRLANDS LÄN</t>
        </is>
      </c>
      <c r="G598" t="inlineStr">
        <is>
          <t>ÖRNSKÖLDSVIK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45369</v>
      </c>
      <c r="E599" s="1" t="n">
        <v>46321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25219-2026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46171</v>
      </c>
      <c r="E600" s="1" t="n">
        <v>46321</v>
      </c>
      <c r="F600" t="inlineStr">
        <is>
          <t>VÄSTERNORRLANDS LÄN</t>
        </is>
      </c>
      <c r="G600" t="inlineStr">
        <is>
          <t>ÖRNSKÖLDSVIK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26429-2023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45089</v>
      </c>
      <c r="E601" s="1" t="n">
        <v>46321</v>
      </c>
      <c r="F601" t="inlineStr">
        <is>
          <t>VÄSTERNORRLANDS LÄN</t>
        </is>
      </c>
      <c r="G601" t="inlineStr">
        <is>
          <t>ÖRNSKÖLDSVIK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27498-2023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46321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24575-2026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46321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46910-2025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45929</v>
      </c>
      <c r="E604" s="1" t="n">
        <v>46321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46987-2025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45929</v>
      </c>
      <c r="E605" s="1" t="n">
        <v>46321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46895-2025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45929</v>
      </c>
      <c r="E606" s="1" t="n">
        <v>46321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SCA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55533-2025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45971</v>
      </c>
      <c r="E607" s="1" t="n">
        <v>46321</v>
      </c>
      <c r="F607" t="inlineStr">
        <is>
          <t>VÄSTERNORRLANDS LÄN</t>
        </is>
      </c>
      <c r="G607" t="inlineStr">
        <is>
          <t>ÖRNSKÖLDSVIK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24681-2026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46171</v>
      </c>
      <c r="E608" s="1" t="n">
        <v>46321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25224-2026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46171</v>
      </c>
      <c r="E609" s="1" t="n">
        <v>46321</v>
      </c>
      <c r="F609" t="inlineStr">
        <is>
          <t>VÄSTERNORRLANDS LÄN</t>
        </is>
      </c>
      <c r="G609" t="inlineStr">
        <is>
          <t>ÖRNSKÖLDSVIK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47610-2025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45931</v>
      </c>
      <c r="E610" s="1" t="n">
        <v>46321</v>
      </c>
      <c r="F610" t="inlineStr">
        <is>
          <t>VÄSTERNORRLANDS LÄN</t>
        </is>
      </c>
      <c r="G610" t="inlineStr">
        <is>
          <t>ÖRNSKÖLDSVIK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47715-2025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45931</v>
      </c>
      <c r="E611" s="1" t="n">
        <v>46321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SCA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46170</v>
      </c>
      <c r="E612" s="1" t="n">
        <v>46321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47832-2025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45932</v>
      </c>
      <c r="E613" s="1" t="n">
        <v>46321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47609-2025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45931</v>
      </c>
      <c r="E614" s="1" t="n">
        <v>46321</v>
      </c>
      <c r="F614" t="inlineStr">
        <is>
          <t>VÄSTERNORRLANDS LÄN</t>
        </is>
      </c>
      <c r="G614" t="inlineStr">
        <is>
          <t>ÖRNSKÖLDSVIK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47611-2025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45931</v>
      </c>
      <c r="E615" s="1" t="n">
        <v>46321</v>
      </c>
      <c r="F615" t="inlineStr">
        <is>
          <t>VÄSTERNORRLANDS LÄN</t>
        </is>
      </c>
      <c r="G615" t="inlineStr">
        <is>
          <t>ÖRNSKÖLDSVIK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62440-2023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45268</v>
      </c>
      <c r="E616" s="1" t="n">
        <v>46321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47899-2025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45932</v>
      </c>
      <c r="E617" s="1" t="n">
        <v>46321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34014-2023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45124</v>
      </c>
      <c r="E618" s="1" t="n">
        <v>46321</v>
      </c>
      <c r="F618" t="inlineStr">
        <is>
          <t>VÄSTERNORRLANDS LÄN</t>
        </is>
      </c>
      <c r="G618" t="inlineStr">
        <is>
          <t>ÖRNSKÖLDSVIK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47570-2025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45931</v>
      </c>
      <c r="E619" s="1" t="n">
        <v>46321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47565-2025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45931</v>
      </c>
      <c r="E620" s="1" t="n">
        <v>46321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24656-2026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46171</v>
      </c>
      <c r="E621" s="1" t="n">
        <v>46321</v>
      </c>
      <c r="F621" t="inlineStr">
        <is>
          <t>VÄSTERNORRLANDS LÄN</t>
        </is>
      </c>
      <c r="G621" t="inlineStr">
        <is>
          <t>ÖRNSKÖLDSVIK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48328-2025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45933</v>
      </c>
      <c r="E622" s="1" t="n">
        <v>46321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48473-2025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45936</v>
      </c>
      <c r="E623" s="1" t="n">
        <v>46321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SCA</t>
        </is>
      </c>
      <c r="I623" t="n">
        <v>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55640-2023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45238</v>
      </c>
      <c r="E624" s="1" t="n">
        <v>46321</v>
      </c>
      <c r="F624" t="inlineStr">
        <is>
          <t>VÄSTERNORRLANDS LÄN</t>
        </is>
      </c>
      <c r="G624" t="inlineStr">
        <is>
          <t>ÖRNSKÖLDSVIK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24855-2026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46174</v>
      </c>
      <c r="E625" s="1" t="n">
        <v>46321</v>
      </c>
      <c r="F625" t="inlineStr">
        <is>
          <t>VÄSTERNORRLANDS LÄN</t>
        </is>
      </c>
      <c r="G625" t="inlineStr">
        <is>
          <t>ÖRNSKÖLDSVIK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58060-2022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44893</v>
      </c>
      <c r="E626" s="1" t="n">
        <v>46321</v>
      </c>
      <c r="F626" t="inlineStr">
        <is>
          <t>VÄSTERNORRLANDS LÄN</t>
        </is>
      </c>
      <c r="G626" t="inlineStr">
        <is>
          <t>ÖRNSKÖLDSVIK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40490-2024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45555</v>
      </c>
      <c r="E627" s="1" t="n">
        <v>46321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Kommuner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48740-2025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45936</v>
      </c>
      <c r="E628" s="1" t="n">
        <v>46321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SCA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40212-2024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45554</v>
      </c>
      <c r="E629" s="1" t="n">
        <v>46321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25052-2026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46174</v>
      </c>
      <c r="E630" s="1" t="n">
        <v>46321</v>
      </c>
      <c r="F630" t="inlineStr">
        <is>
          <t>VÄSTERNORRLANDS LÄN</t>
        </is>
      </c>
      <c r="G630" t="inlineStr">
        <is>
          <t>ÖRNSKÖLDSVIK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25073-2026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46321</v>
      </c>
      <c r="F631" t="inlineStr">
        <is>
          <t>VÄSTERNORRLANDS LÄN</t>
        </is>
      </c>
      <c r="G631" t="inlineStr">
        <is>
          <t>ÖRNSKÖLDSVIK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34365-2024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45525</v>
      </c>
      <c r="E632" s="1" t="n">
        <v>46321</v>
      </c>
      <c r="F632" t="inlineStr">
        <is>
          <t>VÄSTERNORRLANDS LÄN</t>
        </is>
      </c>
      <c r="G632" t="inlineStr">
        <is>
          <t>ÖRNSKÖLDSVIK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48282-2025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45933</v>
      </c>
      <c r="E633" s="1" t="n">
        <v>46321</v>
      </c>
      <c r="F633" t="inlineStr">
        <is>
          <t>VÄSTERNORRLANDS LÄN</t>
        </is>
      </c>
      <c r="G633" t="inlineStr">
        <is>
          <t>ÖRNSKÖLDSVIK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48219-2025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45933</v>
      </c>
      <c r="E634" s="1" t="n">
        <v>46321</v>
      </c>
      <c r="F634" t="inlineStr">
        <is>
          <t>VÄSTERNORRLANDS LÄN</t>
        </is>
      </c>
      <c r="G634" t="inlineStr">
        <is>
          <t>ÖRNSKÖLDSVIK</t>
        </is>
      </c>
      <c r="I634" t="n">
        <v>9.4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48665-2025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45936</v>
      </c>
      <c r="E635" s="1" t="n">
        <v>46321</v>
      </c>
      <c r="F635" t="inlineStr">
        <is>
          <t>VÄSTERNORRLANDS LÄN</t>
        </is>
      </c>
      <c r="G635" t="inlineStr">
        <is>
          <t>ÖRNSKÖLDSVIK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46707-2025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45926</v>
      </c>
      <c r="E636" s="1" t="n">
        <v>46321</v>
      </c>
      <c r="F636" t="inlineStr">
        <is>
          <t>VÄSTERNORRLANDS LÄN</t>
        </is>
      </c>
      <c r="G636" t="inlineStr">
        <is>
          <t>ÖRNSKÖLDSVIK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59794-2024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45639</v>
      </c>
      <c r="E637" s="1" t="n">
        <v>46321</v>
      </c>
      <c r="F637" t="inlineStr">
        <is>
          <t>VÄSTERNORRLANDS LÄN</t>
        </is>
      </c>
      <c r="G637" t="inlineStr">
        <is>
          <t>ÖRNSKÖLDSVIK</t>
        </is>
      </c>
      <c r="I637" t="n">
        <v>7.1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59531-2023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45253</v>
      </c>
      <c r="E638" s="1" t="n">
        <v>46321</v>
      </c>
      <c r="F638" t="inlineStr">
        <is>
          <t>VÄSTERNORRLANDS LÄN</t>
        </is>
      </c>
      <c r="G638" t="inlineStr">
        <is>
          <t>ÖRNSKÖLDSVIK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21034-2024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45439</v>
      </c>
      <c r="E639" s="1" t="n">
        <v>46321</v>
      </c>
      <c r="F639" t="inlineStr">
        <is>
          <t>VÄSTERNORRLANDS LÄN</t>
        </is>
      </c>
      <c r="G639" t="inlineStr">
        <is>
          <t>ÖRNSKÖLDSVIK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48269-2025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45933</v>
      </c>
      <c r="E640" s="1" t="n">
        <v>46321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49831-2024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45597</v>
      </c>
      <c r="E641" s="1" t="n">
        <v>46321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48222-2025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45933</v>
      </c>
      <c r="E642" s="1" t="n">
        <v>46321</v>
      </c>
      <c r="F642" t="inlineStr">
        <is>
          <t>VÄSTERNORRLANDS LÄN</t>
        </is>
      </c>
      <c r="G642" t="inlineStr">
        <is>
          <t>ÖRNSKÖLDSVIK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9285-2024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45358</v>
      </c>
      <c r="E643" s="1" t="n">
        <v>46321</v>
      </c>
      <c r="F643" t="inlineStr">
        <is>
          <t>VÄSTERNORRLANDS LÄN</t>
        </is>
      </c>
      <c r="G643" t="inlineStr">
        <is>
          <t>ÖRNSKÖLDSVIK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32896-2022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44784</v>
      </c>
      <c r="E644" s="1" t="n">
        <v>46321</v>
      </c>
      <c r="F644" t="inlineStr">
        <is>
          <t>VÄSTERNORRLANDS LÄN</t>
        </is>
      </c>
      <c r="G644" t="inlineStr">
        <is>
          <t>ÖRNSKÖLDSVIK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20483-2023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45057</v>
      </c>
      <c r="E645" s="1" t="n">
        <v>46321</v>
      </c>
      <c r="F645" t="inlineStr">
        <is>
          <t>VÄSTERNORRLANDS LÄN</t>
        </is>
      </c>
      <c r="G645" t="inlineStr">
        <is>
          <t>ÖRNSKÖLDSVIK</t>
        </is>
      </c>
      <c r="I645" t="n">
        <v>7.5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48891-2025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45937</v>
      </c>
      <c r="E646" s="1" t="n">
        <v>46321</v>
      </c>
      <c r="F646" t="inlineStr">
        <is>
          <t>VÄSTERNORRLANDS LÄN</t>
        </is>
      </c>
      <c r="G646" t="inlineStr">
        <is>
          <t>ÖRNSKÖLDSVIK</t>
        </is>
      </c>
      <c r="I646" t="n">
        <v>9.300000000000001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21324-2024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45440</v>
      </c>
      <c r="E647" s="1" t="n">
        <v>46321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21533-2024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45441</v>
      </c>
      <c r="E648" s="1" t="n">
        <v>46321</v>
      </c>
      <c r="F648" t="inlineStr">
        <is>
          <t>VÄSTERNORRLANDS LÄN</t>
        </is>
      </c>
      <c r="G648" t="inlineStr">
        <is>
          <t>ÖRNSKÖLDSVIK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68753-2021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44529</v>
      </c>
      <c r="E649" s="1" t="n">
        <v>46321</v>
      </c>
      <c r="F649" t="inlineStr">
        <is>
          <t>VÄSTERNORRLANDS LÄN</t>
        </is>
      </c>
      <c r="G649" t="inlineStr">
        <is>
          <t>ÖRNSKÖLDSVIK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1333-2023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44936</v>
      </c>
      <c r="E650" s="1" t="n">
        <v>46321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48812-2025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45937</v>
      </c>
      <c r="E651" s="1" t="n">
        <v>46321</v>
      </c>
      <c r="F651" t="inlineStr">
        <is>
          <t>VÄSTERNORRLANDS LÄN</t>
        </is>
      </c>
      <c r="G651" t="inlineStr">
        <is>
          <t>ÖRNSKÖLDSVIK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49348-2025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45938</v>
      </c>
      <c r="E652" s="1" t="n">
        <v>46321</v>
      </c>
      <c r="F652" t="inlineStr">
        <is>
          <t>VÄSTERNORRLANDS LÄN</t>
        </is>
      </c>
      <c r="G652" t="inlineStr">
        <is>
          <t>ÖRNSKÖLDSVIK</t>
        </is>
      </c>
      <c r="I652" t="n">
        <v>10.1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63727-2023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45276</v>
      </c>
      <c r="E653" s="1" t="n">
        <v>46321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Övriga Aktiebolag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63728-2023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45276</v>
      </c>
      <c r="E654" s="1" t="n">
        <v>46321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Övriga Aktiebolag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49351-2025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45938</v>
      </c>
      <c r="E655" s="1" t="n">
        <v>46321</v>
      </c>
      <c r="F655" t="inlineStr">
        <is>
          <t>VÄSTERNORRLANDS LÄN</t>
        </is>
      </c>
      <c r="G655" t="inlineStr">
        <is>
          <t>ÖRNSKÖLDSVIK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49161-2025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45938</v>
      </c>
      <c r="E656" s="1" t="n">
        <v>46321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49162-2025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45938</v>
      </c>
      <c r="E657" s="1" t="n">
        <v>46321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49172-2025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45938</v>
      </c>
      <c r="E658" s="1" t="n">
        <v>46321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49372-2025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45938</v>
      </c>
      <c r="E659" s="1" t="n">
        <v>46321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8.699999999999999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30349-2024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45490</v>
      </c>
      <c r="E660" s="1" t="n">
        <v>46321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SCA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49157-2025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45938</v>
      </c>
      <c r="E661" s="1" t="n">
        <v>46321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48863-2025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45937</v>
      </c>
      <c r="E662" s="1" t="n">
        <v>46321</v>
      </c>
      <c r="F662" t="inlineStr">
        <is>
          <t>VÄSTERNORRLANDS LÄN</t>
        </is>
      </c>
      <c r="G662" t="inlineStr">
        <is>
          <t>ÖRNSKÖLDSVIK</t>
        </is>
      </c>
      <c r="I662" t="n">
        <v>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73763-2021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44552</v>
      </c>
      <c r="E663" s="1" t="n">
        <v>46321</v>
      </c>
      <c r="F663" t="inlineStr">
        <is>
          <t>VÄSTERNORRLANDS LÄN</t>
        </is>
      </c>
      <c r="G663" t="inlineStr">
        <is>
          <t>ÖRNSKÖLDSVIK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25078-2026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46174</v>
      </c>
      <c r="E664" s="1" t="n">
        <v>46321</v>
      </c>
      <c r="F664" t="inlineStr">
        <is>
          <t>VÄSTERNORRLANDS LÄN</t>
        </is>
      </c>
      <c r="G664" t="inlineStr">
        <is>
          <t>ÖRNSKÖLDSVIK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25085-2026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46321</v>
      </c>
      <c r="F665" t="inlineStr">
        <is>
          <t>VÄSTERNORRLANDS LÄN</t>
        </is>
      </c>
      <c r="G665" t="inlineStr">
        <is>
          <t>ÖRNSKÖLDSVIK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48810-2025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45937</v>
      </c>
      <c r="E666" s="1" t="n">
        <v>46321</v>
      </c>
      <c r="F666" t="inlineStr">
        <is>
          <t>VÄSTERNORRLANDS LÄN</t>
        </is>
      </c>
      <c r="G666" t="inlineStr">
        <is>
          <t>ÖRNSKÖLDSVIK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21642-2024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45442</v>
      </c>
      <c r="E667" s="1" t="n">
        <v>46321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49473-2025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45939</v>
      </c>
      <c r="E668" s="1" t="n">
        <v>46321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SCA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46068-2025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45924</v>
      </c>
      <c r="E669" s="1" t="n">
        <v>46321</v>
      </c>
      <c r="F669" t="inlineStr">
        <is>
          <t>VÄSTERNORRLANDS LÄN</t>
        </is>
      </c>
      <c r="G669" t="inlineStr">
        <is>
          <t>ÖRNSKÖLDSVIK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49459-2025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45939</v>
      </c>
      <c r="E670" s="1" t="n">
        <v>46321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25050-2026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46174</v>
      </c>
      <c r="E671" s="1" t="n">
        <v>46321</v>
      </c>
      <c r="F671" t="inlineStr">
        <is>
          <t>VÄSTERNORRLANDS LÄN</t>
        </is>
      </c>
      <c r="G671" t="inlineStr">
        <is>
          <t>ÖRNSKÖLDSVIK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25244-2026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46175</v>
      </c>
      <c r="E672" s="1" t="n">
        <v>46321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36726-2023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45153</v>
      </c>
      <c r="E673" s="1" t="n">
        <v>46321</v>
      </c>
      <c r="F673" t="inlineStr">
        <is>
          <t>VÄSTERNORRLANDS LÄN</t>
        </is>
      </c>
      <c r="G673" t="inlineStr">
        <is>
          <t>ÖRNSKÖLDSVIK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49719-2025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45939</v>
      </c>
      <c r="E674" s="1" t="n">
        <v>46321</v>
      </c>
      <c r="F674" t="inlineStr">
        <is>
          <t>VÄSTERNORRLANDS LÄN</t>
        </is>
      </c>
      <c r="G674" t="inlineStr">
        <is>
          <t>ÖRNSKÖLDSVIK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60511-2021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44495</v>
      </c>
      <c r="E675" s="1" t="n">
        <v>46321</v>
      </c>
      <c r="F675" t="inlineStr">
        <is>
          <t>VÄSTERNORRLANDS LÄN</t>
        </is>
      </c>
      <c r="G675" t="inlineStr">
        <is>
          <t>ÖRNSKÖLDSVIK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24881-2026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46174</v>
      </c>
      <c r="E676" s="1" t="n">
        <v>46321</v>
      </c>
      <c r="F676" t="inlineStr">
        <is>
          <t>VÄSTERNORRLANDS LÄN</t>
        </is>
      </c>
      <c r="G676" t="inlineStr">
        <is>
          <t>ÖRNSKÖLDSVIK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37584-2025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45880</v>
      </c>
      <c r="E677" s="1" t="n">
        <v>46321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7.2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50404-2025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45944</v>
      </c>
      <c r="E678" s="1" t="n">
        <v>46321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13668-2026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46094</v>
      </c>
      <c r="E679" s="1" t="n">
        <v>46321</v>
      </c>
      <c r="F679" t="inlineStr">
        <is>
          <t>VÄSTERNORRLANDS LÄN</t>
        </is>
      </c>
      <c r="G679" t="inlineStr">
        <is>
          <t>ÖRNSKÖLDSVIK</t>
        </is>
      </c>
      <c r="I679" t="n">
        <v>26.6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24883-2026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46174</v>
      </c>
      <c r="E680" s="1" t="n">
        <v>46321</v>
      </c>
      <c r="F680" t="inlineStr">
        <is>
          <t>VÄSTERNORRLANDS LÄN</t>
        </is>
      </c>
      <c r="G680" t="inlineStr">
        <is>
          <t>ÖRNSKÖLDSVIK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18147-2023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45040</v>
      </c>
      <c r="E681" s="1" t="n">
        <v>46321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SCA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57294-2023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45245</v>
      </c>
      <c r="E682" s="1" t="n">
        <v>46321</v>
      </c>
      <c r="F682" t="inlineStr">
        <is>
          <t>VÄSTERNORRLANDS LÄN</t>
        </is>
      </c>
      <c r="G682" t="inlineStr">
        <is>
          <t>ÖRNSKÖLDSVIK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24878-2026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46174</v>
      </c>
      <c r="E683" s="1" t="n">
        <v>46321</v>
      </c>
      <c r="F683" t="inlineStr">
        <is>
          <t>VÄSTERNORRLANDS LÄN</t>
        </is>
      </c>
      <c r="G683" t="inlineStr">
        <is>
          <t>ÖRNSKÖLDSVIK</t>
        </is>
      </c>
      <c r="I683" t="n">
        <v>6.9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50015-2025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45943</v>
      </c>
      <c r="E684" s="1" t="n">
        <v>46321</v>
      </c>
      <c r="F684" t="inlineStr">
        <is>
          <t>VÄSTERNORRLANDS LÄN</t>
        </is>
      </c>
      <c r="G684" t="inlineStr">
        <is>
          <t>ÖRNSKÖLDSVIK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50382-2025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45944</v>
      </c>
      <c r="E685" s="1" t="n">
        <v>46321</v>
      </c>
      <c r="F685" t="inlineStr">
        <is>
          <t>VÄSTERNORRLANDS LÄN</t>
        </is>
      </c>
      <c r="G685" t="inlineStr">
        <is>
          <t>ÖRNSKÖLDSVIK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48133-2024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45589</v>
      </c>
      <c r="E686" s="1" t="n">
        <v>46321</v>
      </c>
      <c r="F686" t="inlineStr">
        <is>
          <t>VÄSTERNORRLANDS LÄN</t>
        </is>
      </c>
      <c r="G686" t="inlineStr">
        <is>
          <t>ÖRNSKÖLDSVIK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50017-2025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45943</v>
      </c>
      <c r="E687" s="1" t="n">
        <v>46321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8.300000000000001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25621-2026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46177</v>
      </c>
      <c r="E688" s="1" t="n">
        <v>46321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SCA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29810-2024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45485</v>
      </c>
      <c r="E689" s="1" t="n">
        <v>46321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26101-2026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46178</v>
      </c>
      <c r="E690" s="1" t="n">
        <v>46321</v>
      </c>
      <c r="F690" t="inlineStr">
        <is>
          <t>VÄSTERNORRLANDS LÄN</t>
        </is>
      </c>
      <c r="G690" t="inlineStr">
        <is>
          <t>ÖRNSKÖLDSVIK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25619-2026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46177</v>
      </c>
      <c r="E691" s="1" t="n">
        <v>46321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SCA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35578-2023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45147</v>
      </c>
      <c r="E692" s="1" t="n">
        <v>46321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17639-2025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45758</v>
      </c>
      <c r="E693" s="1" t="n">
        <v>46321</v>
      </c>
      <c r="F693" t="inlineStr">
        <is>
          <t>VÄSTERNORRLANDS LÄN</t>
        </is>
      </c>
      <c r="G693" t="inlineStr">
        <is>
          <t>ÖRNSKÖLDSVIK</t>
        </is>
      </c>
      <c r="I693" t="n">
        <v>11.2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45296</v>
      </c>
      <c r="E694" s="1" t="n">
        <v>46321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22574-2024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45447</v>
      </c>
      <c r="E695" s="1" t="n">
        <v>46321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0.1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59495-2023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45253</v>
      </c>
      <c r="E696" s="1" t="n">
        <v>46321</v>
      </c>
      <c r="F696" t="inlineStr">
        <is>
          <t>VÄSTERNORRLANDS LÄN</t>
        </is>
      </c>
      <c r="G696" t="inlineStr">
        <is>
          <t>ÖRNSKÖLDSVIK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59581-2023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45254</v>
      </c>
      <c r="E697" s="1" t="n">
        <v>46321</v>
      </c>
      <c r="F697" t="inlineStr">
        <is>
          <t>VÄSTERNORRLANDS LÄN</t>
        </is>
      </c>
      <c r="G697" t="inlineStr">
        <is>
          <t>ÖRNSKÖLDSVIK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17218-2025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45756</v>
      </c>
      <c r="E698" s="1" t="n">
        <v>46321</v>
      </c>
      <c r="F698" t="inlineStr">
        <is>
          <t>VÄSTERNORRLANDS LÄN</t>
        </is>
      </c>
      <c r="G698" t="inlineStr">
        <is>
          <t>ÖRNSKÖLDSVIK</t>
        </is>
      </c>
      <c r="I698" t="n">
        <v>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22289-2024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45446</v>
      </c>
      <c r="E699" s="1" t="n">
        <v>46321</v>
      </c>
      <c r="F699" t="inlineStr">
        <is>
          <t>VÄSTERNORRLANDS LÄN</t>
        </is>
      </c>
      <c r="G699" t="inlineStr">
        <is>
          <t>ÖRNSKÖLDSVIK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18051-2024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45420</v>
      </c>
      <c r="E700" s="1" t="n">
        <v>46321</v>
      </c>
      <c r="F700" t="inlineStr">
        <is>
          <t>VÄSTERNORRLANDS LÄN</t>
        </is>
      </c>
      <c r="G700" t="inlineStr">
        <is>
          <t>ÖRNSKÖLDSVIK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37177-2024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45539</v>
      </c>
      <c r="E701" s="1" t="n">
        <v>46321</v>
      </c>
      <c r="F701" t="inlineStr">
        <is>
          <t>VÄSTERNORRLANDS LÄN</t>
        </is>
      </c>
      <c r="G701" t="inlineStr">
        <is>
          <t>ÖRNSKÖLDSVIK</t>
        </is>
      </c>
      <c r="I701" t="n">
        <v>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25371-2026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46176</v>
      </c>
      <c r="E702" s="1" t="n">
        <v>46321</v>
      </c>
      <c r="F702" t="inlineStr">
        <is>
          <t>VÄSTERNORRLANDS LÄN</t>
        </is>
      </c>
      <c r="G702" t="inlineStr">
        <is>
          <t>ÖRNSKÖLDSVIK</t>
        </is>
      </c>
      <c r="I702" t="n">
        <v>8.5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42366-2022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44831</v>
      </c>
      <c r="E703" s="1" t="n">
        <v>46321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31540-2024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45505</v>
      </c>
      <c r="E704" s="1" t="n">
        <v>46321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SCA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24531-2023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45077</v>
      </c>
      <c r="E705" s="1" t="n">
        <v>46321</v>
      </c>
      <c r="F705" t="inlineStr">
        <is>
          <t>VÄSTERNORRLANDS LÄN</t>
        </is>
      </c>
      <c r="G705" t="inlineStr">
        <is>
          <t>ÖRNSKÖLDSVIK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31192-2023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45113</v>
      </c>
      <c r="E706" s="1" t="n">
        <v>46321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SCA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59334-2022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44904</v>
      </c>
      <c r="E707" s="1" t="n">
        <v>46321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16692-2024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45408</v>
      </c>
      <c r="E708" s="1" t="n">
        <v>46321</v>
      </c>
      <c r="F708" t="inlineStr">
        <is>
          <t>VÄSTERNORRLANDS LÄN</t>
        </is>
      </c>
      <c r="G708" t="inlineStr">
        <is>
          <t>ÖRNSKÖLDSVIK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25201-2024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45462</v>
      </c>
      <c r="E709" s="1" t="n">
        <v>46321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25889-2026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46178</v>
      </c>
      <c r="E710" s="1" t="n">
        <v>46321</v>
      </c>
      <c r="F710" t="inlineStr">
        <is>
          <t>VÄSTERNORRLANDS LÄN</t>
        </is>
      </c>
      <c r="G710" t="inlineStr">
        <is>
          <t>ÖRNSKÖLDSVIK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50526-2025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45945</v>
      </c>
      <c r="E711" s="1" t="n">
        <v>46321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51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28711-2024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45478</v>
      </c>
      <c r="E712" s="1" t="n">
        <v>46321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6273-2024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45337</v>
      </c>
      <c r="E713" s="1" t="n">
        <v>46321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SCA</t>
        </is>
      </c>
      <c r="I713" t="n">
        <v>9.1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35030-2023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45145</v>
      </c>
      <c r="E714" s="1" t="n">
        <v>46321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50900-2025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45946</v>
      </c>
      <c r="E715" s="1" t="n">
        <v>46321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27197-2023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45092</v>
      </c>
      <c r="E716" s="1" t="n">
        <v>46321</v>
      </c>
      <c r="F716" t="inlineStr">
        <is>
          <t>VÄSTERNORRLANDS LÄN</t>
        </is>
      </c>
      <c r="G716" t="inlineStr">
        <is>
          <t>ÖRNSKÖLDSVIK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25950-2026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46181</v>
      </c>
      <c r="E717" s="1" t="n">
        <v>46321</v>
      </c>
      <c r="F717" t="inlineStr">
        <is>
          <t>VÄSTERNORRLANDS LÄN</t>
        </is>
      </c>
      <c r="G717" t="inlineStr">
        <is>
          <t>ÖRNSKÖLDSVIK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25210-2023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45079</v>
      </c>
      <c r="E718" s="1" t="n">
        <v>46321</v>
      </c>
      <c r="F718" t="inlineStr">
        <is>
          <t>VÄSTERNORRLANDS LÄN</t>
        </is>
      </c>
      <c r="G718" t="inlineStr">
        <is>
          <t>ÖRNSKÖLDSVIK</t>
        </is>
      </c>
      <c r="I718" t="n">
        <v>5.1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29170-2024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45482</v>
      </c>
      <c r="E719" s="1" t="n">
        <v>46321</v>
      </c>
      <c r="F719" t="inlineStr">
        <is>
          <t>VÄSTERNORRLANDS LÄN</t>
        </is>
      </c>
      <c r="G719" t="inlineStr">
        <is>
          <t>ÖRNSKÖLDSVIK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28338-2024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45477</v>
      </c>
      <c r="E720" s="1" t="n">
        <v>46321</v>
      </c>
      <c r="F720" t="inlineStr">
        <is>
          <t>VÄSTERNORRLANDS LÄN</t>
        </is>
      </c>
      <c r="G720" t="inlineStr">
        <is>
          <t>ÖRNSKÖLDSVIK</t>
        </is>
      </c>
      <c r="I720" t="n">
        <v>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25329-2024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45462</v>
      </c>
      <c r="E721" s="1" t="n">
        <v>46321</v>
      </c>
      <c r="F721" t="inlineStr">
        <is>
          <t>VÄSTERNORRLANDS LÄN</t>
        </is>
      </c>
      <c r="G721" t="inlineStr">
        <is>
          <t>ÖRNSKÖLDSVIK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4360-2023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44954</v>
      </c>
      <c r="E722" s="1" t="n">
        <v>46321</v>
      </c>
      <c r="F722" t="inlineStr">
        <is>
          <t>VÄSTERNORRLANDS LÄN</t>
        </is>
      </c>
      <c r="G722" t="inlineStr">
        <is>
          <t>ÖRNSKÖLDSVIK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44357-2022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44839</v>
      </c>
      <c r="E723" s="1" t="n">
        <v>46321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46181</v>
      </c>
      <c r="E724" s="1" t="n">
        <v>46321</v>
      </c>
      <c r="F724" t="inlineStr">
        <is>
          <t>VÄSTERNORRLANDS LÄN</t>
        </is>
      </c>
      <c r="G724" t="inlineStr">
        <is>
          <t>ÖRNSKÖLDSVIK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36678-2024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45537</v>
      </c>
      <c r="E725" s="1" t="n">
        <v>46321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14201-2023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45009</v>
      </c>
      <c r="E726" s="1" t="n">
        <v>46321</v>
      </c>
      <c r="F726" t="inlineStr">
        <is>
          <t>VÄSTERNORRLANDS LÄN</t>
        </is>
      </c>
      <c r="G726" t="inlineStr">
        <is>
          <t>ÖRNSKÖLDSVIK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33479-2023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45131</v>
      </c>
      <c r="E727" s="1" t="n">
        <v>46321</v>
      </c>
      <c r="F727" t="inlineStr">
        <is>
          <t>VÄSTERNORRLANDS LÄN</t>
        </is>
      </c>
      <c r="G727" t="inlineStr">
        <is>
          <t>ÖRNSKÖLDSVIK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44930</v>
      </c>
      <c r="E728" s="1" t="n">
        <v>46321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Kommuner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51004-2025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45947</v>
      </c>
      <c r="E729" s="1" t="n">
        <v>46321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51008-2025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45947</v>
      </c>
      <c r="E730" s="1" t="n">
        <v>46321</v>
      </c>
      <c r="F730" t="inlineStr">
        <is>
          <t>VÄSTERNORRLANDS LÄN</t>
        </is>
      </c>
      <c r="G730" t="inlineStr">
        <is>
          <t>ÖRNSKÖLDSVIK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33917-2024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45523</v>
      </c>
      <c r="E731" s="1" t="n">
        <v>46321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56966-2024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45628</v>
      </c>
      <c r="E732" s="1" t="n">
        <v>46321</v>
      </c>
      <c r="F732" t="inlineStr">
        <is>
          <t>VÄSTERNORRLANDS LÄN</t>
        </is>
      </c>
      <c r="G732" t="inlineStr">
        <is>
          <t>ÖRNSKÖLDSVIK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51516-2025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45950</v>
      </c>
      <c r="E733" s="1" t="n">
        <v>46321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6.8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17356-2023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45033</v>
      </c>
      <c r="E734" s="1" t="n">
        <v>46321</v>
      </c>
      <c r="F734" t="inlineStr">
        <is>
          <t>VÄSTERNORRLANDS LÄN</t>
        </is>
      </c>
      <c r="G734" t="inlineStr">
        <is>
          <t>ÖRNSKÖLDSVIK</t>
        </is>
      </c>
      <c r="I734" t="n">
        <v>18.3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51114-2025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45947</v>
      </c>
      <c r="E735" s="1" t="n">
        <v>46321</v>
      </c>
      <c r="F735" t="inlineStr">
        <is>
          <t>VÄSTERNORRLANDS LÄN</t>
        </is>
      </c>
      <c r="G735" t="inlineStr">
        <is>
          <t>ÖRNSKÖLDSVIK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10385-2023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44987</v>
      </c>
      <c r="E736" s="1" t="n">
        <v>46321</v>
      </c>
      <c r="F736" t="inlineStr">
        <is>
          <t>VÄSTERNORRLANDS LÄN</t>
        </is>
      </c>
      <c r="G736" t="inlineStr">
        <is>
          <t>ÖRNSKÖLDSVIK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10387-2023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44987</v>
      </c>
      <c r="E737" s="1" t="n">
        <v>46321</v>
      </c>
      <c r="F737" t="inlineStr">
        <is>
          <t>VÄSTERNORRLANDS LÄN</t>
        </is>
      </c>
      <c r="G737" t="inlineStr">
        <is>
          <t>ÖRNSKÖLDSVIK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25939-2026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46181</v>
      </c>
      <c r="E738" s="1" t="n">
        <v>46321</v>
      </c>
      <c r="F738" t="inlineStr">
        <is>
          <t>VÄSTERNORRLANDS LÄN</t>
        </is>
      </c>
      <c r="G738" t="inlineStr">
        <is>
          <t>ÖRNSKÖLDSVIK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51359-2025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45950</v>
      </c>
      <c r="E739" s="1" t="n">
        <v>46321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51490-2025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45950</v>
      </c>
      <c r="E740" s="1" t="n">
        <v>46321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6210-2025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45698</v>
      </c>
      <c r="E741" s="1" t="n">
        <v>46321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25779-2026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46178</v>
      </c>
      <c r="E742" s="1" t="n">
        <v>46321</v>
      </c>
      <c r="F742" t="inlineStr">
        <is>
          <t>VÄSTERNORRLANDS LÄN</t>
        </is>
      </c>
      <c r="G742" t="inlineStr">
        <is>
          <t>ÖRNSKÖLDSVIK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26220-2026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46182</v>
      </c>
      <c r="E743" s="1" t="n">
        <v>46321</v>
      </c>
      <c r="F743" t="inlineStr">
        <is>
          <t>VÄSTERNORRLANDS LÄN</t>
        </is>
      </c>
      <c r="G743" t="inlineStr">
        <is>
          <t>ÖRNSKÖLDSVIK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26236-2026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46181</v>
      </c>
      <c r="E744" s="1" t="n">
        <v>46321</v>
      </c>
      <c r="F744" t="inlineStr">
        <is>
          <t>VÄSTERNORRLANDS LÄN</t>
        </is>
      </c>
      <c r="G744" t="inlineStr">
        <is>
          <t>ÖRNSKÖLDSVIK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25151-2023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45086</v>
      </c>
      <c r="E745" s="1" t="n">
        <v>46321</v>
      </c>
      <c r="F745" t="inlineStr">
        <is>
          <t>VÄSTERNORRLANDS LÄN</t>
        </is>
      </c>
      <c r="G745" t="inlineStr">
        <is>
          <t>ÖRNSKÖLDSVIK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51658-2025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45951</v>
      </c>
      <c r="E746" s="1" t="n">
        <v>46321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51751-2025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45951</v>
      </c>
      <c r="E747" s="1" t="n">
        <v>46321</v>
      </c>
      <c r="F747" t="inlineStr">
        <is>
          <t>VÄSTERNORRLANDS LÄN</t>
        </is>
      </c>
      <c r="G747" t="inlineStr">
        <is>
          <t>ÖRNSKÖLDSVIK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52047-2025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45952</v>
      </c>
      <c r="E748" s="1" t="n">
        <v>46321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1416-2024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45303</v>
      </c>
      <c r="E749" s="1" t="n">
        <v>46321</v>
      </c>
      <c r="F749" t="inlineStr">
        <is>
          <t>VÄSTERNORRLANDS LÄN</t>
        </is>
      </c>
      <c r="G749" t="inlineStr">
        <is>
          <t>ÖRNSKÖLDSVIK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51749-2025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45951</v>
      </c>
      <c r="E750" s="1" t="n">
        <v>46321</v>
      </c>
      <c r="F750" t="inlineStr">
        <is>
          <t>VÄSTERNORRLANDS LÄN</t>
        </is>
      </c>
      <c r="G750" t="inlineStr">
        <is>
          <t>ÖRNSKÖLDSVIK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51752-2025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45951</v>
      </c>
      <c r="E751" s="1" t="n">
        <v>46321</v>
      </c>
      <c r="F751" t="inlineStr">
        <is>
          <t>VÄSTERNORRLANDS LÄN</t>
        </is>
      </c>
      <c r="G751" t="inlineStr">
        <is>
          <t>ÖRNSKÖLDSVIK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52005-2025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45952</v>
      </c>
      <c r="E752" s="1" t="n">
        <v>46321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51856-2025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45952</v>
      </c>
      <c r="E753" s="1" t="n">
        <v>46321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58120-2023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45249</v>
      </c>
      <c r="E754" s="1" t="n">
        <v>46321</v>
      </c>
      <c r="F754" t="inlineStr">
        <is>
          <t>VÄSTERNORRLANDS LÄN</t>
        </is>
      </c>
      <c r="G754" t="inlineStr">
        <is>
          <t>ÖRNSKÖLDSVIK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51599-2025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45951</v>
      </c>
      <c r="E755" s="1" t="n">
        <v>46321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26532-2026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46183</v>
      </c>
      <c r="E756" s="1" t="n">
        <v>46321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41550-2023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45175</v>
      </c>
      <c r="E757" s="1" t="n">
        <v>46321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26431-2026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46183</v>
      </c>
      <c r="E758" s="1" t="n">
        <v>46321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SCA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46977-2024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45586</v>
      </c>
      <c r="E759" s="1" t="n">
        <v>46321</v>
      </c>
      <c r="F759" t="inlineStr">
        <is>
          <t>VÄSTERNORRLANDS LÄN</t>
        </is>
      </c>
      <c r="G759" t="inlineStr">
        <is>
          <t>ÖRNSKÖLDSVIK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52081-2025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45952</v>
      </c>
      <c r="E760" s="1" t="n">
        <v>46321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52055-2025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45952</v>
      </c>
      <c r="E761" s="1" t="n">
        <v>46321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51784-2025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45951</v>
      </c>
      <c r="E762" s="1" t="n">
        <v>46321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SCA</t>
        </is>
      </c>
      <c r="I762" t="n">
        <v>7.6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51713-2025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45951</v>
      </c>
      <c r="E763" s="1" t="n">
        <v>46321</v>
      </c>
      <c r="F763" t="inlineStr">
        <is>
          <t>VÄSTERNORRLANDS LÄN</t>
        </is>
      </c>
      <c r="G763" t="inlineStr">
        <is>
          <t>ÖRNSKÖLDSVIK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21704-2022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44707</v>
      </c>
      <c r="E764" s="1" t="n">
        <v>46321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SCA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21707-2022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44707</v>
      </c>
      <c r="E765" s="1" t="n">
        <v>46321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SCA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26344-2026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46182</v>
      </c>
      <c r="E766" s="1" t="n">
        <v>46321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SCA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26377-2026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46183</v>
      </c>
      <c r="E767" s="1" t="n">
        <v>46321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Kommuner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52144-2025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45953</v>
      </c>
      <c r="E768" s="1" t="n">
        <v>46321</v>
      </c>
      <c r="F768" t="inlineStr">
        <is>
          <t>VÄSTERNORRLANDS LÄN</t>
        </is>
      </c>
      <c r="G768" t="inlineStr">
        <is>
          <t>ÖRNSKÖLDSVIK</t>
        </is>
      </c>
      <c r="I768" t="n">
        <v>17.9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52145-2025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45953</v>
      </c>
      <c r="E769" s="1" t="n">
        <v>46321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26266-2026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46182</v>
      </c>
      <c r="E770" s="1" t="n">
        <v>46321</v>
      </c>
      <c r="F770" t="inlineStr">
        <is>
          <t>VÄSTERNORRLANDS LÄN</t>
        </is>
      </c>
      <c r="G770" t="inlineStr">
        <is>
          <t>ÖRNSKÖLDSVIK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26420-2026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46183</v>
      </c>
      <c r="E771" s="1" t="n">
        <v>46321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SCA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46183</v>
      </c>
      <c r="E772" s="1" t="n">
        <v>46321</v>
      </c>
      <c r="F772" t="inlineStr">
        <is>
          <t>VÄSTERNORRLANDS LÄN</t>
        </is>
      </c>
      <c r="G772" t="inlineStr">
        <is>
          <t>ÖRNSKÖLDSVIK</t>
        </is>
      </c>
      <c r="I772" t="n">
        <v>11.7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52140-2025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45953</v>
      </c>
      <c r="E773" s="1" t="n">
        <v>46321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26381-2026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46183</v>
      </c>
      <c r="E774" s="1" t="n">
        <v>46321</v>
      </c>
      <c r="F774" t="inlineStr">
        <is>
          <t>VÄSTERNORRLANDS LÄN</t>
        </is>
      </c>
      <c r="G774" t="inlineStr">
        <is>
          <t>ÖRNSKÖLDSVIK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26421-2026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46183</v>
      </c>
      <c r="E775" s="1" t="n">
        <v>46321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26895-2024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45470</v>
      </c>
      <c r="E776" s="1" t="n">
        <v>46321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52193-2025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45953</v>
      </c>
      <c r="E777" s="1" t="n">
        <v>46321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46182</v>
      </c>
      <c r="E778" s="1" t="n">
        <v>46321</v>
      </c>
      <c r="F778" t="inlineStr">
        <is>
          <t>VÄSTERNORRLANDS LÄN</t>
        </is>
      </c>
      <c r="G778" t="inlineStr">
        <is>
          <t>ÖRNSKÖLDSVIK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47588-2023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45197</v>
      </c>
      <c r="E779" s="1" t="n">
        <v>46321</v>
      </c>
      <c r="F779" t="inlineStr">
        <is>
          <t>VÄSTERNORRLANDS LÄN</t>
        </is>
      </c>
      <c r="G779" t="inlineStr">
        <is>
          <t>ÖRNSKÖLDSVIK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26541-2026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46183</v>
      </c>
      <c r="E780" s="1" t="n">
        <v>46321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26543-2026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46183</v>
      </c>
      <c r="E781" s="1" t="n">
        <v>46321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26556-2026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46183</v>
      </c>
      <c r="E782" s="1" t="n">
        <v>46321</v>
      </c>
      <c r="F782" t="inlineStr">
        <is>
          <t>VÄSTERNORRLANDS LÄN</t>
        </is>
      </c>
      <c r="G782" t="inlineStr">
        <is>
          <t>ÖRNSKÖLDSVIK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52160-2025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45953</v>
      </c>
      <c r="E783" s="1" t="n">
        <v>46321</v>
      </c>
      <c r="F783" t="inlineStr">
        <is>
          <t>VÄSTERNORRLANDS LÄN</t>
        </is>
      </c>
      <c r="G783" t="inlineStr">
        <is>
          <t>ÖRNSKÖLDSVIK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52569-2025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45954</v>
      </c>
      <c r="E784" s="1" t="n">
        <v>46321</v>
      </c>
      <c r="F784" t="inlineStr">
        <is>
          <t>VÄSTERNORRLANDS LÄN</t>
        </is>
      </c>
      <c r="G784" t="inlineStr">
        <is>
          <t>ÖRNSKÖLDSVIK</t>
        </is>
      </c>
      <c r="I784" t="n">
        <v>6.6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52255-2025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45953</v>
      </c>
      <c r="E785" s="1" t="n">
        <v>46321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52522-2025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45954</v>
      </c>
      <c r="E786" s="1" t="n">
        <v>46321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10.7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26395-2024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45469</v>
      </c>
      <c r="E787" s="1" t="n">
        <v>46321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26460-2026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46183</v>
      </c>
      <c r="E788" s="1" t="n">
        <v>46321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26277-2026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46182</v>
      </c>
      <c r="E789" s="1" t="n">
        <v>46321</v>
      </c>
      <c r="F789" t="inlineStr">
        <is>
          <t>VÄSTERNORRLANDS LÄN</t>
        </is>
      </c>
      <c r="G789" t="inlineStr">
        <is>
          <t>ÖRNSKÖLDSVIK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26566-2026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46183</v>
      </c>
      <c r="E790" s="1" t="n">
        <v>46321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45666</v>
      </c>
      <c r="E791" s="1" t="n">
        <v>46321</v>
      </c>
      <c r="F791" t="inlineStr">
        <is>
          <t>VÄSTERNORRLANDS LÄN</t>
        </is>
      </c>
      <c r="G791" t="inlineStr">
        <is>
          <t>ÖRNSKÖLDSVIK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26263-2026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46182</v>
      </c>
      <c r="E792" s="1" t="n">
        <v>46321</v>
      </c>
      <c r="F792" t="inlineStr">
        <is>
          <t>VÄSTERNORRLANDS LÄN</t>
        </is>
      </c>
      <c r="G792" t="inlineStr">
        <is>
          <t>ÖRNSKÖLDSVIK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26180-2026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46321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15.9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26441-2026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46183</v>
      </c>
      <c r="E794" s="1" t="n">
        <v>46321</v>
      </c>
      <c r="F794" t="inlineStr">
        <is>
          <t>VÄSTERNORRLANDS LÄN</t>
        </is>
      </c>
      <c r="G794" t="inlineStr">
        <is>
          <t>ÖRNSKÖLDSVIK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31256-2023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45114</v>
      </c>
      <c r="E795" s="1" t="n">
        <v>46321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26445-2026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46183</v>
      </c>
      <c r="E796" s="1" t="n">
        <v>46321</v>
      </c>
      <c r="F796" t="inlineStr">
        <is>
          <t>VÄSTERNORRLANDS LÄN</t>
        </is>
      </c>
      <c r="G796" t="inlineStr">
        <is>
          <t>ÖRNSKÖLDSVIK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53069-2025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45958</v>
      </c>
      <c r="E797" s="1" t="n">
        <v>46321</v>
      </c>
      <c r="F797" t="inlineStr">
        <is>
          <t>VÄSTERNORRLANDS LÄN</t>
        </is>
      </c>
      <c r="G797" t="inlineStr">
        <is>
          <t>ÖRNSKÖLDSVIK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26383-2026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46183</v>
      </c>
      <c r="E798" s="1" t="n">
        <v>46321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SCA</t>
        </is>
      </c>
      <c r="I798" t="n">
        <v>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52846-2025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45957</v>
      </c>
      <c r="E799" s="1" t="n">
        <v>46321</v>
      </c>
      <c r="F799" t="inlineStr">
        <is>
          <t>VÄSTERNORRLANDS LÄN</t>
        </is>
      </c>
      <c r="G799" t="inlineStr">
        <is>
          <t>ÖRNSKÖLDSVIK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52851-2025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45957</v>
      </c>
      <c r="E800" s="1" t="n">
        <v>46321</v>
      </c>
      <c r="F800" t="inlineStr">
        <is>
          <t>VÄSTERNORRLANDS LÄN</t>
        </is>
      </c>
      <c r="G800" t="inlineStr">
        <is>
          <t>ÖRNSKÖLDSVIK</t>
        </is>
      </c>
      <c r="I800" t="n">
        <v>6.4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52854-2025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45957</v>
      </c>
      <c r="E801" s="1" t="n">
        <v>46321</v>
      </c>
      <c r="F801" t="inlineStr">
        <is>
          <t>VÄSTERNORRLANDS LÄN</t>
        </is>
      </c>
      <c r="G801" t="inlineStr">
        <is>
          <t>ÖRNSKÖLDSVIK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52887-2025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45957</v>
      </c>
      <c r="E802" s="1" t="n">
        <v>46321</v>
      </c>
      <c r="F802" t="inlineStr">
        <is>
          <t>VÄSTERNORRLANDS LÄN</t>
        </is>
      </c>
      <c r="G802" t="inlineStr">
        <is>
          <t>ÖRNSKÖLDSVIK</t>
        </is>
      </c>
      <c r="I802" t="n">
        <v>10.1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26898-2026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46321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52936-2025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45957</v>
      </c>
      <c r="E804" s="1" t="n">
        <v>46321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26915-2026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46321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45673</v>
      </c>
      <c r="E806" s="1" t="n">
        <v>46321</v>
      </c>
      <c r="F806" t="inlineStr">
        <is>
          <t>VÄSTERNORRLANDS LÄN</t>
        </is>
      </c>
      <c r="G806" t="inlineStr">
        <is>
          <t>ÖRNSKÖLDSVIK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52824-2025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45957</v>
      </c>
      <c r="E807" s="1" t="n">
        <v>46321</v>
      </c>
      <c r="F807" t="inlineStr">
        <is>
          <t>VÄSTERNORRLANDS LÄN</t>
        </is>
      </c>
      <c r="G807" t="inlineStr">
        <is>
          <t>ÖRNSKÖLDSVIK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52856-2025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45957</v>
      </c>
      <c r="E808" s="1" t="n">
        <v>46321</v>
      </c>
      <c r="F808" t="inlineStr">
        <is>
          <t>VÄSTERNORRLANDS LÄN</t>
        </is>
      </c>
      <c r="G808" t="inlineStr">
        <is>
          <t>ÖRNSKÖLDSVIK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48741-2023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45208</v>
      </c>
      <c r="E809" s="1" t="n">
        <v>46321</v>
      </c>
      <c r="F809" t="inlineStr">
        <is>
          <t>VÄSTERNORRLANDS LÄN</t>
        </is>
      </c>
      <c r="G809" t="inlineStr">
        <is>
          <t>ÖRNSKÖLDSVIK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52821-2025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45957</v>
      </c>
      <c r="E810" s="1" t="n">
        <v>46321</v>
      </c>
      <c r="F810" t="inlineStr">
        <is>
          <t>VÄSTERNORRLANDS LÄN</t>
        </is>
      </c>
      <c r="G810" t="inlineStr">
        <is>
          <t>ÖRNSKÖLDSVIK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26651-2026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46184</v>
      </c>
      <c r="E811" s="1" t="n">
        <v>46321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34648-2024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45526</v>
      </c>
      <c r="E812" s="1" t="n">
        <v>46321</v>
      </c>
      <c r="F812" t="inlineStr">
        <is>
          <t>VÄSTERNORRLANDS LÄN</t>
        </is>
      </c>
      <c r="G812" t="inlineStr">
        <is>
          <t>ÖRNSKÖLDSVIK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26737-2026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46184</v>
      </c>
      <c r="E813" s="1" t="n">
        <v>46321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26738-2026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46184</v>
      </c>
      <c r="E814" s="1" t="n">
        <v>46321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8664-2025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45712</v>
      </c>
      <c r="E815" s="1" t="n">
        <v>46321</v>
      </c>
      <c r="F815" t="inlineStr">
        <is>
          <t>VÄSTERNORRLANDS LÄN</t>
        </is>
      </c>
      <c r="G815" t="inlineStr">
        <is>
          <t>ÖRNSKÖLDSVIK</t>
        </is>
      </c>
      <c r="I815" t="n">
        <v>13.3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55417-2024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45622</v>
      </c>
      <c r="E816" s="1" t="n">
        <v>46321</v>
      </c>
      <c r="F816" t="inlineStr">
        <is>
          <t>VÄSTERNORRLANDS LÄN</t>
        </is>
      </c>
      <c r="G816" t="inlineStr">
        <is>
          <t>ÖRNSKÖLDSVIK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56095-2024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45624</v>
      </c>
      <c r="E817" s="1" t="n">
        <v>46321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26811-2026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46321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SCA</t>
        </is>
      </c>
      <c r="I818" t="n">
        <v>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26837-2026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46321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SCA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53653-2025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45960</v>
      </c>
      <c r="E820" s="1" t="n">
        <v>46321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SCA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49076-2023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45210</v>
      </c>
      <c r="E821" s="1" t="n">
        <v>46321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26899-2026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46185</v>
      </c>
      <c r="E822" s="1" t="n">
        <v>46321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53675-2025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45960</v>
      </c>
      <c r="E823" s="1" t="n">
        <v>46321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26809-2026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46321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SCA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48884-2024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46321</v>
      </c>
      <c r="F825" t="inlineStr">
        <is>
          <t>VÄSTERNORRLANDS LÄN</t>
        </is>
      </c>
      <c r="G825" t="inlineStr">
        <is>
          <t>ÖRNSKÖLDSVIK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58342-2024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45632</v>
      </c>
      <c r="E826" s="1" t="n">
        <v>46321</v>
      </c>
      <c r="F826" t="inlineStr">
        <is>
          <t>VÄSTERNORRLANDS LÄN</t>
        </is>
      </c>
      <c r="G826" t="inlineStr">
        <is>
          <t>ÖRNSKÖLDSVIK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26620-2026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46184</v>
      </c>
      <c r="E827" s="1" t="n">
        <v>46321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SCA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53740-2025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45960</v>
      </c>
      <c r="E828" s="1" t="n">
        <v>46321</v>
      </c>
      <c r="F828" t="inlineStr">
        <is>
          <t>VÄSTERNORRLANDS LÄN</t>
        </is>
      </c>
      <c r="G828" t="inlineStr">
        <is>
          <t>ÖRNSKÖLDSVIK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7909-2025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45707</v>
      </c>
      <c r="E829" s="1" t="n">
        <v>46321</v>
      </c>
      <c r="F829" t="inlineStr">
        <is>
          <t>VÄSTERNORRLANDS LÄN</t>
        </is>
      </c>
      <c r="G829" t="inlineStr">
        <is>
          <t>ÖRNSKÖLDSVIK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53733-2025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45960</v>
      </c>
      <c r="E830" s="1" t="n">
        <v>46321</v>
      </c>
      <c r="F830" t="inlineStr">
        <is>
          <t>VÄSTERNORRLANDS LÄN</t>
        </is>
      </c>
      <c r="G830" t="inlineStr">
        <is>
          <t>ÖRNSKÖLDSVIK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36282-2023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45149</v>
      </c>
      <c r="E831" s="1" t="n">
        <v>46321</v>
      </c>
      <c r="F831" t="inlineStr">
        <is>
          <t>VÄSTERNORRLANDS LÄN</t>
        </is>
      </c>
      <c r="G831" t="inlineStr">
        <is>
          <t>ÖRNSKÖLDSVIK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53374-2025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45959</v>
      </c>
      <c r="E832" s="1" t="n">
        <v>46321</v>
      </c>
      <c r="F832" t="inlineStr">
        <is>
          <t>VÄSTERNORRLANDS LÄN</t>
        </is>
      </c>
      <c r="G832" t="inlineStr">
        <is>
          <t>ÖRNSKÖLDSVIK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53528-2025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45960</v>
      </c>
      <c r="E833" s="1" t="n">
        <v>46321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9.1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26771-2026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46184</v>
      </c>
      <c r="E834" s="1" t="n">
        <v>46321</v>
      </c>
      <c r="F834" t="inlineStr">
        <is>
          <t>VÄSTERNORRLANDS LÄN</t>
        </is>
      </c>
      <c r="G834" t="inlineStr">
        <is>
          <t>ÖRNSKÖLDSVIK</t>
        </is>
      </c>
      <c r="I834" t="n">
        <v>8.5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26895-2026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46185</v>
      </c>
      <c r="E835" s="1" t="n">
        <v>46321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10.5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26896-2026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46185</v>
      </c>
      <c r="E836" s="1" t="n">
        <v>46321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53321-2025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45959</v>
      </c>
      <c r="E837" s="1" t="n">
        <v>46321</v>
      </c>
      <c r="F837" t="inlineStr">
        <is>
          <t>VÄSTERNORRLANDS LÄN</t>
        </is>
      </c>
      <c r="G837" t="inlineStr">
        <is>
          <t>ÖRNSKÖLDSVIK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5439-2025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45692</v>
      </c>
      <c r="E838" s="1" t="n">
        <v>46321</v>
      </c>
      <c r="F838" t="inlineStr">
        <is>
          <t>VÄSTERNORRLANDS LÄN</t>
        </is>
      </c>
      <c r="G838" t="inlineStr">
        <is>
          <t>ÖRNSKÖLDSVIK</t>
        </is>
      </c>
      <c r="I838" t="n">
        <v>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50878-2023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45218</v>
      </c>
      <c r="E839" s="1" t="n">
        <v>46321</v>
      </c>
      <c r="F839" t="inlineStr">
        <is>
          <t>VÄSTERNORRLANDS LÄN</t>
        </is>
      </c>
      <c r="G839" t="inlineStr">
        <is>
          <t>ÖRNSKÖLDSVIK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26617-2026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46184</v>
      </c>
      <c r="E840" s="1" t="n">
        <v>46321</v>
      </c>
      <c r="F840" t="inlineStr">
        <is>
          <t>VÄSTERNORRLANDS LÄN</t>
        </is>
      </c>
      <c r="G840" t="inlineStr">
        <is>
          <t>ÖRNSKÖLDSVIK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53922-2025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45961</v>
      </c>
      <c r="E841" s="1" t="n">
        <v>46321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10784-2023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44988</v>
      </c>
      <c r="E842" s="1" t="n">
        <v>46321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1531-2025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45670</v>
      </c>
      <c r="E843" s="1" t="n">
        <v>46321</v>
      </c>
      <c r="F843" t="inlineStr">
        <is>
          <t>VÄSTERNORRLANDS LÄN</t>
        </is>
      </c>
      <c r="G843" t="inlineStr">
        <is>
          <t>ÖRNSKÖLDSVIK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53902-2025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45961</v>
      </c>
      <c r="E844" s="1" t="n">
        <v>46321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53934-2025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45961</v>
      </c>
      <c r="E845" s="1" t="n">
        <v>46321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27091-2026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46188</v>
      </c>
      <c r="E846" s="1" t="n">
        <v>46321</v>
      </c>
      <c r="F846" t="inlineStr">
        <is>
          <t>VÄSTERNORRLANDS LÄN</t>
        </is>
      </c>
      <c r="G846" t="inlineStr">
        <is>
          <t>ÖRNSKÖLDSVIK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53799-2025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45960</v>
      </c>
      <c r="E847" s="1" t="n">
        <v>46321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9.6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27396-2026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46189</v>
      </c>
      <c r="E848" s="1" t="n">
        <v>46321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27270-2026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46188</v>
      </c>
      <c r="E849" s="1" t="n">
        <v>46321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27452-2026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46189</v>
      </c>
      <c r="E850" s="1" t="n">
        <v>46321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SCA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54042-2025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45963</v>
      </c>
      <c r="E851" s="1" t="n">
        <v>46321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53926-2025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45961</v>
      </c>
      <c r="E852" s="1" t="n">
        <v>46321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27297-2026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46188</v>
      </c>
      <c r="E853" s="1" t="n">
        <v>46321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27090-2026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46188</v>
      </c>
      <c r="E854" s="1" t="n">
        <v>46321</v>
      </c>
      <c r="F854" t="inlineStr">
        <is>
          <t>VÄSTERNORRLANDS LÄN</t>
        </is>
      </c>
      <c r="G854" t="inlineStr">
        <is>
          <t>ÖRNSKÖLDSVIK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54026-2025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45961</v>
      </c>
      <c r="E855" s="1" t="n">
        <v>46321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54024-2025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45961</v>
      </c>
      <c r="E856" s="1" t="n">
        <v>46321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27245-2026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46188</v>
      </c>
      <c r="E857" s="1" t="n">
        <v>46321</v>
      </c>
      <c r="F857" t="inlineStr">
        <is>
          <t>VÄSTERNORRLANDS LÄN</t>
        </is>
      </c>
      <c r="G857" t="inlineStr">
        <is>
          <t>ÖRNSKÖLDSVIK</t>
        </is>
      </c>
      <c r="I857" t="n">
        <v>5.2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54226-2025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45964</v>
      </c>
      <c r="E858" s="1" t="n">
        <v>46321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4.9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27412-2026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46189</v>
      </c>
      <c r="E859" s="1" t="n">
        <v>46321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54025-2025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45961</v>
      </c>
      <c r="E860" s="1" t="n">
        <v>46321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27798-2026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46189</v>
      </c>
      <c r="E861" s="1" t="n">
        <v>46321</v>
      </c>
      <c r="F861" t="inlineStr">
        <is>
          <t>VÄSTERNORRLANDS LÄN</t>
        </is>
      </c>
      <c r="G861" t="inlineStr">
        <is>
          <t>ÖRNSKÖLDSVIK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69593-2021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44532</v>
      </c>
      <c r="E862" s="1" t="n">
        <v>46321</v>
      </c>
      <c r="F862" t="inlineStr">
        <is>
          <t>VÄSTERNORRLANDS LÄN</t>
        </is>
      </c>
      <c r="G862" t="inlineStr">
        <is>
          <t>ÖRNSKÖLDSVIK</t>
        </is>
      </c>
      <c r="I862" t="n">
        <v>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52658-2024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45610</v>
      </c>
      <c r="E863" s="1" t="n">
        <v>46321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4.4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27408-2026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46189</v>
      </c>
      <c r="E864" s="1" t="n">
        <v>46321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27413-2026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46189</v>
      </c>
      <c r="E865" s="1" t="n">
        <v>46321</v>
      </c>
      <c r="F865" t="inlineStr">
        <is>
          <t>VÄSTERNORRLANDS LÄN</t>
        </is>
      </c>
      <c r="G865" t="inlineStr">
        <is>
          <t>ÖRNSKÖLDSVIK</t>
        </is>
      </c>
      <c r="I865" t="n">
        <v>9.199999999999999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27178-2026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46188</v>
      </c>
      <c r="E866" s="1" t="n">
        <v>46321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27407-2026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46189</v>
      </c>
      <c r="E867" s="1" t="n">
        <v>46321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37150-2023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45155</v>
      </c>
      <c r="E868" s="1" t="n">
        <v>46321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27198-2026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46188</v>
      </c>
      <c r="E869" s="1" t="n">
        <v>46321</v>
      </c>
      <c r="F869" t="inlineStr">
        <is>
          <t>VÄSTERNORRLANDS LÄN</t>
        </is>
      </c>
      <c r="G869" t="inlineStr">
        <is>
          <t>ÖRNSKÖLDSVIK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46481-2023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45194</v>
      </c>
      <c r="E870" s="1" t="n">
        <v>46321</v>
      </c>
      <c r="F870" t="inlineStr">
        <is>
          <t>VÄSTERNORRLANDS LÄN</t>
        </is>
      </c>
      <c r="G870" t="inlineStr">
        <is>
          <t>ÖRNSKÖLDSVIK</t>
        </is>
      </c>
      <c r="I870" t="n">
        <v>18.8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40066-2023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45168</v>
      </c>
      <c r="E871" s="1" t="n">
        <v>46321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54349-2025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45965</v>
      </c>
      <c r="E872" s="1" t="n">
        <v>46321</v>
      </c>
      <c r="F872" t="inlineStr">
        <is>
          <t>VÄSTERNORRLANDS LÄN</t>
        </is>
      </c>
      <c r="G872" t="inlineStr">
        <is>
          <t>ÖRNSKÖLDSVIK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27095-2026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46188</v>
      </c>
      <c r="E873" s="1" t="n">
        <v>46321</v>
      </c>
      <c r="F873" t="inlineStr">
        <is>
          <t>VÄSTERNORRLANDS LÄN</t>
        </is>
      </c>
      <c r="G873" t="inlineStr">
        <is>
          <t>ÖRNSKÖLDSVIK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25001-2024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45461</v>
      </c>
      <c r="E874" s="1" t="n">
        <v>46321</v>
      </c>
      <c r="F874" t="inlineStr">
        <is>
          <t>VÄSTERNORRLANDS LÄN</t>
        </is>
      </c>
      <c r="G874" t="inlineStr">
        <is>
          <t>ÖRNSKÖLDSVIK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27132-2026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46188</v>
      </c>
      <c r="E875" s="1" t="n">
        <v>46321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27845-2026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46191</v>
      </c>
      <c r="E876" s="1" t="n">
        <v>46321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42059-2023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45177</v>
      </c>
      <c r="E877" s="1" t="n">
        <v>46321</v>
      </c>
      <c r="F877" t="inlineStr">
        <is>
          <t>VÄSTERNORRLANDS LÄN</t>
        </is>
      </c>
      <c r="G877" t="inlineStr">
        <is>
          <t>ÖRNSKÖLDSVIK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58710-2024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45635</v>
      </c>
      <c r="E878" s="1" t="n">
        <v>46321</v>
      </c>
      <c r="F878" t="inlineStr">
        <is>
          <t>VÄSTERNORRLANDS LÄN</t>
        </is>
      </c>
      <c r="G878" t="inlineStr">
        <is>
          <t>ÖRNSKÖLDSVIK</t>
        </is>
      </c>
      <c r="I878" t="n">
        <v>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48703-2023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45208</v>
      </c>
      <c r="E879" s="1" t="n">
        <v>46321</v>
      </c>
      <c r="F879" t="inlineStr">
        <is>
          <t>VÄSTERNORRLANDS LÄN</t>
        </is>
      </c>
      <c r="G879" t="inlineStr">
        <is>
          <t>ÖRNSKÖLDSVIK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21398-2026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46146</v>
      </c>
      <c r="E880" s="1" t="n">
        <v>46321</v>
      </c>
      <c r="F880" t="inlineStr">
        <is>
          <t>VÄSTERNORRLANDS LÄN</t>
        </is>
      </c>
      <c r="G880" t="inlineStr">
        <is>
          <t>ÖRNSKÖLDSVIK</t>
        </is>
      </c>
      <c r="I880" t="n">
        <v>8.300000000000001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54511-2025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45965</v>
      </c>
      <c r="E881" s="1" t="n">
        <v>46321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59451-2023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45254</v>
      </c>
      <c r="E882" s="1" t="n">
        <v>46321</v>
      </c>
      <c r="F882" t="inlineStr">
        <is>
          <t>VÄSTERNORRLANDS LÄN</t>
        </is>
      </c>
      <c r="G882" t="inlineStr">
        <is>
          <t>ÖRNSKÖLDSVIK</t>
        </is>
      </c>
      <c r="I882" t="n">
        <v>5.9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54484-2025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45965</v>
      </c>
      <c r="E883" s="1" t="n">
        <v>46321</v>
      </c>
      <c r="F883" t="inlineStr">
        <is>
          <t>VÄSTERNORRLANDS LÄN</t>
        </is>
      </c>
      <c r="G883" t="inlineStr">
        <is>
          <t>ÖRNSKÖLDSVIK</t>
        </is>
      </c>
      <c r="I883" t="n">
        <v>6.7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54500-2025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45965</v>
      </c>
      <c r="E884" s="1" t="n">
        <v>46321</v>
      </c>
      <c r="F884" t="inlineStr">
        <is>
          <t>VÄSTERNORRLANDS LÄN</t>
        </is>
      </c>
      <c r="G884" t="inlineStr">
        <is>
          <t>ÖRNSKÖLDSVIK</t>
        </is>
      </c>
      <c r="I884" t="n">
        <v>5.4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54620-2025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45966</v>
      </c>
      <c r="E885" s="1" t="n">
        <v>46321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SCA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54539-2025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45965</v>
      </c>
      <c r="E886" s="1" t="n">
        <v>46321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6.1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34603-2024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45526</v>
      </c>
      <c r="E887" s="1" t="n">
        <v>46321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27719-2026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46191</v>
      </c>
      <c r="E888" s="1" t="n">
        <v>46321</v>
      </c>
      <c r="F888" t="inlineStr">
        <is>
          <t>VÄSTERNORRLANDS LÄN</t>
        </is>
      </c>
      <c r="G888" t="inlineStr">
        <is>
          <t>ÖRNSKÖLDSVIK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27565-2026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46190</v>
      </c>
      <c r="E889" s="1" t="n">
        <v>46321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17.7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27538-2026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46190</v>
      </c>
      <c r="E890" s="1" t="n">
        <v>46321</v>
      </c>
      <c r="F890" t="inlineStr">
        <is>
          <t>VÄSTERNORRLANDS LÄN</t>
        </is>
      </c>
      <c r="G890" t="inlineStr">
        <is>
          <t>ÖRNSKÖLDSVIK</t>
        </is>
      </c>
      <c r="I890" t="n">
        <v>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55093-2025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45968</v>
      </c>
      <c r="E891" s="1" t="n">
        <v>46321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SCA</t>
        </is>
      </c>
      <c r="I891" t="n">
        <v>4.9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27721-2026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46191</v>
      </c>
      <c r="E892" s="1" t="n">
        <v>46321</v>
      </c>
      <c r="F892" t="inlineStr">
        <is>
          <t>VÄSTERNORRLANDS LÄN</t>
        </is>
      </c>
      <c r="G892" t="inlineStr">
        <is>
          <t>ÖRNSKÖLDSVIK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27548-2026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46190</v>
      </c>
      <c r="E893" s="1" t="n">
        <v>46321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55219-2025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45968</v>
      </c>
      <c r="E894" s="1" t="n">
        <v>46321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55244-2025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45968</v>
      </c>
      <c r="E895" s="1" t="n">
        <v>46321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55091-2025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45968</v>
      </c>
      <c r="E896" s="1" t="n">
        <v>46321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SCA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2129-2024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45309</v>
      </c>
      <c r="E897" s="1" t="n">
        <v>46321</v>
      </c>
      <c r="F897" t="inlineStr">
        <is>
          <t>VÄSTERNORRLANDS LÄN</t>
        </is>
      </c>
      <c r="G897" t="inlineStr">
        <is>
          <t>ÖRNSKÖLDSVIK</t>
        </is>
      </c>
      <c r="I897" t="n">
        <v>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28091-2026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46195</v>
      </c>
      <c r="E898" s="1" t="n">
        <v>46321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55397-2025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45971</v>
      </c>
      <c r="E899" s="1" t="n">
        <v>46321</v>
      </c>
      <c r="F899" t="inlineStr">
        <is>
          <t>VÄSTERNORRLANDS LÄN</t>
        </is>
      </c>
      <c r="G899" t="inlineStr">
        <is>
          <t>ÖRNSKÖLDSVIK</t>
        </is>
      </c>
      <c r="I899" t="n">
        <v>8.4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55657-2025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45972</v>
      </c>
      <c r="E900" s="1" t="n">
        <v>46321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27986-2026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46195</v>
      </c>
      <c r="E901" s="1" t="n">
        <v>46321</v>
      </c>
      <c r="F901" t="inlineStr">
        <is>
          <t>VÄSTERNORRLANDS LÄN</t>
        </is>
      </c>
      <c r="G901" t="inlineStr">
        <is>
          <t>ÖRNSKÖLDSVIK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28109-2026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46195</v>
      </c>
      <c r="E902" s="1" t="n">
        <v>46321</v>
      </c>
      <c r="F902" t="inlineStr">
        <is>
          <t>VÄSTERNORRLANDS LÄN</t>
        </is>
      </c>
      <c r="G902" t="inlineStr">
        <is>
          <t>ÖRNSKÖLDSVIK</t>
        </is>
      </c>
      <c r="I902" t="n">
        <v>8.5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28145-2026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46195</v>
      </c>
      <c r="E903" s="1" t="n">
        <v>46321</v>
      </c>
      <c r="F903" t="inlineStr">
        <is>
          <t>VÄSTERNORRLANDS LÄN</t>
        </is>
      </c>
      <c r="G903" t="inlineStr">
        <is>
          <t>ÖRNSKÖLDSVIK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28151-2026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46195</v>
      </c>
      <c r="E904" s="1" t="n">
        <v>46321</v>
      </c>
      <c r="F904" t="inlineStr">
        <is>
          <t>VÄSTERNORRLANDS LÄN</t>
        </is>
      </c>
      <c r="G904" t="inlineStr">
        <is>
          <t>ÖRNSKÖLDSVIK</t>
        </is>
      </c>
      <c r="I904" t="n">
        <v>26.1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27983-2026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46195</v>
      </c>
      <c r="E905" s="1" t="n">
        <v>46321</v>
      </c>
      <c r="F905" t="inlineStr">
        <is>
          <t>VÄSTERNORRLANDS LÄN</t>
        </is>
      </c>
      <c r="G905" t="inlineStr">
        <is>
          <t>ÖRNSKÖLDSVIK</t>
        </is>
      </c>
      <c r="I905" t="n">
        <v>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27988-2026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46195</v>
      </c>
      <c r="E906" s="1" t="n">
        <v>46321</v>
      </c>
      <c r="F906" t="inlineStr">
        <is>
          <t>VÄSTERNORRLANDS LÄN</t>
        </is>
      </c>
      <c r="G906" t="inlineStr">
        <is>
          <t>ÖRNSKÖLDSVIK</t>
        </is>
      </c>
      <c r="I906" t="n">
        <v>8.5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28089-2026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46195</v>
      </c>
      <c r="E907" s="1" t="n">
        <v>46321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55749-2025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45972</v>
      </c>
      <c r="E908" s="1" t="n">
        <v>46321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27971-2026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46195</v>
      </c>
      <c r="E909" s="1" t="n">
        <v>46321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55747-2025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45972</v>
      </c>
      <c r="E910" s="1" t="n">
        <v>46321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45659</v>
      </c>
      <c r="E911" s="1" t="n">
        <v>46321</v>
      </c>
      <c r="F911" t="inlineStr">
        <is>
          <t>VÄSTERNORRLANDS LÄN</t>
        </is>
      </c>
      <c r="G911" t="inlineStr">
        <is>
          <t>ÖRNSKÖLDSVIK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16193-2023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45027</v>
      </c>
      <c r="E912" s="1" t="n">
        <v>46321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SCA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55659-2025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45972</v>
      </c>
      <c r="E913" s="1" t="n">
        <v>46321</v>
      </c>
      <c r="F913" t="inlineStr">
        <is>
          <t>VÄSTERNORRLANDS LÄN</t>
        </is>
      </c>
      <c r="G913" t="inlineStr">
        <is>
          <t>ÖRNSKÖLDSVIK</t>
        </is>
      </c>
      <c r="I913" t="n">
        <v>5.5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55663-2025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45972</v>
      </c>
      <c r="E914" s="1" t="n">
        <v>46321</v>
      </c>
      <c r="F914" t="inlineStr">
        <is>
          <t>VÄSTERNORRLANDS LÄN</t>
        </is>
      </c>
      <c r="G914" t="inlineStr">
        <is>
          <t>ÖRNSKÖLDSVIK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27949-2026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46192</v>
      </c>
      <c r="E915" s="1" t="n">
        <v>46321</v>
      </c>
      <c r="F915" t="inlineStr">
        <is>
          <t>VÄSTERNORRLANDS LÄN</t>
        </is>
      </c>
      <c r="G915" t="inlineStr">
        <is>
          <t>ÖRNSKÖLDSVIK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55466-2025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45971</v>
      </c>
      <c r="E916" s="1" t="n">
        <v>46321</v>
      </c>
      <c r="F916" t="inlineStr">
        <is>
          <t>VÄSTERNORRLANDS LÄN</t>
        </is>
      </c>
      <c r="G916" t="inlineStr">
        <is>
          <t>ÖRNSKÖLDSVIK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55449-2025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45971</v>
      </c>
      <c r="E917" s="1" t="n">
        <v>46321</v>
      </c>
      <c r="F917" t="inlineStr">
        <is>
          <t>VÄSTERNORRLANDS LÄN</t>
        </is>
      </c>
      <c r="G917" t="inlineStr">
        <is>
          <t>ÖRNSKÖLDSVIK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55779-2025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45972</v>
      </c>
      <c r="E918" s="1" t="n">
        <v>46321</v>
      </c>
      <c r="F918" t="inlineStr">
        <is>
          <t>VÄSTERNORRLANDS LÄN</t>
        </is>
      </c>
      <c r="G918" t="inlineStr">
        <is>
          <t>ÖRNSKÖLDSVIK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28502-2026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46197</v>
      </c>
      <c r="E919" s="1" t="n">
        <v>46321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28514-2026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46197</v>
      </c>
      <c r="E920" s="1" t="n">
        <v>46321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37926-2024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45544</v>
      </c>
      <c r="E921" s="1" t="n">
        <v>46321</v>
      </c>
      <c r="F921" t="inlineStr">
        <is>
          <t>VÄSTERNORRLANDS LÄN</t>
        </is>
      </c>
      <c r="G921" t="inlineStr">
        <is>
          <t>ÖRNSKÖLDSVIK</t>
        </is>
      </c>
      <c r="I921" t="n">
        <v>5.7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37930-2024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45544</v>
      </c>
      <c r="E922" s="1" t="n">
        <v>46321</v>
      </c>
      <c r="F922" t="inlineStr">
        <is>
          <t>VÄSTERNORRLANDS LÄN</t>
        </is>
      </c>
      <c r="G922" t="inlineStr">
        <is>
          <t>ÖRNSKÖLDSVIK</t>
        </is>
      </c>
      <c r="I922" t="n">
        <v>6.8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11156-2025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45723</v>
      </c>
      <c r="E923" s="1" t="n">
        <v>46321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32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55402-2025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45971</v>
      </c>
      <c r="E924" s="1" t="n">
        <v>46321</v>
      </c>
      <c r="F924" t="inlineStr">
        <is>
          <t>VÄSTERNORRLANDS LÄN</t>
        </is>
      </c>
      <c r="G924" t="inlineStr">
        <is>
          <t>ÖRNSKÖLDSVIK</t>
        </is>
      </c>
      <c r="I924" t="n">
        <v>4.9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28570-2026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46197</v>
      </c>
      <c r="E925" s="1" t="n">
        <v>46321</v>
      </c>
      <c r="F925" t="inlineStr">
        <is>
          <t>VÄSTERNORRLANDS LÄN</t>
        </is>
      </c>
      <c r="G925" t="inlineStr">
        <is>
          <t>ÖRNSKÖLDSVIK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28405-2026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46197</v>
      </c>
      <c r="E926" s="1" t="n">
        <v>46321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55937-2025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45973</v>
      </c>
      <c r="E927" s="1" t="n">
        <v>46321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56164-2025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45974</v>
      </c>
      <c r="E928" s="1" t="n">
        <v>46321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6.1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43891-2024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45572</v>
      </c>
      <c r="E929" s="1" t="n">
        <v>46321</v>
      </c>
      <c r="F929" t="inlineStr">
        <is>
          <t>VÄSTERNORRLANDS LÄN</t>
        </is>
      </c>
      <c r="G929" t="inlineStr">
        <is>
          <t>ÖRNSKÖLDSVIK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28395-2026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46196</v>
      </c>
      <c r="E930" s="1" t="n">
        <v>46321</v>
      </c>
      <c r="F930" t="inlineStr">
        <is>
          <t>VÄSTERNORRLANDS LÄN</t>
        </is>
      </c>
      <c r="G930" t="inlineStr">
        <is>
          <t>ÖRNSKÖLDSVIK</t>
        </is>
      </c>
      <c r="I930" t="n">
        <v>12.3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28555-2026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46197</v>
      </c>
      <c r="E931" s="1" t="n">
        <v>46321</v>
      </c>
      <c r="F931" t="inlineStr">
        <is>
          <t>VÄSTERNORRLANDS LÄN</t>
        </is>
      </c>
      <c r="G931" t="inlineStr">
        <is>
          <t>ÖRNSKÖLDSVIK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55774-2023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45239</v>
      </c>
      <c r="E932" s="1" t="n">
        <v>46321</v>
      </c>
      <c r="F932" t="inlineStr">
        <is>
          <t>VÄSTERNORRLANDS LÄN</t>
        </is>
      </c>
      <c r="G932" t="inlineStr">
        <is>
          <t>ÖRNSKÖLDSVIK</t>
        </is>
      </c>
      <c r="I932" t="n">
        <v>4.5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28396-2026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46197</v>
      </c>
      <c r="E933" s="1" t="n">
        <v>46321</v>
      </c>
      <c r="F933" t="inlineStr">
        <is>
          <t>VÄSTERNORRLANDS LÄN</t>
        </is>
      </c>
      <c r="G933" t="inlineStr">
        <is>
          <t>ÖRNSKÖLDSVIK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28499-2026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46197</v>
      </c>
      <c r="E934" s="1" t="n">
        <v>46321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28519-2026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46197</v>
      </c>
      <c r="E935" s="1" t="n">
        <v>46321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6.3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22519-2024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45447</v>
      </c>
      <c r="E936" s="1" t="n">
        <v>46321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56160-2025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45974</v>
      </c>
      <c r="E937" s="1" t="n">
        <v>46321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28558-2026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46197</v>
      </c>
      <c r="E938" s="1" t="n">
        <v>46321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55933-2025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45973</v>
      </c>
      <c r="E939" s="1" t="n">
        <v>46321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4.8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55904-2025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45973</v>
      </c>
      <c r="E940" s="1" t="n">
        <v>46321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28356-2026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46196</v>
      </c>
      <c r="E941" s="1" t="n">
        <v>46321</v>
      </c>
      <c r="F941" t="inlineStr">
        <is>
          <t>VÄSTERNORRLANDS LÄN</t>
        </is>
      </c>
      <c r="G941" t="inlineStr">
        <is>
          <t>ÖRNSKÖLDSVIK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55960-2025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45973</v>
      </c>
      <c r="E942" s="1" t="n">
        <v>46321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3.6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56222-2025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45974</v>
      </c>
      <c r="E943" s="1" t="n">
        <v>46321</v>
      </c>
      <c r="F943" t="inlineStr">
        <is>
          <t>VÄSTERNORRLANDS LÄN</t>
        </is>
      </c>
      <c r="G943" t="inlineStr">
        <is>
          <t>ÖRNSKÖLDSVIK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56223-2025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45974</v>
      </c>
      <c r="E944" s="1" t="n">
        <v>46321</v>
      </c>
      <c r="F944" t="inlineStr">
        <is>
          <t>VÄSTERNORRLANDS LÄN</t>
        </is>
      </c>
      <c r="G944" t="inlineStr">
        <is>
          <t>ÖRNSKÖLDSVIK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28208-2026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46196</v>
      </c>
      <c r="E945" s="1" t="n">
        <v>46321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3.1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28214-2026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46196</v>
      </c>
      <c r="E946" s="1" t="n">
        <v>46321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SCA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55655-2025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45972</v>
      </c>
      <c r="E947" s="1" t="n">
        <v>46321</v>
      </c>
      <c r="F947" t="inlineStr">
        <is>
          <t>VÄSTERNORRLANDS LÄN</t>
        </is>
      </c>
      <c r="G947" t="inlineStr">
        <is>
          <t>ÖRNSKÖLDSVIK</t>
        </is>
      </c>
      <c r="I947" t="n">
        <v>8.9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23433-2023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45076</v>
      </c>
      <c r="E948" s="1" t="n">
        <v>46321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3.6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21737-2023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45065</v>
      </c>
      <c r="E949" s="1" t="n">
        <v>46321</v>
      </c>
      <c r="F949" t="inlineStr">
        <is>
          <t>VÄSTERNORRLANDS LÄN</t>
        </is>
      </c>
      <c r="G949" t="inlineStr">
        <is>
          <t>ÖRNSKÖLDSVIK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61102-2024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45645</v>
      </c>
      <c r="E950" s="1" t="n">
        <v>46321</v>
      </c>
      <c r="F950" t="inlineStr">
        <is>
          <t>VÄSTERNORRLANDS LÄN</t>
        </is>
      </c>
      <c r="G950" t="inlineStr">
        <is>
          <t>ÖRNSKÖLDSVIK</t>
        </is>
      </c>
      <c r="I950" t="n">
        <v>8.5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55862-2025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45973</v>
      </c>
      <c r="E951" s="1" t="n">
        <v>46321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55994-2025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45973</v>
      </c>
      <c r="E952" s="1" t="n">
        <v>46321</v>
      </c>
      <c r="F952" t="inlineStr">
        <is>
          <t>VÄSTERNORRLANDS LÄN</t>
        </is>
      </c>
      <c r="G952" t="inlineStr">
        <is>
          <t>ÖRNSKÖLDSVIK</t>
        </is>
      </c>
      <c r="I952" t="n">
        <v>4.4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56153-2025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45974</v>
      </c>
      <c r="E953" s="1" t="n">
        <v>46321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SCA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28197-2026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46196</v>
      </c>
      <c r="E954" s="1" t="n">
        <v>46321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28552-2026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46197</v>
      </c>
      <c r="E955" s="1" t="n">
        <v>46321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22263-2023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45068</v>
      </c>
      <c r="E956" s="1" t="n">
        <v>46321</v>
      </c>
      <c r="F956" t="inlineStr">
        <is>
          <t>VÄSTERNORRLANDS LÄN</t>
        </is>
      </c>
      <c r="G956" t="inlineStr">
        <is>
          <t>ÖRNSKÖLDSVIK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55954-2025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45973</v>
      </c>
      <c r="E957" s="1" t="n">
        <v>46321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28199-2026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46196</v>
      </c>
      <c r="E958" s="1" t="n">
        <v>46321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21234-2023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45058</v>
      </c>
      <c r="E959" s="1" t="n">
        <v>46321</v>
      </c>
      <c r="F959" t="inlineStr">
        <is>
          <t>VÄSTERNORRLANDS LÄN</t>
        </is>
      </c>
      <c r="G959" t="inlineStr">
        <is>
          <t>ÖRNSKÖLDSVIK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56053-2025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45973</v>
      </c>
      <c r="E960" s="1" t="n">
        <v>46321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0.2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28205-2026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46196</v>
      </c>
      <c r="E961" s="1" t="n">
        <v>46321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28213-2026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46196</v>
      </c>
      <c r="E962" s="1" t="n">
        <v>46321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56034-2025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45973</v>
      </c>
      <c r="E963" s="1" t="n">
        <v>46321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4.7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59222-2022</t>
        </is>
      </c>
      <c r="B964" t="inlineStr">
        <is>
          <t>avverkningsanmälan</t>
        </is>
      </c>
      <c r="C964" t="inlineStr">
        <is>
          <t>Avverkning för att bevara och utveckla /försöksver</t>
        </is>
      </c>
      <c r="D964" s="1" t="n">
        <v>44904</v>
      </c>
      <c r="E964" s="1" t="n">
        <v>46321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7.4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59787-2022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44908</v>
      </c>
      <c r="E965" s="1" t="n">
        <v>46321</v>
      </c>
      <c r="F965" t="inlineStr">
        <is>
          <t>VÄSTERNORRLANDS LÄN</t>
        </is>
      </c>
      <c r="G965" t="inlineStr">
        <is>
          <t>ÖRNSKÖLDSVIK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28621-2026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46198</v>
      </c>
      <c r="E966" s="1" t="n">
        <v>46321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10970-2023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44985</v>
      </c>
      <c r="E967" s="1" t="n">
        <v>46321</v>
      </c>
      <c r="F967" t="inlineStr">
        <is>
          <t>VÄSTERNORRLANDS LÄN</t>
        </is>
      </c>
      <c r="G967" t="inlineStr">
        <is>
          <t>ÖRNSKÖLDSVIK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56496-2025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45975</v>
      </c>
      <c r="E968" s="1" t="n">
        <v>46321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SCA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56933-2025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45978</v>
      </c>
      <c r="E969" s="1" t="n">
        <v>46321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9.300000000000001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28701-2026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46198</v>
      </c>
      <c r="E970" s="1" t="n">
        <v>46321</v>
      </c>
      <c r="F970" t="inlineStr">
        <is>
          <t>VÄSTERNORRLANDS LÄN</t>
        </is>
      </c>
      <c r="G970" t="inlineStr">
        <is>
          <t>ÖRNSKÖLDSVIK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28759-2026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46198</v>
      </c>
      <c r="E971" s="1" t="n">
        <v>46321</v>
      </c>
      <c r="F971" t="inlineStr">
        <is>
          <t>VÄSTERNORRLANDS LÄN</t>
        </is>
      </c>
      <c r="G971" t="inlineStr">
        <is>
          <t>ÖRNSKÖLDSVIK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56995-2025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45978</v>
      </c>
      <c r="E972" s="1" t="n">
        <v>46321</v>
      </c>
      <c r="F972" t="inlineStr">
        <is>
          <t>VÄSTERNORRLANDS LÄN</t>
        </is>
      </c>
      <c r="G972" t="inlineStr">
        <is>
          <t>ÖRNSKÖLDSVIK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56764-2025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45978</v>
      </c>
      <c r="E973" s="1" t="n">
        <v>46321</v>
      </c>
      <c r="F973" t="inlineStr">
        <is>
          <t>VÄSTERNORRLANDS LÄN</t>
        </is>
      </c>
      <c r="G973" t="inlineStr">
        <is>
          <t>ÖRNSKÖLDSVIK</t>
        </is>
      </c>
      <c r="I973" t="n">
        <v>6.8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43242-2023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45183</v>
      </c>
      <c r="E974" s="1" t="n">
        <v>46321</v>
      </c>
      <c r="F974" t="inlineStr">
        <is>
          <t>VÄSTERNORRLANDS LÄN</t>
        </is>
      </c>
      <c r="G974" t="inlineStr">
        <is>
          <t>ÖRNSKÖLDSVIK</t>
        </is>
      </c>
      <c r="I974" t="n">
        <v>3.3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56450-2025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45975</v>
      </c>
      <c r="E975" s="1" t="n">
        <v>46321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56992-2025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45978</v>
      </c>
      <c r="E976" s="1" t="n">
        <v>46321</v>
      </c>
      <c r="F976" t="inlineStr">
        <is>
          <t>VÄSTERNORRLANDS LÄN</t>
        </is>
      </c>
      <c r="G976" t="inlineStr">
        <is>
          <t>ÖRNSKÖLDSVIK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56979-2024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45628</v>
      </c>
      <c r="E977" s="1" t="n">
        <v>46321</v>
      </c>
      <c r="F977" t="inlineStr">
        <is>
          <t>VÄSTERNORRLANDS LÄN</t>
        </is>
      </c>
      <c r="G977" t="inlineStr">
        <is>
          <t>ÖRNSKÖLDSVIK</t>
        </is>
      </c>
      <c r="I977" t="n">
        <v>11.6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56991-2024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45628</v>
      </c>
      <c r="E978" s="1" t="n">
        <v>46321</v>
      </c>
      <c r="F978" t="inlineStr">
        <is>
          <t>VÄSTERNORRLANDS LÄN</t>
        </is>
      </c>
      <c r="G978" t="inlineStr">
        <is>
          <t>ÖRNSKÖLDSVIK</t>
        </is>
      </c>
      <c r="I978" t="n">
        <v>4.9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28885-2026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46199</v>
      </c>
      <c r="E979" s="1" t="n">
        <v>46321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SCA</t>
        </is>
      </c>
      <c r="I979" t="n">
        <v>8.4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36247-2024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45534</v>
      </c>
      <c r="E980" s="1" t="n">
        <v>46321</v>
      </c>
      <c r="F980" t="inlineStr">
        <is>
          <t>VÄSTERNORRLANDS LÄN</t>
        </is>
      </c>
      <c r="G980" t="inlineStr">
        <is>
          <t>ÖRNSKÖLDSVIK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29003-2026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46199</v>
      </c>
      <c r="E981" s="1" t="n">
        <v>46321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7.8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13907-2025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45737</v>
      </c>
      <c r="E982" s="1" t="n">
        <v>46321</v>
      </c>
      <c r="F982" t="inlineStr">
        <is>
          <t>VÄSTERNORRLANDS LÄN</t>
        </is>
      </c>
      <c r="G982" t="inlineStr">
        <is>
          <t>ÖRNSKÖLDSVIK</t>
        </is>
      </c>
      <c r="I982" t="n">
        <v>3.6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28896-2026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46199</v>
      </c>
      <c r="E983" s="1" t="n">
        <v>46321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6.4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61716-2024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45648</v>
      </c>
      <c r="E984" s="1" t="n">
        <v>46321</v>
      </c>
      <c r="F984" t="inlineStr">
        <is>
          <t>VÄSTERNORRLANDS LÄN</t>
        </is>
      </c>
      <c r="G984" t="inlineStr">
        <is>
          <t>ÖRNSKÖLDSVIK</t>
        </is>
      </c>
      <c r="I984" t="n">
        <v>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54791-2024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45618</v>
      </c>
      <c r="E985" s="1" t="n">
        <v>46321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49860-2024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45597</v>
      </c>
      <c r="E986" s="1" t="n">
        <v>46321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4794-2024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45328</v>
      </c>
      <c r="E987" s="1" t="n">
        <v>46321</v>
      </c>
      <c r="F987" t="inlineStr">
        <is>
          <t>VÄSTERNORRLANDS LÄN</t>
        </is>
      </c>
      <c r="G987" t="inlineStr">
        <is>
          <t>ÖRNSKÖLDSVIK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29163-2024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45482</v>
      </c>
      <c r="E988" s="1" t="n">
        <v>46321</v>
      </c>
      <c r="F988" t="inlineStr">
        <is>
          <t>VÄSTERNORRLANDS LÄN</t>
        </is>
      </c>
      <c r="G988" t="inlineStr">
        <is>
          <t>ÖRNSKÖLDSVIK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62743-2021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44504</v>
      </c>
      <c r="E989" s="1" t="n">
        <v>46321</v>
      </c>
      <c r="F989" t="inlineStr">
        <is>
          <t>VÄSTERNORRLANDS LÄN</t>
        </is>
      </c>
      <c r="G989" t="inlineStr">
        <is>
          <t>ÖRNSKÖLDSVIK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29995-2026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46202</v>
      </c>
      <c r="E990" s="1" t="n">
        <v>46321</v>
      </c>
      <c r="F990" t="inlineStr">
        <is>
          <t>VÄSTERNORRLANDS LÄN</t>
        </is>
      </c>
      <c r="G990" t="inlineStr">
        <is>
          <t>ÖRNSKÖLDSVIK</t>
        </is>
      </c>
      <c r="I990" t="n">
        <v>6.8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57389-2025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45980</v>
      </c>
      <c r="E991" s="1" t="n">
        <v>46321</v>
      </c>
      <c r="F991" t="inlineStr">
        <is>
          <t>VÄSTERNORRLANDS LÄN</t>
        </is>
      </c>
      <c r="G991" t="inlineStr">
        <is>
          <t>ÖRNSKÖLDSVIK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57475-2025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45980</v>
      </c>
      <c r="E992" s="1" t="n">
        <v>46321</v>
      </c>
      <c r="F992" t="inlineStr">
        <is>
          <t>VÄSTERNORRLANDS LÄN</t>
        </is>
      </c>
      <c r="G992" t="inlineStr">
        <is>
          <t>ÖRNSKÖLDSVIK</t>
        </is>
      </c>
      <c r="I992" t="n">
        <v>6.5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57568-2025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45980</v>
      </c>
      <c r="E993" s="1" t="n">
        <v>46321</v>
      </c>
      <c r="F993" t="inlineStr">
        <is>
          <t>VÄSTERNORRLANDS LÄN</t>
        </is>
      </c>
      <c r="G993" t="inlineStr">
        <is>
          <t>ÖRNSKÖLDSVIK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38296-2024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45545</v>
      </c>
      <c r="E994" s="1" t="n">
        <v>46321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28676-2026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46198</v>
      </c>
      <c r="E995" s="1" t="n">
        <v>46321</v>
      </c>
      <c r="F995" t="inlineStr">
        <is>
          <t>VÄSTERNORRLANDS LÄN</t>
        </is>
      </c>
      <c r="G995" t="inlineStr">
        <is>
          <t>ÖRNSKÖLDSVIK</t>
        </is>
      </c>
      <c r="I995" t="n">
        <v>3.9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26723-2024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45470</v>
      </c>
      <c r="E996" s="1" t="n">
        <v>46321</v>
      </c>
      <c r="F996" t="inlineStr">
        <is>
          <t>VÄSTERNORRLANDS LÄN</t>
        </is>
      </c>
      <c r="G996" t="inlineStr">
        <is>
          <t>ÖRNSKÖLDSVIK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29302-2026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46202</v>
      </c>
      <c r="E997" s="1" t="n">
        <v>46321</v>
      </c>
      <c r="F997" t="inlineStr">
        <is>
          <t>VÄSTERNORRLANDS LÄN</t>
        </is>
      </c>
      <c r="G997" t="inlineStr">
        <is>
          <t>ÖRNSKÖLDSVIK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29236-2026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46202</v>
      </c>
      <c r="E998" s="1" t="n">
        <v>46321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7.4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30544-2026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46204</v>
      </c>
      <c r="E999" s="1" t="n">
        <v>46321</v>
      </c>
      <c r="F999" t="inlineStr">
        <is>
          <t>VÄSTERNORRLANDS LÄN</t>
        </is>
      </c>
      <c r="G999" t="inlineStr">
        <is>
          <t>ÖRNSKÖLDSVIK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16799-2023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45028</v>
      </c>
      <c r="E1000" s="1" t="n">
        <v>46321</v>
      </c>
      <c r="F1000" t="inlineStr">
        <is>
          <t>VÄSTERNORRLANDS LÄN</t>
        </is>
      </c>
      <c r="G1000" t="inlineStr">
        <is>
          <t>ÖRNSKÖLDSVIK</t>
        </is>
      </c>
      <c r="I1000" t="n">
        <v>0.3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29168-2026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46202</v>
      </c>
      <c r="E1001" s="1" t="n">
        <v>46321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5.5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57470-2025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45980</v>
      </c>
      <c r="E1002" s="1" t="n">
        <v>46321</v>
      </c>
      <c r="F1002" t="inlineStr">
        <is>
          <t>VÄSTERNORRLANDS LÄN</t>
        </is>
      </c>
      <c r="G1002" t="inlineStr">
        <is>
          <t>ÖRNSKÖLDSVIK</t>
        </is>
      </c>
      <c r="I1002" t="n">
        <v>5.4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29159-2026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46202</v>
      </c>
      <c r="E1003" s="1" t="n">
        <v>46321</v>
      </c>
      <c r="F1003" t="inlineStr">
        <is>
          <t>VÄSTERNORRLANDS LÄN</t>
        </is>
      </c>
      <c r="G1003" t="inlineStr">
        <is>
          <t>ÖRNSKÖLDSVIK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30530-2026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46204</v>
      </c>
      <c r="E1004" s="1" t="n">
        <v>46321</v>
      </c>
      <c r="F1004" t="inlineStr">
        <is>
          <t>VÄSTERNORRLANDS LÄN</t>
        </is>
      </c>
      <c r="G1004" t="inlineStr">
        <is>
          <t>ÖRNSKÖLDSVIK</t>
        </is>
      </c>
      <c r="I1004" t="n">
        <v>7.5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30551-2026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46204</v>
      </c>
      <c r="E1005" s="1" t="n">
        <v>46321</v>
      </c>
      <c r="F1005" t="inlineStr">
        <is>
          <t>VÄSTERNORRLANDS LÄN</t>
        </is>
      </c>
      <c r="G1005" t="inlineStr">
        <is>
          <t>ÖRNSKÖLDSVIK</t>
        </is>
      </c>
      <c r="I1005" t="n">
        <v>10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30556-2026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46204</v>
      </c>
      <c r="E1006" s="1" t="n">
        <v>46321</v>
      </c>
      <c r="F1006" t="inlineStr">
        <is>
          <t>VÄSTERNORRLANDS LÄN</t>
        </is>
      </c>
      <c r="G1006" t="inlineStr">
        <is>
          <t>ÖRNSKÖLDSVIK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29501-2026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46203</v>
      </c>
      <c r="E1007" s="1" t="n">
        <v>46321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SCA</t>
        </is>
      </c>
      <c r="I1007" t="n">
        <v>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60867-2021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44497</v>
      </c>
      <c r="E1008" s="1" t="n">
        <v>46321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57056-2025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45979</v>
      </c>
      <c r="E1009" s="1" t="n">
        <v>46321</v>
      </c>
      <c r="F1009" t="inlineStr">
        <is>
          <t>VÄSTERNORRLANDS LÄN</t>
        </is>
      </c>
      <c r="G1009" t="inlineStr">
        <is>
          <t>ÖRNSKÖLDSVIK</t>
        </is>
      </c>
      <c r="I1009" t="n">
        <v>7.8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8252-2025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45708</v>
      </c>
      <c r="E1010" s="1" t="n">
        <v>46321</v>
      </c>
      <c r="F1010" t="inlineStr">
        <is>
          <t>VÄSTERNORRLANDS LÄN</t>
        </is>
      </c>
      <c r="G1010" t="inlineStr">
        <is>
          <t>ÖRNSKÖLDSVIK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8265-2025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45708</v>
      </c>
      <c r="E1011" s="1" t="n">
        <v>46321</v>
      </c>
      <c r="F1011" t="inlineStr">
        <is>
          <t>VÄSTERNORRLANDS LÄN</t>
        </is>
      </c>
      <c r="G1011" t="inlineStr">
        <is>
          <t>ÖRNSKÖLDSVIK</t>
        </is>
      </c>
      <c r="I1011" t="n">
        <v>7.3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37338-2023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45156</v>
      </c>
      <c r="E1012" s="1" t="n">
        <v>46321</v>
      </c>
      <c r="F1012" t="inlineStr">
        <is>
          <t>VÄSTERNORRLANDS LÄN</t>
        </is>
      </c>
      <c r="G1012" t="inlineStr">
        <is>
          <t>ÖRNSKÖLDSVIK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57199-2025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45979</v>
      </c>
      <c r="E1013" s="1" t="n">
        <v>46321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7.3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29199-2026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46202</v>
      </c>
      <c r="E1014" s="1" t="n">
        <v>46321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5.5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29348-2026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46203</v>
      </c>
      <c r="E1015" s="1" t="n">
        <v>46321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3.1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29357-2026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46203</v>
      </c>
      <c r="E1016" s="1" t="n">
        <v>46321</v>
      </c>
      <c r="F1016" t="inlineStr">
        <is>
          <t>VÄSTERNORRLANDS LÄN</t>
        </is>
      </c>
      <c r="G1016" t="inlineStr">
        <is>
          <t>ÖRNSKÖLDSVIK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57507-2025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45980</v>
      </c>
      <c r="E1017" s="1" t="n">
        <v>46321</v>
      </c>
      <c r="F1017" t="inlineStr">
        <is>
          <t>VÄSTERNORRLANDS LÄN</t>
        </is>
      </c>
      <c r="G1017" t="inlineStr">
        <is>
          <t>ÖRNSKÖLDSVIK</t>
        </is>
      </c>
      <c r="I1017" t="n">
        <v>3.2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29242-2026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46202</v>
      </c>
      <c r="E1018" s="1" t="n">
        <v>46321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29510-2026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46203</v>
      </c>
      <c r="E1019" s="1" t="n">
        <v>46321</v>
      </c>
      <c r="F1019" t="inlineStr">
        <is>
          <t>VÄSTERNORRLANDS LÄN</t>
        </is>
      </c>
      <c r="G1019" t="inlineStr">
        <is>
          <t>ÖRNSKÖLDSVIK</t>
        </is>
      </c>
      <c r="I1019" t="n">
        <v>3.8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29307-2026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46202</v>
      </c>
      <c r="E1020" s="1" t="n">
        <v>46321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7.4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57573-2025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45980</v>
      </c>
      <c r="E1021" s="1" t="n">
        <v>46321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14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57574-2025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45980</v>
      </c>
      <c r="E1022" s="1" t="n">
        <v>46321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4.1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29322-2026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46202</v>
      </c>
      <c r="E1023" s="1" t="n">
        <v>46321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4.3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38118-2022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44811</v>
      </c>
      <c r="E1024" s="1" t="n">
        <v>46321</v>
      </c>
      <c r="F1024" t="inlineStr">
        <is>
          <t>VÄSTERNORRLANDS LÄN</t>
        </is>
      </c>
      <c r="G1024" t="inlineStr">
        <is>
          <t>ÖRNSKÖLDSVIK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28182-2024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45477</v>
      </c>
      <c r="E1025" s="1" t="n">
        <v>46321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9.699999999999999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18866-2024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45426</v>
      </c>
      <c r="E1026" s="1" t="n">
        <v>46321</v>
      </c>
      <c r="F1026" t="inlineStr">
        <is>
          <t>VÄSTERNORRLANDS LÄN</t>
        </is>
      </c>
      <c r="G1026" t="inlineStr">
        <is>
          <t>ÖRNSKÖLDSVIK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29166-2026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46202</v>
      </c>
      <c r="E1027" s="1" t="n">
        <v>46321</v>
      </c>
      <c r="F1027" t="inlineStr">
        <is>
          <t>VÄSTERNORRLANDS LÄN</t>
        </is>
      </c>
      <c r="G1027" t="inlineStr">
        <is>
          <t>ÖRNSKÖLDSVIK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29390-2026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46203</v>
      </c>
      <c r="E1028" s="1" t="n">
        <v>46321</v>
      </c>
      <c r="F1028" t="inlineStr">
        <is>
          <t>VÄSTERNORRLANDS LÄN</t>
        </is>
      </c>
      <c r="G1028" t="inlineStr">
        <is>
          <t>ÖRNSKÖLDSVIK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30534-2026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46204</v>
      </c>
      <c r="E1029" s="1" t="n">
        <v>46321</v>
      </c>
      <c r="F1029" t="inlineStr">
        <is>
          <t>VÄSTERNORRLANDS LÄN</t>
        </is>
      </c>
      <c r="G1029" t="inlineStr">
        <is>
          <t>ÖRNSKÖLDSVIK</t>
        </is>
      </c>
      <c r="I1029" t="n">
        <v>3.1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30546-2026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46204</v>
      </c>
      <c r="E1030" s="1" t="n">
        <v>46321</v>
      </c>
      <c r="F1030" t="inlineStr">
        <is>
          <t>VÄSTERNORRLANDS LÄN</t>
        </is>
      </c>
      <c r="G1030" t="inlineStr">
        <is>
          <t>ÖRNSKÖLDSVIK</t>
        </is>
      </c>
      <c r="I1030" t="n">
        <v>17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30558-2026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46204</v>
      </c>
      <c r="E1031" s="1" t="n">
        <v>46321</v>
      </c>
      <c r="F1031" t="inlineStr">
        <is>
          <t>VÄSTERNORRLANDS LÄN</t>
        </is>
      </c>
      <c r="G1031" t="inlineStr">
        <is>
          <t>ÖRNSKÖLDSVIK</t>
        </is>
      </c>
      <c r="I1031" t="n">
        <v>4.4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57619-2025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45981</v>
      </c>
      <c r="E1032" s="1" t="n">
        <v>46321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SCA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29312-2026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46202</v>
      </c>
      <c r="E1033" s="1" t="n">
        <v>46321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29318-2026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46202</v>
      </c>
      <c r="E1034" s="1" t="n">
        <v>46321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29391-2026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46203</v>
      </c>
      <c r="E1035" s="1" t="n">
        <v>46321</v>
      </c>
      <c r="F1035" t="inlineStr">
        <is>
          <t>VÄSTERNORRLANDS LÄN</t>
        </is>
      </c>
      <c r="G1035" t="inlineStr">
        <is>
          <t>ÖRNSKÖLDSVIK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29392-2026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46203</v>
      </c>
      <c r="E1036" s="1" t="n">
        <v>46321</v>
      </c>
      <c r="F1036" t="inlineStr">
        <is>
          <t>VÄSTERNORRLANDS LÄN</t>
        </is>
      </c>
      <c r="G1036" t="inlineStr">
        <is>
          <t>ÖRNSKÖLDSVIK</t>
        </is>
      </c>
      <c r="I1036" t="n">
        <v>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29818-2026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46205</v>
      </c>
      <c r="E1037" s="1" t="n">
        <v>46321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10.1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29669-2026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46204</v>
      </c>
      <c r="E1038" s="1" t="n">
        <v>46321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29787-2026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46205</v>
      </c>
      <c r="E1039" s="1" t="n">
        <v>46321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10574-2022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44623</v>
      </c>
      <c r="E1040" s="1" t="n">
        <v>46321</v>
      </c>
      <c r="F1040" t="inlineStr">
        <is>
          <t>VÄSTERNORRLANDS LÄN</t>
        </is>
      </c>
      <c r="G1040" t="inlineStr">
        <is>
          <t>ÖRNSKÖLDSVIK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29735-2026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46204</v>
      </c>
      <c r="E1041" s="1" t="n">
        <v>46321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5.3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57798-2025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45981</v>
      </c>
      <c r="E1042" s="1" t="n">
        <v>46321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29903-2026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46205</v>
      </c>
      <c r="E1043" s="1" t="n">
        <v>46321</v>
      </c>
      <c r="F1043" t="inlineStr">
        <is>
          <t>VÄSTERNORRLANDS LÄN</t>
        </is>
      </c>
      <c r="G1043" t="inlineStr">
        <is>
          <t>ÖRNSKÖLDSVIK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29809-2026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46205</v>
      </c>
      <c r="E1044" s="1" t="n">
        <v>46321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29663-2026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46204</v>
      </c>
      <c r="E1045" s="1" t="n">
        <v>46321</v>
      </c>
      <c r="F1045" t="inlineStr">
        <is>
          <t>VÄSTERNORRLANDS LÄN</t>
        </is>
      </c>
      <c r="G1045" t="inlineStr">
        <is>
          <t>ÖRNSKÖLDSVIK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8674-2025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45712</v>
      </c>
      <c r="E1046" s="1" t="n">
        <v>46321</v>
      </c>
      <c r="F1046" t="inlineStr">
        <is>
          <t>VÄSTERNORRLANDS LÄN</t>
        </is>
      </c>
      <c r="G1046" t="inlineStr">
        <is>
          <t>ÖRNSKÖLDSVIK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29850-2026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46205</v>
      </c>
      <c r="E1047" s="1" t="n">
        <v>46321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4.8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29942-2026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46205</v>
      </c>
      <c r="E1048" s="1" t="n">
        <v>46321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6.3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58124-2025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45982</v>
      </c>
      <c r="E1049" s="1" t="n">
        <v>46321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23141-2026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46161</v>
      </c>
      <c r="E1050" s="1" t="n">
        <v>46321</v>
      </c>
      <c r="F1050" t="inlineStr">
        <is>
          <t>VÄSTERNORRLANDS LÄN</t>
        </is>
      </c>
      <c r="G1050" t="inlineStr">
        <is>
          <t>ÖRNSKÖLDSVIK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29901-2026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46205</v>
      </c>
      <c r="E1051" s="1" t="n">
        <v>46321</v>
      </c>
      <c r="F1051" t="inlineStr">
        <is>
          <t>VÄSTERNORRLANDS LÄN</t>
        </is>
      </c>
      <c r="G1051" t="inlineStr">
        <is>
          <t>ÖRNSKÖLDSVIK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29879-2026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46205</v>
      </c>
      <c r="E1052" s="1" t="n">
        <v>46321</v>
      </c>
      <c r="F1052" t="inlineStr">
        <is>
          <t>VÄSTERNORRLANDS LÄN</t>
        </is>
      </c>
      <c r="G1052" t="inlineStr">
        <is>
          <t>ÖRNSKÖLDSVIK</t>
        </is>
      </c>
      <c r="I1052" t="n">
        <v>11.4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29889-2026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46205</v>
      </c>
      <c r="E1053" s="1" t="n">
        <v>46321</v>
      </c>
      <c r="F1053" t="inlineStr">
        <is>
          <t>VÄSTERNORRLANDS LÄN</t>
        </is>
      </c>
      <c r="G1053" t="inlineStr">
        <is>
          <t>ÖRNSKÖLDSVIK</t>
        </is>
      </c>
      <c r="I1053" t="n">
        <v>4.3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29906-2026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46205</v>
      </c>
      <c r="E1054" s="1" t="n">
        <v>46321</v>
      </c>
      <c r="F1054" t="inlineStr">
        <is>
          <t>VÄSTERNORRLANDS LÄN</t>
        </is>
      </c>
      <c r="G1054" t="inlineStr">
        <is>
          <t>ÖRNSKÖLDSVIK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26846-2024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45470</v>
      </c>
      <c r="E1055" s="1" t="n">
        <v>46321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29843-2026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46205</v>
      </c>
      <c r="E1056" s="1" t="n">
        <v>46321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6.2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29915-2026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46205</v>
      </c>
      <c r="E1057" s="1" t="n">
        <v>46321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6.1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16271-2024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45407</v>
      </c>
      <c r="E1058" s="1" t="n">
        <v>46321</v>
      </c>
      <c r="F1058" t="inlineStr">
        <is>
          <t>VÄSTERNORRLANDS LÄN</t>
        </is>
      </c>
      <c r="G1058" t="inlineStr">
        <is>
          <t>ÖRNSKÖLDSVIK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29940-2026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46205</v>
      </c>
      <c r="E1059" s="1" t="n">
        <v>46321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6.1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29786-2026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46205</v>
      </c>
      <c r="E1060" s="1" t="n">
        <v>46321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7.4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58195-2025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45983</v>
      </c>
      <c r="E1061" s="1" t="n">
        <v>46321</v>
      </c>
      <c r="F1061" t="inlineStr">
        <is>
          <t>VÄSTERNORRLANDS LÄN</t>
        </is>
      </c>
      <c r="G1061" t="inlineStr">
        <is>
          <t>ÖRNSKÖLDSVIK</t>
        </is>
      </c>
      <c r="I1061" t="n">
        <v>1.8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29684-2026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46204</v>
      </c>
      <c r="E1062" s="1" t="n">
        <v>46321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29692-2026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46204</v>
      </c>
      <c r="E1063" s="1" t="n">
        <v>46321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29740-2026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46204</v>
      </c>
      <c r="E1064" s="1" t="n">
        <v>46321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29750-2026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46204</v>
      </c>
      <c r="E1065" s="1" t="n">
        <v>46321</v>
      </c>
      <c r="F1065" t="inlineStr">
        <is>
          <t>VÄSTERNORRLANDS LÄN</t>
        </is>
      </c>
      <c r="G1065" t="inlineStr">
        <is>
          <t>ÖRNSKÖLDSVIK</t>
        </is>
      </c>
      <c r="I1065" t="n">
        <v>11.1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29752-2026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46204</v>
      </c>
      <c r="E1066" s="1" t="n">
        <v>46321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0.3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29780-2026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46204</v>
      </c>
      <c r="E1067" s="1" t="n">
        <v>46321</v>
      </c>
      <c r="F1067" t="inlineStr">
        <is>
          <t>VÄSTERNORRLANDS LÄN</t>
        </is>
      </c>
      <c r="G1067" t="inlineStr">
        <is>
          <t>ÖRNSKÖLDSVIK</t>
        </is>
      </c>
      <c r="I1067" t="n">
        <v>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29743-2026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46204</v>
      </c>
      <c r="E1068" s="1" t="n">
        <v>46321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29749-2026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46204</v>
      </c>
      <c r="E1069" s="1" t="n">
        <v>46321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29846-2026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46205</v>
      </c>
      <c r="E1070" s="1" t="n">
        <v>46321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13.6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29685-2026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46204</v>
      </c>
      <c r="E1071" s="1" t="n">
        <v>46321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29912-2026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46205</v>
      </c>
      <c r="E1072" s="1" t="n">
        <v>46321</v>
      </c>
      <c r="F1072" t="inlineStr">
        <is>
          <t>VÄSTERNORRLANDS LÄN</t>
        </is>
      </c>
      <c r="G1072" t="inlineStr">
        <is>
          <t>ÖRNSKÖLDSVIK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29788-2026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46205</v>
      </c>
      <c r="E1073" s="1" t="n">
        <v>46321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62257-2022</t>
        </is>
      </c>
      <c r="B1074" t="inlineStr">
        <is>
          <t>avverkningsanmälan</t>
        </is>
      </c>
      <c r="C1074" t="inlineStr">
        <is>
          <t>Avverkning för att bevara och utveckla /försöksver</t>
        </is>
      </c>
      <c r="D1074" s="1" t="n">
        <v>44922</v>
      </c>
      <c r="E1074" s="1" t="n">
        <v>46321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SCA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48439-2023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45205</v>
      </c>
      <c r="E1075" s="1" t="n">
        <v>46321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SCA</t>
        </is>
      </c>
      <c r="I1075" t="n">
        <v>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60929-2022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44908</v>
      </c>
      <c r="E1076" s="1" t="n">
        <v>46321</v>
      </c>
      <c r="F1076" t="inlineStr">
        <is>
          <t>VÄSTERNORRLANDS LÄN</t>
        </is>
      </c>
      <c r="G1076" t="inlineStr">
        <is>
          <t>ÖRNSKÖLDSVIK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29973-2026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46205</v>
      </c>
      <c r="E1077" s="1" t="n">
        <v>46321</v>
      </c>
      <c r="F1077" t="inlineStr">
        <is>
          <t>VÄSTERNORRLANDS LÄN</t>
        </is>
      </c>
      <c r="G1077" t="inlineStr">
        <is>
          <t>ÖRNSKÖLDSVIK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29862-2026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46205</v>
      </c>
      <c r="E1078" s="1" t="n">
        <v>46321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29872-2026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46205</v>
      </c>
      <c r="E1079" s="1" t="n">
        <v>46321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3.5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29880-2026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46205</v>
      </c>
      <c r="E1080" s="1" t="n">
        <v>46321</v>
      </c>
      <c r="F1080" t="inlineStr">
        <is>
          <t>VÄSTERNORRLANDS LÄN</t>
        </is>
      </c>
      <c r="G1080" t="inlineStr">
        <is>
          <t>ÖRNSKÖLDSVIK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29883-2026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46205</v>
      </c>
      <c r="E1081" s="1" t="n">
        <v>46321</v>
      </c>
      <c r="F1081" t="inlineStr">
        <is>
          <t>VÄSTERNORRLANDS LÄN</t>
        </is>
      </c>
      <c r="G1081" t="inlineStr">
        <is>
          <t>ÖRNSKÖLDSVIK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29885-2026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46205</v>
      </c>
      <c r="E1082" s="1" t="n">
        <v>46321</v>
      </c>
      <c r="F1082" t="inlineStr">
        <is>
          <t>VÄSTERNORRLANDS LÄN</t>
        </is>
      </c>
      <c r="G1082" t="inlineStr">
        <is>
          <t>ÖRNSKÖLDSVIK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29909-2026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46205</v>
      </c>
      <c r="E1083" s="1" t="n">
        <v>46321</v>
      </c>
      <c r="F1083" t="inlineStr">
        <is>
          <t>VÄSTERNORRLANDS LÄN</t>
        </is>
      </c>
      <c r="G1083" t="inlineStr">
        <is>
          <t>ÖRNSKÖLDSVIK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62107-2022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44920</v>
      </c>
      <c r="E1084" s="1" t="n">
        <v>46321</v>
      </c>
      <c r="F1084" t="inlineStr">
        <is>
          <t>VÄSTERNORRLANDS LÄN</t>
        </is>
      </c>
      <c r="G1084" t="inlineStr">
        <is>
          <t>ÖRNSKÖLDSVIK</t>
        </is>
      </c>
      <c r="I1084" t="n">
        <v>26.3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58758-2025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45986</v>
      </c>
      <c r="E1085" s="1" t="n">
        <v>46321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3.8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29779-2026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46204</v>
      </c>
      <c r="E1086" s="1" t="n">
        <v>46321</v>
      </c>
      <c r="F1086" t="inlineStr">
        <is>
          <t>VÄSTERNORRLANDS LÄN</t>
        </is>
      </c>
      <c r="G1086" t="inlineStr">
        <is>
          <t>ÖRNSKÖLDSVIK</t>
        </is>
      </c>
      <c r="I1086" t="n">
        <v>3.5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24648-2026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46171</v>
      </c>
      <c r="E1087" s="1" t="n">
        <v>46321</v>
      </c>
      <c r="F1087" t="inlineStr">
        <is>
          <t>VÄSTERNORRLANDS LÄN</t>
        </is>
      </c>
      <c r="G1087" t="inlineStr">
        <is>
          <t>ÖRNSKÖLDSVIK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39833-2024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45553</v>
      </c>
      <c r="E1088" s="1" t="n">
        <v>46321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61228-2022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44909</v>
      </c>
      <c r="E1089" s="1" t="n">
        <v>46321</v>
      </c>
      <c r="F1089" t="inlineStr">
        <is>
          <t>VÄSTERNORRLANDS LÄN</t>
        </is>
      </c>
      <c r="G1089" t="inlineStr">
        <is>
          <t>ÖRNSKÖLDSVIK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30308-2026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46206</v>
      </c>
      <c r="E1090" s="1" t="n">
        <v>46321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SCA</t>
        </is>
      </c>
      <c r="I1090" t="n">
        <v>3.5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30434-2026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46209</v>
      </c>
      <c r="E1091" s="1" t="n">
        <v>46321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4.3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30461-2026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46209</v>
      </c>
      <c r="E1092" s="1" t="n">
        <v>46321</v>
      </c>
      <c r="F1092" t="inlineStr">
        <is>
          <t>VÄSTERNORRLANDS LÄN</t>
        </is>
      </c>
      <c r="G1092" t="inlineStr">
        <is>
          <t>ÖRNSKÖLDSVIK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30071-2026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46206</v>
      </c>
      <c r="E1093" s="1" t="n">
        <v>46321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7.9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59265-2025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45988</v>
      </c>
      <c r="E1094" s="1" t="n">
        <v>46321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4.1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37855-2024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45544</v>
      </c>
      <c r="E1095" s="1" t="n">
        <v>46321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30223-2026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46206</v>
      </c>
      <c r="E1096" s="1" t="n">
        <v>46321</v>
      </c>
      <c r="F1096" t="inlineStr">
        <is>
          <t>VÄSTERNORRLANDS LÄN</t>
        </is>
      </c>
      <c r="G1096" t="inlineStr">
        <is>
          <t>ÖRNSKÖLDSVIK</t>
        </is>
      </c>
      <c r="I1096" t="n">
        <v>3.5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58820-2025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45987</v>
      </c>
      <c r="E1097" s="1" t="n">
        <v>46321</v>
      </c>
      <c r="F1097" t="inlineStr">
        <is>
          <t>VÄSTERNORRLANDS LÄN</t>
        </is>
      </c>
      <c r="G1097" t="inlineStr">
        <is>
          <t>ÖRNSKÖLDSVIK</t>
        </is>
      </c>
      <c r="I1097" t="n">
        <v>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48007-2023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45204</v>
      </c>
      <c r="E1098" s="1" t="n">
        <v>46321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30013-2026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46206</v>
      </c>
      <c r="E1099" s="1" t="n">
        <v>46321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30029-2026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46206</v>
      </c>
      <c r="E1100" s="1" t="n">
        <v>46321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30206-2026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46206</v>
      </c>
      <c r="E1101" s="1" t="n">
        <v>46321</v>
      </c>
      <c r="F1101" t="inlineStr">
        <is>
          <t>VÄSTERNORRLANDS LÄN</t>
        </is>
      </c>
      <c r="G1101" t="inlineStr">
        <is>
          <t>ÖRNSKÖLDSVIK</t>
        </is>
      </c>
      <c r="I1101" t="n">
        <v>15.2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59131-2025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45988</v>
      </c>
      <c r="E1102" s="1" t="n">
        <v>46321</v>
      </c>
      <c r="F1102" t="inlineStr">
        <is>
          <t>VÄSTERNORRLANDS LÄN</t>
        </is>
      </c>
      <c r="G1102" t="inlineStr">
        <is>
          <t>ÖRNSKÖLDSVIK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59135-2025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45988</v>
      </c>
      <c r="E1103" s="1" t="n">
        <v>46321</v>
      </c>
      <c r="F1103" t="inlineStr">
        <is>
          <t>VÄSTERNORRLANDS LÄN</t>
        </is>
      </c>
      <c r="G1103" t="inlineStr">
        <is>
          <t>ÖRNSKÖLDSVIK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59136-2025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45988</v>
      </c>
      <c r="E1104" s="1" t="n">
        <v>46321</v>
      </c>
      <c r="F1104" t="inlineStr">
        <is>
          <t>VÄSTERNORRLANDS LÄN</t>
        </is>
      </c>
      <c r="G1104" t="inlineStr">
        <is>
          <t>ÖRNSKÖLDSVIK</t>
        </is>
      </c>
      <c r="I1104" t="n">
        <v>0.4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30230-2026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46206</v>
      </c>
      <c r="E1105" s="1" t="n">
        <v>46321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SCA</t>
        </is>
      </c>
      <c r="I1105" t="n">
        <v>6.8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28546-2024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45478</v>
      </c>
      <c r="E1106" s="1" t="n">
        <v>46321</v>
      </c>
      <c r="F1106" t="inlineStr">
        <is>
          <t>VÄSTERNORRLANDS LÄN</t>
        </is>
      </c>
      <c r="G1106" t="inlineStr">
        <is>
          <t>ÖRNSKÖLDSVIK</t>
        </is>
      </c>
      <c r="I1106" t="n">
        <v>4.8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30454-2026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46209</v>
      </c>
      <c r="E1107" s="1" t="n">
        <v>46321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3.3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30440-2026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46209</v>
      </c>
      <c r="E1108" s="1" t="n">
        <v>46321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10985-2025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45723</v>
      </c>
      <c r="E1109" s="1" t="n">
        <v>46321</v>
      </c>
      <c r="F1109" t="inlineStr">
        <is>
          <t>VÄSTERNORRLANDS LÄN</t>
        </is>
      </c>
      <c r="G1109" t="inlineStr">
        <is>
          <t>ÖRNSKÖLDSVIK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30313-2026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46206</v>
      </c>
      <c r="E1110" s="1" t="n">
        <v>46321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SCA</t>
        </is>
      </c>
      <c r="I1110" t="n">
        <v>22.6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342-2024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45295</v>
      </c>
      <c r="E1111" s="1" t="n">
        <v>46321</v>
      </c>
      <c r="F1111" t="inlineStr">
        <is>
          <t>VÄSTERNORRLANDS LÄN</t>
        </is>
      </c>
      <c r="G1111" t="inlineStr">
        <is>
          <t>ÖRNSKÖLDSVIK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58830-2025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45987</v>
      </c>
      <c r="E1112" s="1" t="n">
        <v>46321</v>
      </c>
      <c r="F1112" t="inlineStr">
        <is>
          <t>VÄSTERNORRLANDS LÄN</t>
        </is>
      </c>
      <c r="G1112" t="inlineStr">
        <is>
          <t>ÖRNSKÖLDSVIK</t>
        </is>
      </c>
      <c r="I1112" t="n">
        <v>3.9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22417-2024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45446</v>
      </c>
      <c r="E1113" s="1" t="n">
        <v>46321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47438-2024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45587</v>
      </c>
      <c r="E1114" s="1" t="n">
        <v>46321</v>
      </c>
      <c r="F1114" t="inlineStr">
        <is>
          <t>VÄSTERNORRLANDS LÄN</t>
        </is>
      </c>
      <c r="G1114" t="inlineStr">
        <is>
          <t>ÖRNSKÖLDSVIK</t>
        </is>
      </c>
      <c r="I1114" t="n">
        <v>11.8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5765-2025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45694</v>
      </c>
      <c r="E1115" s="1" t="n">
        <v>46321</v>
      </c>
      <c r="F1115" t="inlineStr">
        <is>
          <t>VÄSTERNORRLANDS LÄN</t>
        </is>
      </c>
      <c r="G1115" t="inlineStr">
        <is>
          <t>ÖRNSKÖLDSVIK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59050-2025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45988</v>
      </c>
      <c r="E1116" s="1" t="n">
        <v>46321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30309-2026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46206</v>
      </c>
      <c r="E1117" s="1" t="n">
        <v>46321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SCA</t>
        </is>
      </c>
      <c r="I1117" t="n">
        <v>27.1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27938-2025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45817</v>
      </c>
      <c r="E1118" s="1" t="n">
        <v>46321</v>
      </c>
      <c r="F1118" t="inlineStr">
        <is>
          <t>VÄSTERNORRLANDS LÄN</t>
        </is>
      </c>
      <c r="G1118" t="inlineStr">
        <is>
          <t>ÖRNSKÖLDSVIK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10480-2025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45721</v>
      </c>
      <c r="E1119" s="1" t="n">
        <v>46321</v>
      </c>
      <c r="F1119" t="inlineStr">
        <is>
          <t>VÄSTERNORRLANDS LÄN</t>
        </is>
      </c>
      <c r="G1119" t="inlineStr">
        <is>
          <t>ÖRNSKÖLDSVIK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34875-2024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45527</v>
      </c>
      <c r="E1120" s="1" t="n">
        <v>46321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30014-2026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46206</v>
      </c>
      <c r="E1121" s="1" t="n">
        <v>46321</v>
      </c>
      <c r="F1121" t="inlineStr">
        <is>
          <t>VÄSTERNORRLANDS LÄN</t>
        </is>
      </c>
      <c r="G1121" t="inlineStr">
        <is>
          <t>ÖRNSKÖLDSVIK</t>
        </is>
      </c>
      <c r="I1121" t="n">
        <v>3.2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59138-2025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45988</v>
      </c>
      <c r="E1122" s="1" t="n">
        <v>46321</v>
      </c>
      <c r="F1122" t="inlineStr">
        <is>
          <t>VÄSTERNORRLANDS LÄN</t>
        </is>
      </c>
      <c r="G1122" t="inlineStr">
        <is>
          <t>ÖRNSKÖLDSVIK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59191-2025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45988</v>
      </c>
      <c r="E1123" s="1" t="n">
        <v>46321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19446-2025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45770</v>
      </c>
      <c r="E1124" s="1" t="n">
        <v>46321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51302-2024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45604</v>
      </c>
      <c r="E1125" s="1" t="n">
        <v>46321</v>
      </c>
      <c r="F1125" t="inlineStr">
        <is>
          <t>VÄSTERNORRLANDS LÄN</t>
        </is>
      </c>
      <c r="G1125" t="inlineStr">
        <is>
          <t>ÖRNSKÖLDSVIK</t>
        </is>
      </c>
      <c r="I1125" t="n">
        <v>0.4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30306-2026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46206</v>
      </c>
      <c r="E1126" s="1" t="n">
        <v>46321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SCA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30307-2026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46206</v>
      </c>
      <c r="E1127" s="1" t="n">
        <v>46321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SCA</t>
        </is>
      </c>
      <c r="I1127" t="n">
        <v>22.1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3909-2025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45684</v>
      </c>
      <c r="E1128" s="1" t="n">
        <v>46321</v>
      </c>
      <c r="F1128" t="inlineStr">
        <is>
          <t>VÄSTERNORRLANDS LÄN</t>
        </is>
      </c>
      <c r="G1128" t="inlineStr">
        <is>
          <t>ÖRNSKÖLDSVIK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58815-2025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45987</v>
      </c>
      <c r="E1129" s="1" t="n">
        <v>46321</v>
      </c>
      <c r="F1129" t="inlineStr">
        <is>
          <t>VÄSTERNORRLANDS LÄN</t>
        </is>
      </c>
      <c r="G1129" t="inlineStr">
        <is>
          <t>ÖRNSKÖLDSVIK</t>
        </is>
      </c>
      <c r="I1129" t="n">
        <v>5.5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59549-2025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45990</v>
      </c>
      <c r="E1130" s="1" t="n">
        <v>46321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49868-2024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45597</v>
      </c>
      <c r="E1131" s="1" t="n">
        <v>46321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2.8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59771-2024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45638</v>
      </c>
      <c r="E1132" s="1" t="n">
        <v>46321</v>
      </c>
      <c r="F1132" t="inlineStr">
        <is>
          <t>VÄSTERNORRLANDS LÄN</t>
        </is>
      </c>
      <c r="G1132" t="inlineStr">
        <is>
          <t>ÖRNSKÖLDSVIK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72642-2021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44545</v>
      </c>
      <c r="E1133" s="1" t="n">
        <v>46321</v>
      </c>
      <c r="F1133" t="inlineStr">
        <is>
          <t>VÄSTERNORRLANDS LÄN</t>
        </is>
      </c>
      <c r="G1133" t="inlineStr">
        <is>
          <t>ÖRNSKÖLDSVIK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20222-2024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45434</v>
      </c>
      <c r="E1134" s="1" t="n">
        <v>46321</v>
      </c>
      <c r="F1134" t="inlineStr">
        <is>
          <t>VÄSTERNORRLANDS LÄN</t>
        </is>
      </c>
      <c r="G1134" t="inlineStr">
        <is>
          <t>ÖRNSKÖLDSVIK</t>
        </is>
      </c>
      <c r="I1134" t="n">
        <v>0.3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10499-2024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45366</v>
      </c>
      <c r="E1135" s="1" t="n">
        <v>46321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4.3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59589-2025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45992</v>
      </c>
      <c r="E1136" s="1" t="n">
        <v>46321</v>
      </c>
      <c r="F1136" t="inlineStr">
        <is>
          <t>VÄSTERNORRLANDS LÄN</t>
        </is>
      </c>
      <c r="G1136" t="inlineStr">
        <is>
          <t>ÖRNSKÖLDSVIK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59853-2025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45992</v>
      </c>
      <c r="E1137" s="1" t="n">
        <v>46321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Kommuner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59442-2025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45989</v>
      </c>
      <c r="E1138" s="1" t="n">
        <v>46321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5.5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59475-2025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45989</v>
      </c>
      <c r="E1139" s="1" t="n">
        <v>46321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5.5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59330-2025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45989</v>
      </c>
      <c r="E1140" s="1" t="n">
        <v>46321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2.8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49374-2023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45211</v>
      </c>
      <c r="E1141" s="1" t="n">
        <v>46321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6.3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33258-2023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45114</v>
      </c>
      <c r="E1142" s="1" t="n">
        <v>46321</v>
      </c>
      <c r="F1142" t="inlineStr">
        <is>
          <t>VÄSTERNORRLANDS LÄN</t>
        </is>
      </c>
      <c r="G1142" t="inlineStr">
        <is>
          <t>ÖRNSKÖLDSVIK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33261-2023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45114</v>
      </c>
      <c r="E1143" s="1" t="n">
        <v>46321</v>
      </c>
      <c r="F1143" t="inlineStr">
        <is>
          <t>VÄSTERNORRLANDS LÄN</t>
        </is>
      </c>
      <c r="G1143" t="inlineStr">
        <is>
          <t>ÖRNSKÖLDSVIK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33288-2023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45127</v>
      </c>
      <c r="E1144" s="1" t="n">
        <v>46321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59691-2025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45992</v>
      </c>
      <c r="E1145" s="1" t="n">
        <v>46321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7.2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59699-2025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45992</v>
      </c>
      <c r="E1146" s="1" t="n">
        <v>46321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26390-2026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46183</v>
      </c>
      <c r="E1147" s="1" t="n">
        <v>46321</v>
      </c>
      <c r="F1147" t="inlineStr">
        <is>
          <t>VÄSTERNORRLANDS LÄN</t>
        </is>
      </c>
      <c r="G1147" t="inlineStr">
        <is>
          <t>ÖRNSKÖLDSVIK</t>
        </is>
      </c>
      <c r="I1147" t="n">
        <v>4.4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59434-2025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45989</v>
      </c>
      <c r="E1148" s="1" t="n">
        <v>46321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3.3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59438-2025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45989</v>
      </c>
      <c r="E1149" s="1" t="n">
        <v>46321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5.4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29262-2026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46202</v>
      </c>
      <c r="E1150" s="1" t="n">
        <v>46321</v>
      </c>
      <c r="F1150" t="inlineStr">
        <is>
          <t>VÄSTERNORRLANDS LÄN</t>
        </is>
      </c>
      <c r="G1150" t="inlineStr">
        <is>
          <t>ÖRNSKÖLDSVIK</t>
        </is>
      </c>
      <c r="I1150" t="n">
        <v>3.7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59689-2025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45992</v>
      </c>
      <c r="E1151" s="1" t="n">
        <v>46321</v>
      </c>
      <c r="F1151" t="inlineStr">
        <is>
          <t>VÄSTERNORRLANDS LÄN</t>
        </is>
      </c>
      <c r="G1151" t="inlineStr">
        <is>
          <t>ÖRNSKÖLDSVIK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59556-2025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45991</v>
      </c>
      <c r="E1152" s="1" t="n">
        <v>46321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59557-2025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45991</v>
      </c>
      <c r="E1153" s="1" t="n">
        <v>46321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59558-2025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45991</v>
      </c>
      <c r="E1154" s="1" t="n">
        <v>46321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59368-2025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45989</v>
      </c>
      <c r="E1155" s="1" t="n">
        <v>46321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6.1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59747-2025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45992</v>
      </c>
      <c r="E1156" s="1" t="n">
        <v>46321</v>
      </c>
      <c r="F1156" t="inlineStr">
        <is>
          <t>VÄSTERNORRLANDS LÄN</t>
        </is>
      </c>
      <c r="G1156" t="inlineStr">
        <is>
          <t>ÖRNSKÖLDSVIK</t>
        </is>
      </c>
      <c r="I1156" t="n">
        <v>6.3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59594-2025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45992</v>
      </c>
      <c r="E1157" s="1" t="n">
        <v>46321</v>
      </c>
      <c r="F1157" t="inlineStr">
        <is>
          <t>VÄSTERNORRLANDS LÄN</t>
        </is>
      </c>
      <c r="G1157" t="inlineStr">
        <is>
          <t>ÖRNSKÖLDSVIK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59548-2025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45990</v>
      </c>
      <c r="E1158" s="1" t="n">
        <v>46321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59609-2025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45992</v>
      </c>
      <c r="E1159" s="1" t="n">
        <v>46321</v>
      </c>
      <c r="F1159" t="inlineStr">
        <is>
          <t>VÄSTERNORRLANDS LÄN</t>
        </is>
      </c>
      <c r="G1159" t="inlineStr">
        <is>
          <t>ÖRNSKÖLDSVIK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29604-2026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46204</v>
      </c>
      <c r="E1160" s="1" t="n">
        <v>46321</v>
      </c>
      <c r="F1160" t="inlineStr">
        <is>
          <t>VÄSTERNORRLANDS LÄN</t>
        </is>
      </c>
      <c r="G1160" t="inlineStr">
        <is>
          <t>ÖRNSKÖLDSVIK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2849-2026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46038</v>
      </c>
      <c r="E1161" s="1" t="n">
        <v>46321</v>
      </c>
      <c r="F1161" t="inlineStr">
        <is>
          <t>VÄSTERNORRLANDS LÄN</t>
        </is>
      </c>
      <c r="G1161" t="inlineStr">
        <is>
          <t>ÖRNSKÖLDSVIK</t>
        </is>
      </c>
      <c r="I1161" t="n">
        <v>5.2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54325-2022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44879</v>
      </c>
      <c r="E1162" s="1" t="n">
        <v>46321</v>
      </c>
      <c r="F1162" t="inlineStr">
        <is>
          <t>VÄSTERNORRLANDS LÄN</t>
        </is>
      </c>
      <c r="G1162" t="inlineStr">
        <is>
          <t>ÖRNSKÖLDSVIK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25068-2024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45462</v>
      </c>
      <c r="E1163" s="1" t="n">
        <v>46321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2.1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25128-2024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45462</v>
      </c>
      <c r="E1164" s="1" t="n">
        <v>46321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49025-2022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44860</v>
      </c>
      <c r="E1165" s="1" t="n">
        <v>46321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10.3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31037-2026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46214</v>
      </c>
      <c r="E1166" s="1" t="n">
        <v>46321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31039-2026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46214</v>
      </c>
      <c r="E1167" s="1" t="n">
        <v>46321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4.3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60257-2025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45994</v>
      </c>
      <c r="E1168" s="1" t="n">
        <v>46321</v>
      </c>
      <c r="F1168" t="inlineStr">
        <is>
          <t>VÄSTERNORRLANDS LÄN</t>
        </is>
      </c>
      <c r="G1168" t="inlineStr">
        <is>
          <t>ÖRNSKÖLDSVIK</t>
        </is>
      </c>
      <c r="I1168" t="n">
        <v>1.1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30263-2024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45489</v>
      </c>
      <c r="E1169" s="1" t="n">
        <v>46321</v>
      </c>
      <c r="F1169" t="inlineStr">
        <is>
          <t>VÄSTERNORRLANDS LÄN</t>
        </is>
      </c>
      <c r="G1169" t="inlineStr">
        <is>
          <t>ÖRNSKÖLDSVIK</t>
        </is>
      </c>
      <c r="I1169" t="n">
        <v>11.5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33244-2023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45114</v>
      </c>
      <c r="E1170" s="1" t="n">
        <v>46321</v>
      </c>
      <c r="F1170" t="inlineStr">
        <is>
          <t>VÄSTERNORRLANDS LÄN</t>
        </is>
      </c>
      <c r="G1170" t="inlineStr">
        <is>
          <t>ÖRNSKÖLDSVIK</t>
        </is>
      </c>
      <c r="I1170" t="n">
        <v>3.3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31122-2026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46216</v>
      </c>
      <c r="E1171" s="1" t="n">
        <v>46321</v>
      </c>
      <c r="F1171" t="inlineStr">
        <is>
          <t>VÄSTERNORRLANDS LÄN</t>
        </is>
      </c>
      <c r="G1171" t="inlineStr">
        <is>
          <t>ÖRNSKÖLDSVIK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31031-2026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46214</v>
      </c>
      <c r="E1172" s="1" t="n">
        <v>46321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21418-2025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45692</v>
      </c>
      <c r="E1173" s="1" t="n">
        <v>46321</v>
      </c>
      <c r="F1173" t="inlineStr">
        <is>
          <t>VÄSTERNORRLANDS LÄN</t>
        </is>
      </c>
      <c r="G1173" t="inlineStr">
        <is>
          <t>ÖRNSKÖLDSVIK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13161-2025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45734</v>
      </c>
      <c r="E1174" s="1" t="n">
        <v>46321</v>
      </c>
      <c r="F1174" t="inlineStr">
        <is>
          <t>VÄSTERNORRLANDS LÄN</t>
        </is>
      </c>
      <c r="G1174" t="inlineStr">
        <is>
          <t>ÖRNSKÖLDSVIK</t>
        </is>
      </c>
      <c r="I1174" t="n">
        <v>2.8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29296-2026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46202</v>
      </c>
      <c r="E1175" s="1" t="n">
        <v>46321</v>
      </c>
      <c r="F1175" t="inlineStr">
        <is>
          <t>VÄSTERNORRLANDS LÄN</t>
        </is>
      </c>
      <c r="G1175" t="inlineStr">
        <is>
          <t>ÖRNSKÖLDSVIK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60448-2025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45995</v>
      </c>
      <c r="E1176" s="1" t="n">
        <v>46321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3.7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29092-2024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45481</v>
      </c>
      <c r="E1177" s="1" t="n">
        <v>46321</v>
      </c>
      <c r="F1177" t="inlineStr">
        <is>
          <t>VÄSTERNORRLANDS LÄN</t>
        </is>
      </c>
      <c r="G1177" t="inlineStr">
        <is>
          <t>ÖRNSKÖLDSVIK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60510-2025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45995</v>
      </c>
      <c r="E1178" s="1" t="n">
        <v>46321</v>
      </c>
      <c r="F1178" t="inlineStr">
        <is>
          <t>VÄSTERNORRLANDS LÄN</t>
        </is>
      </c>
      <c r="G1178" t="inlineStr">
        <is>
          <t>ÖRNSKÖLDSVIK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17493-2024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45415</v>
      </c>
      <c r="E1179" s="1" t="n">
        <v>46321</v>
      </c>
      <c r="F1179" t="inlineStr">
        <is>
          <t>VÄSTERNORRLANDS LÄN</t>
        </is>
      </c>
      <c r="G1179" t="inlineStr">
        <is>
          <t>ÖRNSKÖLDSVIK</t>
        </is>
      </c>
      <c r="I1179" t="n">
        <v>2.6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60350-2025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45995</v>
      </c>
      <c r="E1180" s="1" t="n">
        <v>46321</v>
      </c>
      <c r="F1180" t="inlineStr">
        <is>
          <t>VÄSTERNORRLANDS LÄN</t>
        </is>
      </c>
      <c r="G1180" t="inlineStr">
        <is>
          <t>ÖRNSKÖLDSVIK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60525-2025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45995</v>
      </c>
      <c r="E1181" s="1" t="n">
        <v>46321</v>
      </c>
      <c r="F1181" t="inlineStr">
        <is>
          <t>VÄSTERNORRLANDS LÄN</t>
        </is>
      </c>
      <c r="G1181" t="inlineStr">
        <is>
          <t>ÖRNSKÖLDSVIK</t>
        </is>
      </c>
      <c r="I1181" t="n">
        <v>2.6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60475-2025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45995</v>
      </c>
      <c r="E1182" s="1" t="n">
        <v>46321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2.7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60483-2025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45995</v>
      </c>
      <c r="E1183" s="1" t="n">
        <v>46321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24483-2025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45798</v>
      </c>
      <c r="E1184" s="1" t="n">
        <v>46321</v>
      </c>
      <c r="F1184" t="inlineStr">
        <is>
          <t>VÄSTERNORRLANDS LÄN</t>
        </is>
      </c>
      <c r="G1184" t="inlineStr">
        <is>
          <t>ÖRNSKÖLDSVIK</t>
        </is>
      </c>
      <c r="I1184" t="n">
        <v>1.4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60383-2025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45995</v>
      </c>
      <c r="E1185" s="1" t="n">
        <v>46321</v>
      </c>
      <c r="F1185" t="inlineStr">
        <is>
          <t>VÄSTERNORRLANDS LÄN</t>
        </is>
      </c>
      <c r="G1185" t="inlineStr">
        <is>
          <t>ÖRNSKÖLDSVIK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60579-2025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45996</v>
      </c>
      <c r="E1186" s="1" t="n">
        <v>46321</v>
      </c>
      <c r="F1186" t="inlineStr">
        <is>
          <t>VÄSTERNORRLANDS LÄN</t>
        </is>
      </c>
      <c r="G1186" t="inlineStr">
        <is>
          <t>ÖRNSKÖLDSVIK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60526-2025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45995</v>
      </c>
      <c r="E1187" s="1" t="n">
        <v>46321</v>
      </c>
      <c r="F1187" t="inlineStr">
        <is>
          <t>VÄSTERNORRLANDS LÄN</t>
        </is>
      </c>
      <c r="G1187" t="inlineStr">
        <is>
          <t>ÖRNSKÖLDSVIK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57807-2024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45631</v>
      </c>
      <c r="E1188" s="1" t="n">
        <v>46321</v>
      </c>
      <c r="F1188" t="inlineStr">
        <is>
          <t>VÄSTERNORRLANDS LÄN</t>
        </is>
      </c>
      <c r="G1188" t="inlineStr">
        <is>
          <t>ÖRNSKÖLDSVIK</t>
        </is>
      </c>
      <c r="I1188" t="n">
        <v>10.3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61343-2024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45646</v>
      </c>
      <c r="E1189" s="1" t="n">
        <v>46321</v>
      </c>
      <c r="F1189" t="inlineStr">
        <is>
          <t>VÄSTERNORRLANDS LÄN</t>
        </is>
      </c>
      <c r="G1189" t="inlineStr">
        <is>
          <t>ÖRNSKÖLDSVIK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61400-2024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45646</v>
      </c>
      <c r="E1190" s="1" t="n">
        <v>46321</v>
      </c>
      <c r="F1190" t="inlineStr">
        <is>
          <t>VÄSTERNORRLANDS LÄN</t>
        </is>
      </c>
      <c r="G1190" t="inlineStr">
        <is>
          <t>ÖRNSKÖLDSVIK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44431-2022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44839</v>
      </c>
      <c r="E1191" s="1" t="n">
        <v>46321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SCA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60523-2025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45995</v>
      </c>
      <c r="E1192" s="1" t="n">
        <v>46321</v>
      </c>
      <c r="F1192" t="inlineStr">
        <is>
          <t>VÄSTERNORRLANDS LÄN</t>
        </is>
      </c>
      <c r="G1192" t="inlineStr">
        <is>
          <t>ÖRNSKÖLDSVIK</t>
        </is>
      </c>
      <c r="I1192" t="n">
        <v>2.7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4341-2024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45324</v>
      </c>
      <c r="E1193" s="1" t="n">
        <v>46321</v>
      </c>
      <c r="F1193" t="inlineStr">
        <is>
          <t>VÄSTERNORRLANDS LÄN</t>
        </is>
      </c>
      <c r="G1193" t="inlineStr">
        <is>
          <t>ÖRNSKÖLDSVIK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4344-2024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45324</v>
      </c>
      <c r="E1194" s="1" t="n">
        <v>46321</v>
      </c>
      <c r="F1194" t="inlineStr">
        <is>
          <t>VÄSTERNORRLANDS LÄN</t>
        </is>
      </c>
      <c r="G1194" t="inlineStr">
        <is>
          <t>ÖRNSKÖLDSVIK</t>
        </is>
      </c>
      <c r="I1194" t="n">
        <v>2.8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10814-2025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45722</v>
      </c>
      <c r="E1195" s="1" t="n">
        <v>46321</v>
      </c>
      <c r="F1195" t="inlineStr">
        <is>
          <t>VÄSTERNORRLANDS LÄN</t>
        </is>
      </c>
      <c r="G1195" t="inlineStr">
        <is>
          <t>ÖRNSKÖLDSVIK</t>
        </is>
      </c>
      <c r="I1195" t="n">
        <v>2.3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5849-2024</t>
        </is>
      </c>
      <c r="B1196" t="inlineStr">
        <is>
          <t>avverkningsanmälan</t>
        </is>
      </c>
      <c r="C1196" t="inlineStr">
        <is>
          <t>Avverkning för att bevara och utveckla /försöksver</t>
        </is>
      </c>
      <c r="D1196" s="1" t="n">
        <v>45335</v>
      </c>
      <c r="E1196" s="1" t="n">
        <v>46321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11486-2025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45726</v>
      </c>
      <c r="E1197" s="1" t="n">
        <v>46321</v>
      </c>
      <c r="F1197" t="inlineStr">
        <is>
          <t>VÄSTERNORRLANDS LÄN</t>
        </is>
      </c>
      <c r="G1197" t="inlineStr">
        <is>
          <t>ÖRNSKÖLDSVIK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60492-2025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45995</v>
      </c>
      <c r="E1198" s="1" t="n">
        <v>46321</v>
      </c>
      <c r="F1198" t="inlineStr">
        <is>
          <t>VÄSTERNORRLANDS LÄN</t>
        </is>
      </c>
      <c r="G1198" t="inlineStr">
        <is>
          <t>ÖRNSKÖLDSVIK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50947-2023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45211</v>
      </c>
      <c r="E1199" s="1" t="n">
        <v>46321</v>
      </c>
      <c r="F1199" t="inlineStr">
        <is>
          <t>VÄSTERNORRLANDS LÄN</t>
        </is>
      </c>
      <c r="G1199" t="inlineStr">
        <is>
          <t>ÖRNSKÖLDSVIK</t>
        </is>
      </c>
      <c r="I1199" t="n">
        <v>2.9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61362-2023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45264</v>
      </c>
      <c r="E1200" s="1" t="n">
        <v>46321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Övriga Aktiebolag</t>
        </is>
      </c>
      <c r="I1200" t="n">
        <v>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19845-2024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45433</v>
      </c>
      <c r="E1201" s="1" t="n">
        <v>46321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60895-2025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45999</v>
      </c>
      <c r="E1202" s="1" t="n">
        <v>46321</v>
      </c>
      <c r="F1202" t="inlineStr">
        <is>
          <t>VÄSTERNORRLANDS LÄN</t>
        </is>
      </c>
      <c r="G1202" t="inlineStr">
        <is>
          <t>ÖRNSKÖLDSVIK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2107-2025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45672</v>
      </c>
      <c r="E1203" s="1" t="n">
        <v>46321</v>
      </c>
      <c r="F1203" t="inlineStr">
        <is>
          <t>VÄSTERNORRLANDS LÄN</t>
        </is>
      </c>
      <c r="G1203" t="inlineStr">
        <is>
          <t>ÖRNSKÖLDSVIK</t>
        </is>
      </c>
      <c r="I1203" t="n">
        <v>3.2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2112-2025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45672</v>
      </c>
      <c r="E1204" s="1" t="n">
        <v>46321</v>
      </c>
      <c r="F1204" t="inlineStr">
        <is>
          <t>VÄSTERNORRLANDS LÄN</t>
        </is>
      </c>
      <c r="G1204" t="inlineStr">
        <is>
          <t>ÖRNSKÖLDSVIK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38291-2024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45545</v>
      </c>
      <c r="E1205" s="1" t="n">
        <v>46321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60914-2025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45999</v>
      </c>
      <c r="E1206" s="1" t="n">
        <v>46321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Kommuner</t>
        </is>
      </c>
      <c r="I1206" t="n">
        <v>3.7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60839-2025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45999</v>
      </c>
      <c r="E1207" s="1" t="n">
        <v>46321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1.9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61232-2022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44909</v>
      </c>
      <c r="E1208" s="1" t="n">
        <v>46321</v>
      </c>
      <c r="F1208" t="inlineStr">
        <is>
          <t>VÄSTERNORRLANDS LÄN</t>
        </is>
      </c>
      <c r="G1208" t="inlineStr">
        <is>
          <t>ÖRNSKÖLDSVIK</t>
        </is>
      </c>
      <c r="I1208" t="n">
        <v>2.4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60750-2025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45999</v>
      </c>
      <c r="E1209" s="1" t="n">
        <v>46321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60748-2025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45999</v>
      </c>
      <c r="E1210" s="1" t="n">
        <v>46321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50262-2023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45216</v>
      </c>
      <c r="E1211" s="1" t="n">
        <v>46321</v>
      </c>
      <c r="F1211" t="inlineStr">
        <is>
          <t>VÄSTERNORRLANDS LÄN</t>
        </is>
      </c>
      <c r="G1211" t="inlineStr">
        <is>
          <t>ÖRNSKÖLDSVIK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60765-2025</t>
        </is>
      </c>
      <c r="B1212" t="inlineStr">
        <is>
          <t>avverkningsanmälan</t>
        </is>
      </c>
      <c r="C1212" t="inlineStr">
        <is>
          <t>Avverkning för att bevara och utveckla /försöksver</t>
        </is>
      </c>
      <c r="D1212" s="1" t="n">
        <v>45999</v>
      </c>
      <c r="E1212" s="1" t="n">
        <v>46321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SCA</t>
        </is>
      </c>
      <c r="I1212" t="n">
        <v>5.5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61232-2025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46000</v>
      </c>
      <c r="E1213" s="1" t="n">
        <v>46321</v>
      </c>
      <c r="F1213" t="inlineStr">
        <is>
          <t>VÄSTERNORRLANDS LÄN</t>
        </is>
      </c>
      <c r="G1213" t="inlineStr">
        <is>
          <t>ÖRNSKÖLDSVIK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59041-2024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45636</v>
      </c>
      <c r="E1214" s="1" t="n">
        <v>46321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SCA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56411-2023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45243</v>
      </c>
      <c r="E1215" s="1" t="n">
        <v>46321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20726-2025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45776</v>
      </c>
      <c r="E1216" s="1" t="n">
        <v>46321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24505-2025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45798</v>
      </c>
      <c r="E1217" s="1" t="n">
        <v>46321</v>
      </c>
      <c r="F1217" t="inlineStr">
        <is>
          <t>VÄSTERNORRLANDS LÄN</t>
        </is>
      </c>
      <c r="G1217" t="inlineStr">
        <is>
          <t>ÖRNSKÖLDSVIK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20765-2025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45776</v>
      </c>
      <c r="E1218" s="1" t="n">
        <v>46321</v>
      </c>
      <c r="F1218" t="inlineStr">
        <is>
          <t>VÄSTERNORRLANDS LÄN</t>
        </is>
      </c>
      <c r="G1218" t="inlineStr">
        <is>
          <t>ÖRNSKÖLDSVIK</t>
        </is>
      </c>
      <c r="I1218" t="n">
        <v>20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61513-2023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45265</v>
      </c>
      <c r="E1219" s="1" t="n">
        <v>46321</v>
      </c>
      <c r="F1219" t="inlineStr">
        <is>
          <t>VÄSTERNORRLANDS LÄN</t>
        </is>
      </c>
      <c r="G1219" t="inlineStr">
        <is>
          <t>ÖRNSKÖLDSVIK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20451-2024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45435</v>
      </c>
      <c r="E1220" s="1" t="n">
        <v>46321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30207-2024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45488</v>
      </c>
      <c r="E1221" s="1" t="n">
        <v>46321</v>
      </c>
      <c r="F1221" t="inlineStr">
        <is>
          <t>VÄSTERNORRLANDS LÄN</t>
        </is>
      </c>
      <c r="G1221" t="inlineStr">
        <is>
          <t>ÖRNSKÖLDSVIK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30209-2024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45488</v>
      </c>
      <c r="E1222" s="1" t="n">
        <v>46321</v>
      </c>
      <c r="F1222" t="inlineStr">
        <is>
          <t>VÄSTERNORRLANDS LÄN</t>
        </is>
      </c>
      <c r="G1222" t="inlineStr">
        <is>
          <t>ÖRNSKÖLDSVIK</t>
        </is>
      </c>
      <c r="I1222" t="n">
        <v>2.7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28547-2024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45478</v>
      </c>
      <c r="E1223" s="1" t="n">
        <v>46321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31582-2026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46224</v>
      </c>
      <c r="E1224" s="1" t="n">
        <v>46321</v>
      </c>
      <c r="F1224" t="inlineStr">
        <is>
          <t>VÄSTERNORRLANDS LÄN</t>
        </is>
      </c>
      <c r="G1224" t="inlineStr">
        <is>
          <t>ÖRNSKÖLDSVIK</t>
        </is>
      </c>
      <c r="I1224" t="n">
        <v>2.5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21313-2025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45782</v>
      </c>
      <c r="E1225" s="1" t="n">
        <v>46321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21475-2025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45782</v>
      </c>
      <c r="E1226" s="1" t="n">
        <v>46321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5.9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61375-2025</t>
        </is>
      </c>
      <c r="B1227" t="inlineStr">
        <is>
          <t>avverkningsanmälan</t>
        </is>
      </c>
      <c r="C1227" t="inlineStr">
        <is>
          <t>Avverkning för att bevara och utveckla /försöksver</t>
        </is>
      </c>
      <c r="D1227" s="1" t="n">
        <v>46001</v>
      </c>
      <c r="E1227" s="1" t="n">
        <v>46321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61918-2025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46003</v>
      </c>
      <c r="E1228" s="1" t="n">
        <v>46321</v>
      </c>
      <c r="F1228" t="inlineStr">
        <is>
          <t>VÄSTERNORRLANDS LÄN</t>
        </is>
      </c>
      <c r="G1228" t="inlineStr">
        <is>
          <t>ÖRNSKÖLDSVIK</t>
        </is>
      </c>
      <c r="I1228" t="n">
        <v>6.1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62204-2025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46006</v>
      </c>
      <c r="E1229" s="1" t="n">
        <v>46321</v>
      </c>
      <c r="F1229" t="inlineStr">
        <is>
          <t>VÄSTERNORRLANDS LÄN</t>
        </is>
      </c>
      <c r="G1229" t="inlineStr">
        <is>
          <t>ÖRNSKÖLDSVIK</t>
        </is>
      </c>
      <c r="I1229" t="n">
        <v>3.1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62140-2025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46006</v>
      </c>
      <c r="E1230" s="1" t="n">
        <v>46321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62338-2025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46006</v>
      </c>
      <c r="E1231" s="1" t="n">
        <v>46321</v>
      </c>
      <c r="F1231" t="inlineStr">
        <is>
          <t>VÄSTERNORRLANDS LÄN</t>
        </is>
      </c>
      <c r="G1231" t="inlineStr">
        <is>
          <t>ÖRNSKÖLDSVIK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62094-2025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46006</v>
      </c>
      <c r="E1232" s="1" t="n">
        <v>46321</v>
      </c>
      <c r="F1232" t="inlineStr">
        <is>
          <t>VÄSTERNORRLANDS LÄN</t>
        </is>
      </c>
      <c r="G1232" t="inlineStr">
        <is>
          <t>ÖRNSKÖLDSVIK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21241-2025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45779</v>
      </c>
      <c r="E1233" s="1" t="n">
        <v>46321</v>
      </c>
      <c r="F1233" t="inlineStr">
        <is>
          <t>VÄSTERNORRLANDS LÄN</t>
        </is>
      </c>
      <c r="G1233" t="inlineStr">
        <is>
          <t>ÖRNSKÖLDSVIK</t>
        </is>
      </c>
      <c r="I1233" t="n">
        <v>0.2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21521-2025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45782</v>
      </c>
      <c r="E1234" s="1" t="n">
        <v>46321</v>
      </c>
      <c r="F1234" t="inlineStr">
        <is>
          <t>VÄSTERNORRLANDS LÄN</t>
        </is>
      </c>
      <c r="G1234" t="inlineStr">
        <is>
          <t>ÖRNSKÖLDSVIK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36661-2024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45537</v>
      </c>
      <c r="E1235" s="1" t="n">
        <v>46321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6.5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62136-2025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46006</v>
      </c>
      <c r="E1236" s="1" t="n">
        <v>46321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7.7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31759-2026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46227</v>
      </c>
      <c r="E1237" s="1" t="n">
        <v>46321</v>
      </c>
      <c r="F1237" t="inlineStr">
        <is>
          <t>VÄSTERNORRLANDS LÄN</t>
        </is>
      </c>
      <c r="G1237" t="inlineStr">
        <is>
          <t>ÖRNSKÖLDSVIK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28659-2024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45478</v>
      </c>
      <c r="E1238" s="1" t="n">
        <v>46321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2.2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62069-2025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46006</v>
      </c>
      <c r="E1239" s="1" t="n">
        <v>46321</v>
      </c>
      <c r="F1239" t="inlineStr">
        <is>
          <t>VÄSTERNORRLANDS LÄN</t>
        </is>
      </c>
      <c r="G1239" t="inlineStr">
        <is>
          <t>ÖRNSKÖLDSVIK</t>
        </is>
      </c>
      <c r="I1239" t="n">
        <v>3.2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31727-2026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46227</v>
      </c>
      <c r="E1240" s="1" t="n">
        <v>46321</v>
      </c>
      <c r="F1240" t="inlineStr">
        <is>
          <t>VÄSTERNORRLANDS LÄN</t>
        </is>
      </c>
      <c r="G1240" t="inlineStr">
        <is>
          <t>ÖRNSKÖLDSVIK</t>
        </is>
      </c>
      <c r="I1240" t="n">
        <v>9.300000000000001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21859-2025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45784</v>
      </c>
      <c r="E1241" s="1" t="n">
        <v>46321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62308-2025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46006</v>
      </c>
      <c r="E1242" s="1" t="n">
        <v>46321</v>
      </c>
      <c r="F1242" t="inlineStr">
        <is>
          <t>VÄSTERNORRLANDS LÄN</t>
        </is>
      </c>
      <c r="G1242" t="inlineStr">
        <is>
          <t>ÖRNSKÖLDSVIK</t>
        </is>
      </c>
      <c r="I1242" t="n">
        <v>1.6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63748-2023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45277</v>
      </c>
      <c r="E1243" s="1" t="n">
        <v>46321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Övriga Aktiebolag</t>
        </is>
      </c>
      <c r="I1243" t="n">
        <v>4.6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61943-2025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46003</v>
      </c>
      <c r="E1244" s="1" t="n">
        <v>46321</v>
      </c>
      <c r="F1244" t="inlineStr">
        <is>
          <t>VÄSTERNORRLANDS LÄN</t>
        </is>
      </c>
      <c r="G1244" t="inlineStr">
        <is>
          <t>ÖRNSKÖLDSVIK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21666-2025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45783</v>
      </c>
      <c r="E1245" s="1" t="n">
        <v>46321</v>
      </c>
      <c r="F1245" t="inlineStr">
        <is>
          <t>VÄSTERNORRLANDS LÄN</t>
        </is>
      </c>
      <c r="G1245" t="inlineStr">
        <is>
          <t>ÖRNSKÖLDSVIK</t>
        </is>
      </c>
      <c r="I1245" t="n">
        <v>4.2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62771-2025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46008</v>
      </c>
      <c r="E1246" s="1" t="n">
        <v>46321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6.4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21777-2025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45783</v>
      </c>
      <c r="E1247" s="1" t="n">
        <v>46321</v>
      </c>
      <c r="F1247" t="inlineStr">
        <is>
          <t>VÄSTERNORRLANDS LÄN</t>
        </is>
      </c>
      <c r="G1247" t="inlineStr">
        <is>
          <t>ÖRNSKÖLDSVIK</t>
        </is>
      </c>
      <c r="I1247" t="n">
        <v>3.5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62610-2025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46008</v>
      </c>
      <c r="E1248" s="1" t="n">
        <v>46321</v>
      </c>
      <c r="F1248" t="inlineStr">
        <is>
          <t>VÄSTERNORRLANDS LÄN</t>
        </is>
      </c>
      <c r="G1248" t="inlineStr">
        <is>
          <t>ÖRNSKÖLDSVIK</t>
        </is>
      </c>
      <c r="I1248" t="n">
        <v>2.3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32003-2026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46233</v>
      </c>
      <c r="E1249" s="1" t="n">
        <v>46321</v>
      </c>
      <c r="F1249" t="inlineStr">
        <is>
          <t>VÄSTERNORRLANDS LÄN</t>
        </is>
      </c>
      <c r="G1249" t="inlineStr">
        <is>
          <t>ÖRNSKÖLDSVIK</t>
        </is>
      </c>
      <c r="I1249" t="n">
        <v>1.8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32007-2026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46233</v>
      </c>
      <c r="E1250" s="1" t="n">
        <v>46321</v>
      </c>
      <c r="F1250" t="inlineStr">
        <is>
          <t>VÄSTERNORRLANDS LÄN</t>
        </is>
      </c>
      <c r="G1250" t="inlineStr">
        <is>
          <t>ÖRNSKÖLDSVIK</t>
        </is>
      </c>
      <c r="I1250" t="n">
        <v>3.7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62649-2025</t>
        </is>
      </c>
      <c r="B1251" t="inlineStr">
        <is>
          <t>avverkningsanmälan</t>
        </is>
      </c>
      <c r="C1251" t="inlineStr">
        <is>
          <t>Avverkning för annat ändamål</t>
        </is>
      </c>
      <c r="D1251" s="1" t="n">
        <v>46008</v>
      </c>
      <c r="E1251" s="1" t="n">
        <v>46321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5.1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62866-2025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46008</v>
      </c>
      <c r="E1252" s="1" t="n">
        <v>46321</v>
      </c>
      <c r="F1252" t="inlineStr">
        <is>
          <t>VÄSTERNORRLANDS LÄN</t>
        </is>
      </c>
      <c r="G1252" t="inlineStr">
        <is>
          <t>ÖRNSKÖLDSVIK</t>
        </is>
      </c>
      <c r="I1252" t="n">
        <v>3.2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60757-2023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45260</v>
      </c>
      <c r="E1253" s="1" t="n">
        <v>46321</v>
      </c>
      <c r="F1253" t="inlineStr">
        <is>
          <t>VÄSTERNORRLANDS LÄN</t>
        </is>
      </c>
      <c r="G1253" t="inlineStr">
        <is>
          <t>ÖRNSKÖLDSVIK</t>
        </is>
      </c>
      <c r="I1253" t="n">
        <v>3.7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55913-2022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44889</v>
      </c>
      <c r="E1254" s="1" t="n">
        <v>46321</v>
      </c>
      <c r="F1254" t="inlineStr">
        <is>
          <t>VÄSTERNORRLANDS LÄN</t>
        </is>
      </c>
      <c r="G1254" t="inlineStr">
        <is>
          <t>ÖRNSKÖLDSVIK</t>
        </is>
      </c>
      <c r="I1254" t="n">
        <v>3.6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62651-2025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46008</v>
      </c>
      <c r="E1255" s="1" t="n">
        <v>46321</v>
      </c>
      <c r="F1255" t="inlineStr">
        <is>
          <t>VÄSTERNORRLANDS LÄN</t>
        </is>
      </c>
      <c r="G1255" t="inlineStr">
        <is>
          <t>ÖRNSKÖLDSVIK</t>
        </is>
      </c>
      <c r="I1255" t="n">
        <v>31.8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57888-2023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45247</v>
      </c>
      <c r="E1256" s="1" t="n">
        <v>46321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63274-2025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46010</v>
      </c>
      <c r="E1257" s="1" t="n">
        <v>46321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2.7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63300-2025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46010</v>
      </c>
      <c r="E1258" s="1" t="n">
        <v>46321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2.9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37940-2026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46280</v>
      </c>
      <c r="E1259" s="1" t="n">
        <v>46321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11.6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63097-2025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46009</v>
      </c>
      <c r="E1260" s="1" t="n">
        <v>46321</v>
      </c>
      <c r="F1260" t="inlineStr">
        <is>
          <t>VÄSTERNORRLANDS LÄN</t>
        </is>
      </c>
      <c r="G1260" t="inlineStr">
        <is>
          <t>ÖRNSKÖLDSVIK</t>
        </is>
      </c>
      <c r="I1260" t="n">
        <v>3.1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63304-2025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46010</v>
      </c>
      <c r="E1261" s="1" t="n">
        <v>46321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63308-2025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46010</v>
      </c>
      <c r="E1262" s="1" t="n">
        <v>46321</v>
      </c>
      <c r="F1262" t="inlineStr">
        <is>
          <t>VÄSTERNORRLANDS LÄN</t>
        </is>
      </c>
      <c r="G1262" t="inlineStr">
        <is>
          <t>ÖRNSKÖLDSVIK</t>
        </is>
      </c>
      <c r="I1262" t="n">
        <v>2.1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63311-2025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46010</v>
      </c>
      <c r="E1263" s="1" t="n">
        <v>46321</v>
      </c>
      <c r="F1263" t="inlineStr">
        <is>
          <t>VÄSTERNORRLANDS LÄN</t>
        </is>
      </c>
      <c r="G1263" t="inlineStr">
        <is>
          <t>ÖRNSKÖLDSVIK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63916-2023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45278</v>
      </c>
      <c r="E1264" s="1" t="n">
        <v>46321</v>
      </c>
      <c r="F1264" t="inlineStr">
        <is>
          <t>VÄSTERNORRLANDS LÄN</t>
        </is>
      </c>
      <c r="G1264" t="inlineStr">
        <is>
          <t>ÖRNSKÖLDSVIK</t>
        </is>
      </c>
      <c r="I1264" t="n">
        <v>2.5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32006-2026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46233</v>
      </c>
      <c r="E1265" s="1" t="n">
        <v>46321</v>
      </c>
      <c r="F1265" t="inlineStr">
        <is>
          <t>VÄSTERNORRLANDS LÄN</t>
        </is>
      </c>
      <c r="G1265" t="inlineStr">
        <is>
          <t>ÖRNSKÖLDSVIK</t>
        </is>
      </c>
      <c r="I1265" t="n">
        <v>3.4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63282-2025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46010</v>
      </c>
      <c r="E1266" s="1" t="n">
        <v>46321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6.7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37698-2026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46279</v>
      </c>
      <c r="E1267" s="1" t="n">
        <v>46321</v>
      </c>
      <c r="F1267" t="inlineStr">
        <is>
          <t>VÄSTERNORRLANDS LÄN</t>
        </is>
      </c>
      <c r="G1267" t="inlineStr">
        <is>
          <t>ÖRNSKÖLDSVIK</t>
        </is>
      </c>
      <c r="I1267" t="n">
        <v>2.6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63216-2025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46010</v>
      </c>
      <c r="E1268" s="1" t="n">
        <v>46321</v>
      </c>
      <c r="F1268" t="inlineStr">
        <is>
          <t>VÄSTERNORRLANDS LÄN</t>
        </is>
      </c>
      <c r="G1268" t="inlineStr">
        <is>
          <t>ÖRNSKÖLDSVIK</t>
        </is>
      </c>
      <c r="I1268" t="n">
        <v>2.7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46350-2024</t>
        </is>
      </c>
      <c r="B1269" t="inlineStr">
        <is>
          <t>avverkningsanmälan</t>
        </is>
      </c>
      <c r="C1269" t="inlineStr">
        <is>
          <t>Avverkning för annat ändamål</t>
        </is>
      </c>
      <c r="D1269" s="1" t="n">
        <v>45582</v>
      </c>
      <c r="E1269" s="1" t="n">
        <v>46321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4.3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53074-2025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45958</v>
      </c>
      <c r="E1270" s="1" t="n">
        <v>46321</v>
      </c>
      <c r="F1270" t="inlineStr">
        <is>
          <t>VÄSTERNORRLANDS LÄN</t>
        </is>
      </c>
      <c r="G1270" t="inlineStr">
        <is>
          <t>ÖRNSKÖLDSVIK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63109-2025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46009</v>
      </c>
      <c r="E1271" s="1" t="n">
        <v>46321</v>
      </c>
      <c r="F1271" t="inlineStr">
        <is>
          <t>VÄSTERNORRLANDS LÄN</t>
        </is>
      </c>
      <c r="G1271" t="inlineStr">
        <is>
          <t>ÖRNSKÖLDSVIK</t>
        </is>
      </c>
      <c r="I1271" t="n">
        <v>3.9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63317-2025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46010</v>
      </c>
      <c r="E1272" s="1" t="n">
        <v>46321</v>
      </c>
      <c r="F1272" t="inlineStr">
        <is>
          <t>VÄSTERNORRLANDS LÄN</t>
        </is>
      </c>
      <c r="G1272" t="inlineStr">
        <is>
          <t>ÖRNSKÖLDSVIK</t>
        </is>
      </c>
      <c r="I1272" t="n">
        <v>3.3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63281-2025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46010</v>
      </c>
      <c r="E1273" s="1" t="n">
        <v>46321</v>
      </c>
      <c r="F1273" t="inlineStr">
        <is>
          <t>VÄSTERNORRLANDS LÄN</t>
        </is>
      </c>
      <c r="G1273" t="inlineStr">
        <is>
          <t>ÖRNSKÖLDSVIK</t>
        </is>
      </c>
      <c r="I1273" t="n">
        <v>6.2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32161-2026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46237</v>
      </c>
      <c r="E1274" s="1" t="n">
        <v>46321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8.699999999999999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58702-2025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45986</v>
      </c>
      <c r="E1275" s="1" t="n">
        <v>46321</v>
      </c>
      <c r="F1275" t="inlineStr">
        <is>
          <t>VÄSTERNORRLANDS LÄN</t>
        </is>
      </c>
      <c r="G1275" t="inlineStr">
        <is>
          <t>ÖRNSKÖLDSVIK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37918-2026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46280</v>
      </c>
      <c r="E1276" s="1" t="n">
        <v>46321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37919-2026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46280</v>
      </c>
      <c r="E1277" s="1" t="n">
        <v>46321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0.5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38028-2026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46280</v>
      </c>
      <c r="E1278" s="1" t="n">
        <v>46321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3.7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38054-2026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46280</v>
      </c>
      <c r="E1279" s="1" t="n">
        <v>46321</v>
      </c>
      <c r="F1279" t="inlineStr">
        <is>
          <t>VÄSTERNORRLANDS LÄN</t>
        </is>
      </c>
      <c r="G1279" t="inlineStr">
        <is>
          <t>ÖRNSKÖLDSVIK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37923-2026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46280</v>
      </c>
      <c r="E1280" s="1" t="n">
        <v>46321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4.1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37945-2026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46280</v>
      </c>
      <c r="E1281" s="1" t="n">
        <v>46321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8.5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37986-2026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46280</v>
      </c>
      <c r="E1282" s="1" t="n">
        <v>46321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4.8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46014</v>
      </c>
      <c r="E1283" s="1" t="n">
        <v>46321</v>
      </c>
      <c r="F1283" t="inlineStr">
        <is>
          <t>VÄSTERNORRLANDS LÄN</t>
        </is>
      </c>
      <c r="G1283" t="inlineStr">
        <is>
          <t>ÖRNSKÖLDSVIK</t>
        </is>
      </c>
      <c r="I1283" t="n">
        <v>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37881-2026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46279</v>
      </c>
      <c r="E1284" s="1" t="n">
        <v>46321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42813-2024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45566</v>
      </c>
      <c r="E1285" s="1" t="n">
        <v>46321</v>
      </c>
      <c r="F1285" t="inlineStr">
        <is>
          <t>VÄSTERNORRLANDS LÄN</t>
        </is>
      </c>
      <c r="G1285" t="inlineStr">
        <is>
          <t>ÖRNSKÖLDSVIK</t>
        </is>
      </c>
      <c r="I1285" t="n">
        <v>4.4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24661-2024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45460</v>
      </c>
      <c r="E1286" s="1" t="n">
        <v>46321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63497-2025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46013</v>
      </c>
      <c r="E1287" s="1" t="n">
        <v>46321</v>
      </c>
      <c r="F1287" t="inlineStr">
        <is>
          <t>VÄSTERNORRLANDS LÄN</t>
        </is>
      </c>
      <c r="G1287" t="inlineStr">
        <is>
          <t>ÖRNSKÖLDSVIK</t>
        </is>
      </c>
      <c r="I1287" t="n">
        <v>4.4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63513-2025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46013</v>
      </c>
      <c r="E1288" s="1" t="n">
        <v>46321</v>
      </c>
      <c r="F1288" t="inlineStr">
        <is>
          <t>VÄSTERNORRLANDS LÄN</t>
        </is>
      </c>
      <c r="G1288" t="inlineStr">
        <is>
          <t>ÖRNSKÖLDSVIK</t>
        </is>
      </c>
      <c r="I1288" t="n">
        <v>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45437-2024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45576</v>
      </c>
      <c r="E1289" s="1" t="n">
        <v>46321</v>
      </c>
      <c r="F1289" t="inlineStr">
        <is>
          <t>VÄSTERNORRLANDS LÄN</t>
        </is>
      </c>
      <c r="G1289" t="inlineStr">
        <is>
          <t>ÖRNSKÖLDSVIK</t>
        </is>
      </c>
      <c r="I1289" t="n">
        <v>6.7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38097-2026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46281</v>
      </c>
      <c r="E1290" s="1" t="n">
        <v>46321</v>
      </c>
      <c r="F1290" t="inlineStr">
        <is>
          <t>VÄSTERNORRLANDS LÄN</t>
        </is>
      </c>
      <c r="G1290" t="inlineStr">
        <is>
          <t>ÖRNSKÖLDSVIK</t>
        </is>
      </c>
      <c r="I1290" t="n">
        <v>6.7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38291-2026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46282</v>
      </c>
      <c r="E1291" s="1" t="n">
        <v>46321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38184-2026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46281</v>
      </c>
      <c r="E1292" s="1" t="n">
        <v>46321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38186-2026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46281</v>
      </c>
      <c r="E1293" s="1" t="n">
        <v>46321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11689-2024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45373</v>
      </c>
      <c r="E1294" s="1" t="n">
        <v>46321</v>
      </c>
      <c r="F1294" t="inlineStr">
        <is>
          <t>VÄSTERNORRLANDS LÄN</t>
        </is>
      </c>
      <c r="G1294" t="inlineStr">
        <is>
          <t>ÖRNSKÖLDSVIK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38225-2026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46281</v>
      </c>
      <c r="E1295" s="1" t="n">
        <v>46321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SCA</t>
        </is>
      </c>
      <c r="I1295" t="n">
        <v>2.6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38174-2026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46281</v>
      </c>
      <c r="E1296" s="1" t="n">
        <v>46321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7.7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38293-2026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46282</v>
      </c>
      <c r="E1297" s="1" t="n">
        <v>46321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38295-2026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46282</v>
      </c>
      <c r="E1298" s="1" t="n">
        <v>46321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37058-2023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45155</v>
      </c>
      <c r="E1299" s="1" t="n">
        <v>46321</v>
      </c>
      <c r="F1299" t="inlineStr">
        <is>
          <t>VÄSTERNORRLANDS LÄN</t>
        </is>
      </c>
      <c r="G1299" t="inlineStr">
        <is>
          <t>ÖRNSKÖLDSVIK</t>
        </is>
      </c>
      <c r="I1299" t="n">
        <v>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25002-2024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45461</v>
      </c>
      <c r="E1300" s="1" t="n">
        <v>46321</v>
      </c>
      <c r="F1300" t="inlineStr">
        <is>
          <t>VÄSTERNORRLANDS LÄN</t>
        </is>
      </c>
      <c r="G1300" t="inlineStr">
        <is>
          <t>ÖRNSKÖLDSVIK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38322-2026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46282</v>
      </c>
      <c r="E1301" s="1" t="n">
        <v>46321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23.6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35941-2024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45533</v>
      </c>
      <c r="E1302" s="1" t="n">
        <v>46321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28789-2024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45478</v>
      </c>
      <c r="E1303" s="1" t="n">
        <v>46321</v>
      </c>
      <c r="F1303" t="inlineStr">
        <is>
          <t>VÄSTERNORRLANDS LÄN</t>
        </is>
      </c>
      <c r="G1303" t="inlineStr">
        <is>
          <t>ÖRNSKÖLDSVIK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38129-2026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46281</v>
      </c>
      <c r="E1304" s="1" t="n">
        <v>46321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3.1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32460-2026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46239</v>
      </c>
      <c r="E1305" s="1" t="n">
        <v>46321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0.3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31-2024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45291</v>
      </c>
      <c r="E1306" s="1" t="n">
        <v>46321</v>
      </c>
      <c r="F1306" t="inlineStr">
        <is>
          <t>VÄSTERNORRLANDS LÄN</t>
        </is>
      </c>
      <c r="G1306" t="inlineStr">
        <is>
          <t>ÖRNSKÖLDSVIK</t>
        </is>
      </c>
      <c r="I1306" t="n">
        <v>2.4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34577-2024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45526</v>
      </c>
      <c r="E1307" s="1" t="n">
        <v>46321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7.8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32403-2026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46238</v>
      </c>
      <c r="E1308" s="1" t="n">
        <v>46321</v>
      </c>
      <c r="F1308" t="inlineStr">
        <is>
          <t>VÄSTERNORRLANDS LÄN</t>
        </is>
      </c>
      <c r="G1308" t="inlineStr">
        <is>
          <t>ÖRNSKÖLDSVIK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32405-2026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46238</v>
      </c>
      <c r="E1309" s="1" t="n">
        <v>46321</v>
      </c>
      <c r="F1309" t="inlineStr">
        <is>
          <t>VÄSTERNORRLANDS LÄN</t>
        </is>
      </c>
      <c r="G1309" t="inlineStr">
        <is>
          <t>ÖRNSKÖLDSVIK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32325-2026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46238</v>
      </c>
      <c r="E1310" s="1" t="n">
        <v>46321</v>
      </c>
      <c r="F1310" t="inlineStr">
        <is>
          <t>VÄSTERNORRLANDS LÄN</t>
        </is>
      </c>
      <c r="G1310" t="inlineStr">
        <is>
          <t>ÖRNSKÖLDSVIK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46024</v>
      </c>
      <c r="E1311" s="1" t="n">
        <v>46321</v>
      </c>
      <c r="F1311" t="inlineStr">
        <is>
          <t>VÄSTERNORRLANDS LÄN</t>
        </is>
      </c>
      <c r="G1311" t="inlineStr">
        <is>
          <t>ÖRNSKÖLDSVIK</t>
        </is>
      </c>
      <c r="I1311" t="n">
        <v>2.4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46027</v>
      </c>
      <c r="E1312" s="1" t="n">
        <v>46321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12.5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38221-2026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46281</v>
      </c>
      <c r="E1313" s="1" t="n">
        <v>46321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4.3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38103-2026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46281</v>
      </c>
      <c r="E1314" s="1" t="n">
        <v>46321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38210-2026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46281</v>
      </c>
      <c r="E1315" s="1" t="n">
        <v>46321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34524-2024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45525</v>
      </c>
      <c r="E1316" s="1" t="n">
        <v>46321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12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38370-2026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46282</v>
      </c>
      <c r="E1317" s="1" t="n">
        <v>46321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716-2026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46029</v>
      </c>
      <c r="E1318" s="1" t="n">
        <v>46321</v>
      </c>
      <c r="F1318" t="inlineStr">
        <is>
          <t>VÄSTERNORRLANDS LÄN</t>
        </is>
      </c>
      <c r="G1318" t="inlineStr">
        <is>
          <t>ÖRNSKÖLDSVIK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38124-2026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46281</v>
      </c>
      <c r="E1319" s="1" t="n">
        <v>46321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1.6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38141-2026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46281</v>
      </c>
      <c r="E1320" s="1" t="n">
        <v>46321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2.5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32319-2026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46238</v>
      </c>
      <c r="E1321" s="1" t="n">
        <v>46321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723-2026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46029</v>
      </c>
      <c r="E1322" s="1" t="n">
        <v>46321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2.9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38217-2026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46281</v>
      </c>
      <c r="E1323" s="1" t="n">
        <v>46321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6.8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38438-2026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46282</v>
      </c>
      <c r="E1324" s="1" t="n">
        <v>46321</v>
      </c>
      <c r="F1324" t="inlineStr">
        <is>
          <t>VÄSTERNORRLANDS LÄN</t>
        </is>
      </c>
      <c r="G1324" t="inlineStr">
        <is>
          <t>ÖRNSKÖLDSVIK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1029-2026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46030</v>
      </c>
      <c r="E1325" s="1" t="n">
        <v>46321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SCA</t>
        </is>
      </c>
      <c r="I1325" t="n">
        <v>10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14403-2022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44652</v>
      </c>
      <c r="E1326" s="1" t="n">
        <v>46321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Kyrkan</t>
        </is>
      </c>
      <c r="I1326" t="n">
        <v>1.8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17386-2022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44678</v>
      </c>
      <c r="E1327" s="1" t="n">
        <v>46321</v>
      </c>
      <c r="F1327" t="inlineStr">
        <is>
          <t>VÄSTERNORRLANDS LÄN</t>
        </is>
      </c>
      <c r="G1327" t="inlineStr">
        <is>
          <t>ÖRNSKÖLDSVIK</t>
        </is>
      </c>
      <c r="I1327" t="n">
        <v>10.5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38289-2026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46282</v>
      </c>
      <c r="E1328" s="1" t="n">
        <v>46321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42944-2024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45567</v>
      </c>
      <c r="E1329" s="1" t="n">
        <v>46321</v>
      </c>
      <c r="F1329" t="inlineStr">
        <is>
          <t>VÄSTERNORRLANDS LÄN</t>
        </is>
      </c>
      <c r="G1329" t="inlineStr">
        <is>
          <t>ÖRNSKÖLDSVIK</t>
        </is>
      </c>
      <c r="I1329" t="n">
        <v>4.3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45951-2024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45580</v>
      </c>
      <c r="E1330" s="1" t="n">
        <v>46321</v>
      </c>
      <c r="F1330" t="inlineStr">
        <is>
          <t>VÄSTERNORRLANDS LÄN</t>
        </is>
      </c>
      <c r="G1330" t="inlineStr">
        <is>
          <t>ÖRNSKÖLDSVIK</t>
        </is>
      </c>
      <c r="I1330" t="n">
        <v>1.5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38182-2026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46281</v>
      </c>
      <c r="E1331" s="1" t="n">
        <v>46321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38298-2026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46282</v>
      </c>
      <c r="E1332" s="1" t="n">
        <v>46321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38118-2026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46281</v>
      </c>
      <c r="E1333" s="1" t="n">
        <v>46321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4.2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38532-2026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46283</v>
      </c>
      <c r="E1334" s="1" t="n">
        <v>46321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Kommuner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19361-2024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45429</v>
      </c>
      <c r="E1335" s="1" t="n">
        <v>46321</v>
      </c>
      <c r="F1335" t="inlineStr">
        <is>
          <t>VÄSTERNORRLANDS LÄN</t>
        </is>
      </c>
      <c r="G1335" t="inlineStr">
        <is>
          <t>ÖRNSKÖLDSVIK</t>
        </is>
      </c>
      <c r="I1335" t="n">
        <v>3.9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32587-2026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46240</v>
      </c>
      <c r="E1336" s="1" t="n">
        <v>46321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1.7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41043-2024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45559</v>
      </c>
      <c r="E1337" s="1" t="n">
        <v>46321</v>
      </c>
      <c r="F1337" t="inlineStr">
        <is>
          <t>VÄSTERNORRLANDS LÄN</t>
        </is>
      </c>
      <c r="G1337" t="inlineStr">
        <is>
          <t>ÖRNSKÖLDSVIK</t>
        </is>
      </c>
      <c r="I1337" t="n">
        <v>1.3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38826-2026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46286</v>
      </c>
      <c r="E1338" s="1" t="n">
        <v>46321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32766-2026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46241</v>
      </c>
      <c r="E1339" s="1" t="n">
        <v>46321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13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1256-2026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46031</v>
      </c>
      <c r="E1340" s="1" t="n">
        <v>46321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1563-2026</t>
        </is>
      </c>
      <c r="B1341" t="inlineStr">
        <is>
          <t>avverkningsanmälan</t>
        </is>
      </c>
      <c r="C1341" t="inlineStr">
        <is>
          <t>Avverkning för annat ändamål</t>
        </is>
      </c>
      <c r="D1341" s="1" t="n">
        <v>46034</v>
      </c>
      <c r="E1341" s="1" t="n">
        <v>46321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3.1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38542-2026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46283</v>
      </c>
      <c r="E1342" s="1" t="n">
        <v>46321</v>
      </c>
      <c r="F1342" t="inlineStr">
        <is>
          <t>VÄSTERNORRLANDS LÄN</t>
        </is>
      </c>
      <c r="G1342" t="inlineStr">
        <is>
          <t>ÖRNSKÖLDSVIK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38889-2026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46286</v>
      </c>
      <c r="E1343" s="1" t="n">
        <v>46321</v>
      </c>
      <c r="F1343" t="inlineStr">
        <is>
          <t>VÄSTERNORRLANDS LÄN</t>
        </is>
      </c>
      <c r="G1343" t="inlineStr">
        <is>
          <t>ÖRNSKÖLDSVIK</t>
        </is>
      </c>
      <c r="I1343" t="n">
        <v>4.2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1526-2026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46034</v>
      </c>
      <c r="E1344" s="1" t="n">
        <v>46321</v>
      </c>
      <c r="F1344" t="inlineStr">
        <is>
          <t>VÄSTERNORRLANDS LÄN</t>
        </is>
      </c>
      <c r="G1344" t="inlineStr">
        <is>
          <t>ÖRNSKÖLDSVIK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35341-2022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44798</v>
      </c>
      <c r="E1345" s="1" t="n">
        <v>46321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6.5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1527-2026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46034</v>
      </c>
      <c r="E1346" s="1" t="n">
        <v>46321</v>
      </c>
      <c r="F1346" t="inlineStr">
        <is>
          <t>VÄSTERNORRLANDS LÄN</t>
        </is>
      </c>
      <c r="G1346" t="inlineStr">
        <is>
          <t>ÖRNSKÖLDSVIK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38750-2026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46286</v>
      </c>
      <c r="E1347" s="1" t="n">
        <v>46321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3.4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38856-2026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46286</v>
      </c>
      <c r="E1348" s="1" t="n">
        <v>46321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11.5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38957-2026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46286</v>
      </c>
      <c r="E1349" s="1" t="n">
        <v>46321</v>
      </c>
      <c r="F1349" t="inlineStr">
        <is>
          <t>VÄSTERNORRLANDS LÄN</t>
        </is>
      </c>
      <c r="G1349" t="inlineStr">
        <is>
          <t>ÖRNSKÖLDSVIK</t>
        </is>
      </c>
      <c r="I1349" t="n">
        <v>6.8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62659-2023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45268</v>
      </c>
      <c r="E1350" s="1" t="n">
        <v>46321</v>
      </c>
      <c r="F1350" t="inlineStr">
        <is>
          <t>VÄSTERNORRLANDS LÄN</t>
        </is>
      </c>
      <c r="G1350" t="inlineStr">
        <is>
          <t>ÖRNSKÖLDSVIK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18310-2025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45762</v>
      </c>
      <c r="E1351" s="1" t="n">
        <v>46321</v>
      </c>
      <c r="F1351" t="inlineStr">
        <is>
          <t>VÄSTERNORRLANDS LÄN</t>
        </is>
      </c>
      <c r="G1351" t="inlineStr">
        <is>
          <t>ÖRNSKÖLDSVIK</t>
        </is>
      </c>
      <c r="I1351" t="n">
        <v>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38565-2026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46283</v>
      </c>
      <c r="E1352" s="1" t="n">
        <v>46321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14671-2024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45397</v>
      </c>
      <c r="E1353" s="1" t="n">
        <v>46321</v>
      </c>
      <c r="F1353" t="inlineStr">
        <is>
          <t>VÄSTERNORRLANDS LÄN</t>
        </is>
      </c>
      <c r="G1353" t="inlineStr">
        <is>
          <t>ÖRNSKÖLDSVIK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15404-2024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45401</v>
      </c>
      <c r="E1354" s="1" t="n">
        <v>46321</v>
      </c>
      <c r="F1354" t="inlineStr">
        <is>
          <t>VÄSTERNORRLANDS LÄN</t>
        </is>
      </c>
      <c r="G1354" t="inlineStr">
        <is>
          <t>ÖRNSKÖLDSVIK</t>
        </is>
      </c>
      <c r="I1354" t="n">
        <v>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22137-2024</t>
        </is>
      </c>
      <c r="B1355" t="inlineStr">
        <is>
          <t>avverkningsanmälan</t>
        </is>
      </c>
      <c r="C1355" t="inlineStr">
        <is>
          <t>Avverkning för att bevara och utveckla /försöksver</t>
        </is>
      </c>
      <c r="D1355" s="1" t="n">
        <v>45444</v>
      </c>
      <c r="E1355" s="1" t="n">
        <v>46321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SCA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1807-2026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46035</v>
      </c>
      <c r="E1356" s="1" t="n">
        <v>46321</v>
      </c>
      <c r="F1356" t="inlineStr">
        <is>
          <t>VÄSTERNORRLANDS LÄN</t>
        </is>
      </c>
      <c r="G1356" t="inlineStr">
        <is>
          <t>ÖRNSKÖLDSVIK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1833-2026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46035</v>
      </c>
      <c r="E1357" s="1" t="n">
        <v>46321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SCA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38766-2026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46286</v>
      </c>
      <c r="E1358" s="1" t="n">
        <v>46321</v>
      </c>
      <c r="F1358" t="inlineStr">
        <is>
          <t>VÄSTERNORRLANDS LÄN</t>
        </is>
      </c>
      <c r="G1358" t="inlineStr">
        <is>
          <t>ÖRNSKÖLDSVIK</t>
        </is>
      </c>
      <c r="I1358" t="n">
        <v>1.4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34796-2023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45141</v>
      </c>
      <c r="E1359" s="1" t="n">
        <v>46321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2.7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34973-2024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45527</v>
      </c>
      <c r="E1360" s="1" t="n">
        <v>46321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38833-2026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46286</v>
      </c>
      <c r="E1361" s="1" t="n">
        <v>46321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5.7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60337-2022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44910</v>
      </c>
      <c r="E1362" s="1" t="n">
        <v>46321</v>
      </c>
      <c r="F1362" t="inlineStr">
        <is>
          <t>VÄSTERNORRLANDS LÄN</t>
        </is>
      </c>
      <c r="G1362" t="inlineStr">
        <is>
          <t>ÖRNSKÖLDSVIK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38604-2026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46283</v>
      </c>
      <c r="E1363" s="1" t="n">
        <v>46321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2868-2026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46038</v>
      </c>
      <c r="E1364" s="1" t="n">
        <v>46321</v>
      </c>
      <c r="F1364" t="inlineStr">
        <is>
          <t>VÄSTERNORRLANDS LÄN</t>
        </is>
      </c>
      <c r="G1364" t="inlineStr">
        <is>
          <t>ÖRNSKÖLDSVIK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23942-2025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45796</v>
      </c>
      <c r="E1365" s="1" t="n">
        <v>46321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34981-2024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45527</v>
      </c>
      <c r="E1366" s="1" t="n">
        <v>46321</v>
      </c>
      <c r="F1366" t="inlineStr">
        <is>
          <t>VÄSTERNORRLANDS LÄN</t>
        </is>
      </c>
      <c r="G1366" t="inlineStr">
        <is>
          <t>ÖRNSKÖLDSVIK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2963-2026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46038</v>
      </c>
      <c r="E1367" s="1" t="n">
        <v>46321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SCA</t>
        </is>
      </c>
      <c r="I1367" t="n">
        <v>3.3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34586-2024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45526</v>
      </c>
      <c r="E1368" s="1" t="n">
        <v>46321</v>
      </c>
      <c r="F1368" t="inlineStr">
        <is>
          <t>VÄSTERNORRLANDS LÄN</t>
        </is>
      </c>
      <c r="G1368" t="inlineStr">
        <is>
          <t>ÖRNSKÖLDSVIK</t>
        </is>
      </c>
      <c r="I1368" t="n">
        <v>2.5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18944-2026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46129</v>
      </c>
      <c r="E1369" s="1" t="n">
        <v>46321</v>
      </c>
      <c r="F1369" t="inlineStr">
        <is>
          <t>VÄSTERNORRLANDS LÄN</t>
        </is>
      </c>
      <c r="G1369" t="inlineStr">
        <is>
          <t>ÖRNSKÖLDSVIK</t>
        </is>
      </c>
      <c r="I1369" t="n">
        <v>16.9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38800-2026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46286</v>
      </c>
      <c r="E1370" s="1" t="n">
        <v>46321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2840-2026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46038</v>
      </c>
      <c r="E1371" s="1" t="n">
        <v>46321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SCA</t>
        </is>
      </c>
      <c r="I1371" t="n">
        <v>11.4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38773-2026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46286</v>
      </c>
      <c r="E1372" s="1" t="n">
        <v>46321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3249-2026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46041</v>
      </c>
      <c r="E1373" s="1" t="n">
        <v>46321</v>
      </c>
      <c r="F1373" t="inlineStr">
        <is>
          <t>VÄSTERNORRLANDS LÄN</t>
        </is>
      </c>
      <c r="G1373" t="inlineStr">
        <is>
          <t>ÖRNSKÖLDSVIK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3213-2026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46041</v>
      </c>
      <c r="E1374" s="1" t="n">
        <v>46321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5.2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39131-2026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46287</v>
      </c>
      <c r="E1375" s="1" t="n">
        <v>46321</v>
      </c>
      <c r="F1375" t="inlineStr">
        <is>
          <t>VÄSTERNORRLANDS LÄN</t>
        </is>
      </c>
      <c r="G1375" t="inlineStr">
        <is>
          <t>ÖRNSKÖLDSVIK</t>
        </is>
      </c>
      <c r="I1375" t="n">
        <v>2.7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39029-2026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46287</v>
      </c>
      <c r="E1376" s="1" t="n">
        <v>46321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30972-2023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45103</v>
      </c>
      <c r="E1377" s="1" t="n">
        <v>46321</v>
      </c>
      <c r="F1377" t="inlineStr">
        <is>
          <t>VÄSTERNORRLANDS LÄN</t>
        </is>
      </c>
      <c r="G1377" t="inlineStr">
        <is>
          <t>ÖRNSKÖLDSVIK</t>
        </is>
      </c>
      <c r="I1377" t="n">
        <v>2.1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39042-2026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46287</v>
      </c>
      <c r="E1378" s="1" t="n">
        <v>46321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1.7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39044-2026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46287</v>
      </c>
      <c r="E1379" s="1" t="n">
        <v>46321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5.8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39289-2026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46288</v>
      </c>
      <c r="E1380" s="1" t="n">
        <v>46321</v>
      </c>
      <c r="F1380" t="inlineStr">
        <is>
          <t>VÄSTERNORRLANDS LÄN</t>
        </is>
      </c>
      <c r="G1380" t="inlineStr">
        <is>
          <t>ÖRNSKÖLDSVIK</t>
        </is>
      </c>
      <c r="I1380" t="n">
        <v>1.4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39290-2026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46288</v>
      </c>
      <c r="E1381" s="1" t="n">
        <v>46321</v>
      </c>
      <c r="F1381" t="inlineStr">
        <is>
          <t>VÄSTERNORRLANDS LÄN</t>
        </is>
      </c>
      <c r="G1381" t="inlineStr">
        <is>
          <t>ÖRNSKÖLDSVIK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3188-2026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46041</v>
      </c>
      <c r="E1382" s="1" t="n">
        <v>46321</v>
      </c>
      <c r="F1382" t="inlineStr">
        <is>
          <t>VÄSTERNORRLANDS LÄN</t>
        </is>
      </c>
      <c r="G1382" t="inlineStr">
        <is>
          <t>ÖRNSKÖLDSVIK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3359-2026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46041</v>
      </c>
      <c r="E1383" s="1" t="n">
        <v>46321</v>
      </c>
      <c r="F1383" t="inlineStr">
        <is>
          <t>VÄSTERNORRLANDS LÄN</t>
        </is>
      </c>
      <c r="G1383" t="inlineStr">
        <is>
          <t>ÖRNSKÖLDSVIK</t>
        </is>
      </c>
      <c r="I1383" t="n">
        <v>6.9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3362-2026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46042</v>
      </c>
      <c r="E1384" s="1" t="n">
        <v>46321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39310-2026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46288</v>
      </c>
      <c r="E1385" s="1" t="n">
        <v>46321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5.8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39340-2026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46288</v>
      </c>
      <c r="E1386" s="1" t="n">
        <v>46321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2.5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39341-2026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46288</v>
      </c>
      <c r="E1387" s="1" t="n">
        <v>46321</v>
      </c>
      <c r="F1387" t="inlineStr">
        <is>
          <t>VÄSTERNORRLANDS LÄN</t>
        </is>
      </c>
      <c r="G1387" t="inlineStr">
        <is>
          <t>ÖRNSKÖLDSVIK</t>
        </is>
      </c>
      <c r="I1387" t="n">
        <v>4.1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3212-2026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46041</v>
      </c>
      <c r="E1388" s="1" t="n">
        <v>46321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39414-2026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46288</v>
      </c>
      <c r="E1389" s="1" t="n">
        <v>46321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Övriga Aktiebolag</t>
        </is>
      </c>
      <c r="I1389" t="n">
        <v>7.4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3107-2026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46041</v>
      </c>
      <c r="E1390" s="1" t="n">
        <v>46321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39027-2026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46287</v>
      </c>
      <c r="E1391" s="1" t="n">
        <v>46321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5.9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39305-2026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46288</v>
      </c>
      <c r="E1392" s="1" t="n">
        <v>46321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7.3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14292-2025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45740</v>
      </c>
      <c r="E1393" s="1" t="n">
        <v>46321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SCA</t>
        </is>
      </c>
      <c r="I1393" t="n">
        <v>40.7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39051-2026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46287</v>
      </c>
      <c r="E1394" s="1" t="n">
        <v>46321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50597-2025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45945</v>
      </c>
      <c r="E1395" s="1" t="n">
        <v>46321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33057-2026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46245</v>
      </c>
      <c r="E1396" s="1" t="n">
        <v>46321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2.8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33062-2026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46245</v>
      </c>
      <c r="E1397" s="1" t="n">
        <v>46321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3.2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3839-2026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46043</v>
      </c>
      <c r="E1398" s="1" t="n">
        <v>46321</v>
      </c>
      <c r="F1398" t="inlineStr">
        <is>
          <t>VÄSTERNORRLANDS LÄN</t>
        </is>
      </c>
      <c r="G1398" t="inlineStr">
        <is>
          <t>ÖRNSKÖLDSVIK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32850-2026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46244</v>
      </c>
      <c r="E1399" s="1" t="n">
        <v>46321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4.6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3981-2026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46044</v>
      </c>
      <c r="E1400" s="1" t="n">
        <v>46321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SCA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33045-2026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46245</v>
      </c>
      <c r="E1401" s="1" t="n">
        <v>46321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12.1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39240-2026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46288</v>
      </c>
      <c r="E1402" s="1" t="n">
        <v>46321</v>
      </c>
      <c r="F1402" t="inlineStr">
        <is>
          <t>VÄSTERNORRLANDS LÄN</t>
        </is>
      </c>
      <c r="G1402" t="inlineStr">
        <is>
          <t>ÖRNSKÖLDSVIK</t>
        </is>
      </c>
      <c r="I1402" t="n">
        <v>2.2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39114-2026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46287</v>
      </c>
      <c r="E1403" s="1" t="n">
        <v>46321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7.5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32915-2026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46244</v>
      </c>
      <c r="E1404" s="1" t="n">
        <v>46321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4.6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39013-2026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46287</v>
      </c>
      <c r="E1405" s="1" t="n">
        <v>46321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39348-2026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46288</v>
      </c>
      <c r="E1406" s="1" t="n">
        <v>46321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4.2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25148-2026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46175</v>
      </c>
      <c r="E1407" s="1" t="n">
        <v>46321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24418-2025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45797</v>
      </c>
      <c r="E1408" s="1" t="n">
        <v>46321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SCA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39402-2026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46288</v>
      </c>
      <c r="E1409" s="1" t="n">
        <v>46321</v>
      </c>
      <c r="F1409" t="inlineStr">
        <is>
          <t>VÄSTERNORRLANDS LÄN</t>
        </is>
      </c>
      <c r="G1409" t="inlineStr">
        <is>
          <t>ÖRNSKÖLDSVIK</t>
        </is>
      </c>
      <c r="I1409" t="n">
        <v>6.4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39328-2026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46288</v>
      </c>
      <c r="E1410" s="1" t="n">
        <v>46321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8.199999999999999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39260-2026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46288</v>
      </c>
      <c r="E1411" s="1" t="n">
        <v>46321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4.1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39034-2026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46287</v>
      </c>
      <c r="E1412" s="1" t="n">
        <v>46321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2.4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32886-2026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46244</v>
      </c>
      <c r="E1413" s="1" t="n">
        <v>46321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5.1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4404-2026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46045</v>
      </c>
      <c r="E1414" s="1" t="n">
        <v>46321</v>
      </c>
      <c r="F1414" t="inlineStr">
        <is>
          <t>VÄSTERNORRLANDS LÄN</t>
        </is>
      </c>
      <c r="G1414" t="inlineStr">
        <is>
          <t>ÖRNSKÖLDSVIK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38996-2026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46287</v>
      </c>
      <c r="E1415" s="1" t="n">
        <v>46321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3.5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33014-2026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46244</v>
      </c>
      <c r="E1416" s="1" t="n">
        <v>46321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39452-2026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46288</v>
      </c>
      <c r="E1417" s="1" t="n">
        <v>46321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11.7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4721-2026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46045</v>
      </c>
      <c r="E1418" s="1" t="n">
        <v>46321</v>
      </c>
      <c r="F1418" t="inlineStr">
        <is>
          <t>VÄSTERNORRLANDS LÄN</t>
        </is>
      </c>
      <c r="G1418" t="inlineStr">
        <is>
          <t>ÖRNSKÖLDSVIK</t>
        </is>
      </c>
      <c r="I1418" t="n">
        <v>9.1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39280-2026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46288</v>
      </c>
      <c r="E1419" s="1" t="n">
        <v>46321</v>
      </c>
      <c r="F1419" t="inlineStr">
        <is>
          <t>VÄSTERNORRLANDS LÄN</t>
        </is>
      </c>
      <c r="G1419" t="inlineStr">
        <is>
          <t>ÖRNSKÖLDSVIK</t>
        </is>
      </c>
      <c r="I1419" t="n">
        <v>5.2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32845-2026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46244</v>
      </c>
      <c r="E1420" s="1" t="n">
        <v>46321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39392-2026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46288</v>
      </c>
      <c r="E1421" s="1" t="n">
        <v>46321</v>
      </c>
      <c r="F1421" t="inlineStr">
        <is>
          <t>VÄSTERNORRLANDS LÄN</t>
        </is>
      </c>
      <c r="G1421" t="inlineStr">
        <is>
          <t>ÖRNSKÖLDSVIK</t>
        </is>
      </c>
      <c r="I1421" t="n">
        <v>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39436-2026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46288</v>
      </c>
      <c r="E1422" s="1" t="n">
        <v>46321</v>
      </c>
      <c r="F1422" t="inlineStr">
        <is>
          <t>VÄSTERNORRLANDS LÄN</t>
        </is>
      </c>
      <c r="G1422" t="inlineStr">
        <is>
          <t>ÖRNSKÖLDSVIK</t>
        </is>
      </c>
      <c r="I1422" t="n">
        <v>5.8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25446-2026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46177</v>
      </c>
      <c r="E1423" s="1" t="n">
        <v>46321</v>
      </c>
      <c r="F1423" t="inlineStr">
        <is>
          <t>VÄSTERNORRLANDS LÄN</t>
        </is>
      </c>
      <c r="G1423" t="inlineStr">
        <is>
          <t>ÖRNSKÖLDSVIK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39438-2026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46288</v>
      </c>
      <c r="E1424" s="1" t="n">
        <v>46321</v>
      </c>
      <c r="F1424" t="inlineStr">
        <is>
          <t>VÄSTERNORRLANDS LÄN</t>
        </is>
      </c>
      <c r="G1424" t="inlineStr">
        <is>
          <t>ÖRNSKÖLDSVIK</t>
        </is>
      </c>
      <c r="I1424" t="n">
        <v>1.7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39449-2026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46288</v>
      </c>
      <c r="E1425" s="1" t="n">
        <v>46321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4391-2026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46045</v>
      </c>
      <c r="E1426" s="1" t="n">
        <v>46321</v>
      </c>
      <c r="F1426" t="inlineStr">
        <is>
          <t>VÄSTERNORRLANDS LÄN</t>
        </is>
      </c>
      <c r="G1426" t="inlineStr">
        <is>
          <t>ÖRNSKÖLDSVIK</t>
        </is>
      </c>
      <c r="I1426" t="n">
        <v>2.5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4726-2026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46045</v>
      </c>
      <c r="E1427" s="1" t="n">
        <v>46321</v>
      </c>
      <c r="F1427" t="inlineStr">
        <is>
          <t>VÄSTERNORRLANDS LÄN</t>
        </is>
      </c>
      <c r="G1427" t="inlineStr">
        <is>
          <t>ÖRNSKÖLDSVIK</t>
        </is>
      </c>
      <c r="I1427" t="n">
        <v>2.3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27214-2026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46188</v>
      </c>
      <c r="E1428" s="1" t="n">
        <v>46321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39022-2026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46287</v>
      </c>
      <c r="E1429" s="1" t="n">
        <v>46321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7.1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39030-2026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46287</v>
      </c>
      <c r="E1430" s="1" t="n">
        <v>46321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39177-2026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46286</v>
      </c>
      <c r="E1431" s="1" t="n">
        <v>46321</v>
      </c>
      <c r="F1431" t="inlineStr">
        <is>
          <t>VÄSTERNORRLANDS LÄN</t>
        </is>
      </c>
      <c r="G1431" t="inlineStr">
        <is>
          <t>ÖRNSKÖLDSVIK</t>
        </is>
      </c>
      <c r="I1431" t="n">
        <v>4.5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39454-2026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46288</v>
      </c>
      <c r="E1432" s="1" t="n">
        <v>46321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6.1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25116-2025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45800</v>
      </c>
      <c r="E1433" s="1" t="n">
        <v>46321</v>
      </c>
      <c r="F1433" t="inlineStr">
        <is>
          <t>VÄSTERNORRLANDS LÄN</t>
        </is>
      </c>
      <c r="G1433" t="inlineStr">
        <is>
          <t>ÖRNSKÖLDSVIK</t>
        </is>
      </c>
      <c r="I1433" t="n">
        <v>3.3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25173-2025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45800</v>
      </c>
      <c r="E1434" s="1" t="n">
        <v>46321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4.6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37920-2023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45160</v>
      </c>
      <c r="E1435" s="1" t="n">
        <v>46321</v>
      </c>
      <c r="F1435" t="inlineStr">
        <is>
          <t>VÄSTERNORRLANDS LÄN</t>
        </is>
      </c>
      <c r="G1435" t="inlineStr">
        <is>
          <t>ÖRNSKÖLDSVIK</t>
        </is>
      </c>
      <c r="I1435" t="n">
        <v>6.8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24880-2025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45799</v>
      </c>
      <c r="E1436" s="1" t="n">
        <v>46321</v>
      </c>
      <c r="F1436" t="inlineStr">
        <is>
          <t>VÄSTERNORRLANDS LÄN</t>
        </is>
      </c>
      <c r="G1436" t="inlineStr">
        <is>
          <t>ÖRNSKÖLDSVIK</t>
        </is>
      </c>
      <c r="I1436" t="n">
        <v>3.4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33470-2026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46247</v>
      </c>
      <c r="E1437" s="1" t="n">
        <v>46321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33472-2026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46247</v>
      </c>
      <c r="E1438" s="1" t="n">
        <v>46321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39901-2026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46290</v>
      </c>
      <c r="E1439" s="1" t="n">
        <v>46321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39903-2026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46290</v>
      </c>
      <c r="E1440" s="1" t="n">
        <v>46321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33387-2026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46247</v>
      </c>
      <c r="E1441" s="1" t="n">
        <v>46321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Kommuner</t>
        </is>
      </c>
      <c r="I1441" t="n">
        <v>0.3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40889-2023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45173</v>
      </c>
      <c r="E1442" s="1" t="n">
        <v>46321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24931-2025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45799</v>
      </c>
      <c r="E1443" s="1" t="n">
        <v>46321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39533-2026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46289</v>
      </c>
      <c r="E1444" s="1" t="n">
        <v>46321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24854-2025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45799</v>
      </c>
      <c r="E1445" s="1" t="n">
        <v>46321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39608-2026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46289</v>
      </c>
      <c r="E1446" s="1" t="n">
        <v>46321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5.7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39668-2026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46289</v>
      </c>
      <c r="E1447" s="1" t="n">
        <v>46321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5109-2026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46049</v>
      </c>
      <c r="E1448" s="1" t="n">
        <v>46321</v>
      </c>
      <c r="F1448" t="inlineStr">
        <is>
          <t>VÄSTERNORRLANDS LÄN</t>
        </is>
      </c>
      <c r="G1448" t="inlineStr">
        <is>
          <t>ÖRNSKÖLDSVIK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5437-2026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46050</v>
      </c>
      <c r="E1449" s="1" t="n">
        <v>46321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SCA</t>
        </is>
      </c>
      <c r="I1449" t="n">
        <v>20.8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25347-2025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45800</v>
      </c>
      <c r="E1450" s="1" t="n">
        <v>46321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33410-2026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46247</v>
      </c>
      <c r="E1451" s="1" t="n">
        <v>46321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33455-2026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46247</v>
      </c>
      <c r="E1452" s="1" t="n">
        <v>46321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Kommuner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5432-2026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46050</v>
      </c>
      <c r="E1453" s="1" t="n">
        <v>46321</v>
      </c>
      <c r="F1453" t="inlineStr">
        <is>
          <t>VÄSTERNORRLANDS LÄN</t>
        </is>
      </c>
      <c r="G1453" t="inlineStr">
        <is>
          <t>ÖRNSKÖLDSVIK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5918-2026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46052</v>
      </c>
      <c r="E1454" s="1" t="n">
        <v>46321</v>
      </c>
      <c r="F1454" t="inlineStr">
        <is>
          <t>VÄSTERNORRLANDS LÄN</t>
        </is>
      </c>
      <c r="G1454" t="inlineStr">
        <is>
          <t>ÖRNSKÖLDSVIK</t>
        </is>
      </c>
      <c r="I1454" t="n">
        <v>9.1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60227-2021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44495</v>
      </c>
      <c r="E1455" s="1" t="n">
        <v>46321</v>
      </c>
      <c r="F1455" t="inlineStr">
        <is>
          <t>VÄSTERNORRLANDS LÄN</t>
        </is>
      </c>
      <c r="G1455" t="inlineStr">
        <is>
          <t>ÖRNSKÖLDSVIK</t>
        </is>
      </c>
      <c r="I1455" t="n">
        <v>9.300000000000001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34013-2023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45124</v>
      </c>
      <c r="E1456" s="1" t="n">
        <v>46321</v>
      </c>
      <c r="F1456" t="inlineStr">
        <is>
          <t>VÄSTERNORRLANDS LÄN</t>
        </is>
      </c>
      <c r="G1456" t="inlineStr">
        <is>
          <t>ÖRNSKÖLDSVIK</t>
        </is>
      </c>
      <c r="I1456" t="n">
        <v>1.4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6051-2026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46052</v>
      </c>
      <c r="E1457" s="1" t="n">
        <v>46321</v>
      </c>
      <c r="F1457" t="inlineStr">
        <is>
          <t>VÄSTERNORRLANDS LÄN</t>
        </is>
      </c>
      <c r="G1457" t="inlineStr">
        <is>
          <t>ÖRNSKÖLDSVIK</t>
        </is>
      </c>
      <c r="I1457" t="n">
        <v>12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5628-2026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46051</v>
      </c>
      <c r="E1458" s="1" t="n">
        <v>46321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8.6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25506-2025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45803</v>
      </c>
      <c r="E1459" s="1" t="n">
        <v>46321</v>
      </c>
      <c r="F1459" t="inlineStr">
        <is>
          <t>VÄSTERNORRLANDS LÄN</t>
        </is>
      </c>
      <c r="G1459" t="inlineStr">
        <is>
          <t>ÖRNSKÖLDSVIK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33378-2026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46247</v>
      </c>
      <c r="E1460" s="1" t="n">
        <v>46321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Kommuner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25495-2025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45803</v>
      </c>
      <c r="E1461" s="1" t="n">
        <v>46321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5.5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39480-2026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46289</v>
      </c>
      <c r="E1462" s="1" t="n">
        <v>46321</v>
      </c>
      <c r="F1462" t="inlineStr">
        <is>
          <t>VÄSTERNORRLANDS LÄN</t>
        </is>
      </c>
      <c r="G1462" t="inlineStr">
        <is>
          <t>ÖRNSKÖLDSVIK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6514-2026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46052</v>
      </c>
      <c r="E1463" s="1" t="n">
        <v>46321</v>
      </c>
      <c r="F1463" t="inlineStr">
        <is>
          <t>VÄSTERNORRLANDS LÄN</t>
        </is>
      </c>
      <c r="G1463" t="inlineStr">
        <is>
          <t>ÖRNSKÖLDSVIK</t>
        </is>
      </c>
      <c r="I1463" t="n">
        <v>2.3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39079-2026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46283</v>
      </c>
      <c r="E1464" s="1" t="n">
        <v>46321</v>
      </c>
      <c r="F1464" t="inlineStr">
        <is>
          <t>VÄSTERNORRLANDS LÄN</t>
        </is>
      </c>
      <c r="G1464" t="inlineStr">
        <is>
          <t>ÖRNSKÖLDSVIK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39803-2026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46290</v>
      </c>
      <c r="E1465" s="1" t="n">
        <v>46321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13.2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33253-2026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46246</v>
      </c>
      <c r="E1466" s="1" t="n">
        <v>46321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3.4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33276-2026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46246</v>
      </c>
      <c r="E1467" s="1" t="n">
        <v>46321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5769-2026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46051</v>
      </c>
      <c r="E1468" s="1" t="n">
        <v>46321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2.7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39790-2026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46290</v>
      </c>
      <c r="E1469" s="1" t="n">
        <v>46321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61937-2024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45653</v>
      </c>
      <c r="E1470" s="1" t="n">
        <v>46321</v>
      </c>
      <c r="F1470" t="inlineStr">
        <is>
          <t>VÄSTERNORRLANDS LÄN</t>
        </is>
      </c>
      <c r="G1470" t="inlineStr">
        <is>
          <t>ÖRNSKÖLDSVIK</t>
        </is>
      </c>
      <c r="I1470" t="n">
        <v>22.5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33332-2026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46246</v>
      </c>
      <c r="E1471" s="1" t="n">
        <v>46321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13279-2023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45004</v>
      </c>
      <c r="E1472" s="1" t="n">
        <v>46321</v>
      </c>
      <c r="F1472" t="inlineStr">
        <is>
          <t>VÄSTERNORRLANDS LÄN</t>
        </is>
      </c>
      <c r="G1472" t="inlineStr">
        <is>
          <t>ÖRNSKÖLDSVIK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33424-2026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46247</v>
      </c>
      <c r="E1473" s="1" t="n">
        <v>46321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Kommuner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39666-2026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46289</v>
      </c>
      <c r="E1474" s="1" t="n">
        <v>46321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38087-2024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45545</v>
      </c>
      <c r="E1475" s="1" t="n">
        <v>46321</v>
      </c>
      <c r="F1475" t="inlineStr">
        <is>
          <t>VÄSTERNORRLANDS LÄN</t>
        </is>
      </c>
      <c r="G1475" t="inlineStr">
        <is>
          <t>ÖRNSKÖLDSVIK</t>
        </is>
      </c>
      <c r="I1475" t="n">
        <v>13.3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44343-2024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45573</v>
      </c>
      <c r="E1476" s="1" t="n">
        <v>46321</v>
      </c>
      <c r="F1476" t="inlineStr">
        <is>
          <t>VÄSTERNORRLANDS LÄN</t>
        </is>
      </c>
      <c r="G1476" t="inlineStr">
        <is>
          <t>ÖRNSKÖLDSVIK</t>
        </is>
      </c>
      <c r="I1476" t="n">
        <v>9.1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59658-2025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45992</v>
      </c>
      <c r="E1477" s="1" t="n">
        <v>46321</v>
      </c>
      <c r="F1477" t="inlineStr">
        <is>
          <t>VÄSTERNORRLANDS LÄN</t>
        </is>
      </c>
      <c r="G1477" t="inlineStr">
        <is>
          <t>ÖRNSKÖLDSVIK</t>
        </is>
      </c>
      <c r="I1477" t="n">
        <v>3.1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25510-2025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45803</v>
      </c>
      <c r="E1478" s="1" t="n">
        <v>46321</v>
      </c>
      <c r="F1478" t="inlineStr">
        <is>
          <t>VÄSTERNORRLANDS LÄN</t>
        </is>
      </c>
      <c r="G1478" t="inlineStr">
        <is>
          <t>ÖRNSKÖLDSVIK</t>
        </is>
      </c>
      <c r="I1478" t="n">
        <v>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39902-2026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46290</v>
      </c>
      <c r="E1479" s="1" t="n">
        <v>46321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33476-2026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46247</v>
      </c>
      <c r="E1480" s="1" t="n">
        <v>46321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39750-2026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46290</v>
      </c>
      <c r="E1481" s="1" t="n">
        <v>46321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2.5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64412-2023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45280</v>
      </c>
      <c r="E1482" s="1" t="n">
        <v>46321</v>
      </c>
      <c r="F1482" t="inlineStr">
        <is>
          <t>VÄSTERNORRLANDS LÄN</t>
        </is>
      </c>
      <c r="G1482" t="inlineStr">
        <is>
          <t>ÖRNSKÖLDSVIK</t>
        </is>
      </c>
      <c r="I1482" t="n">
        <v>1.4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23644-2023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45072</v>
      </c>
      <c r="E1483" s="1" t="n">
        <v>46321</v>
      </c>
      <c r="F1483" t="inlineStr">
        <is>
          <t>VÄSTERNORRLANDS LÄN</t>
        </is>
      </c>
      <c r="G1483" t="inlineStr">
        <is>
          <t>ÖRNSKÖLDSVIK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33656-2025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45841</v>
      </c>
      <c r="E1484" s="1" t="n">
        <v>46321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8.1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41589-2024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45560</v>
      </c>
      <c r="E1485" s="1" t="n">
        <v>46321</v>
      </c>
      <c r="F1485" t="inlineStr">
        <is>
          <t>VÄSTERNORRLANDS LÄN</t>
        </is>
      </c>
      <c r="G1485" t="inlineStr">
        <is>
          <t>ÖRNSKÖLDSVIK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39786-2026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46290</v>
      </c>
      <c r="E1486" s="1" t="n">
        <v>46321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4.8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39787-2026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46290</v>
      </c>
      <c r="E1487" s="1" t="n">
        <v>46321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4.8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11286-2025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45726</v>
      </c>
      <c r="E1488" s="1" t="n">
        <v>46321</v>
      </c>
      <c r="F1488" t="inlineStr">
        <is>
          <t>VÄSTERNORRLANDS LÄN</t>
        </is>
      </c>
      <c r="G1488" t="inlineStr">
        <is>
          <t>ÖRNSKÖLDSVIK</t>
        </is>
      </c>
      <c r="I1488" t="n">
        <v>1.2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39704-2026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46290</v>
      </c>
      <c r="E1489" s="1" t="n">
        <v>46321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39775-2026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46290</v>
      </c>
      <c r="E1490" s="1" t="n">
        <v>46321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6173-2026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46055</v>
      </c>
      <c r="E1491" s="1" t="n">
        <v>46321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SCA</t>
        </is>
      </c>
      <c r="I1491" t="n">
        <v>10.9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39545-2026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46289</v>
      </c>
      <c r="E1492" s="1" t="n">
        <v>46321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2.3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42852-2022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44832</v>
      </c>
      <c r="E1493" s="1" t="n">
        <v>46321</v>
      </c>
      <c r="F1493" t="inlineStr">
        <is>
          <t>VÄSTERNORRLANDS LÄN</t>
        </is>
      </c>
      <c r="G1493" t="inlineStr">
        <is>
          <t>ÖRNSKÖLDSVIK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39705-2026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46290</v>
      </c>
      <c r="E1494" s="1" t="n">
        <v>46321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39707-2026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46290</v>
      </c>
      <c r="E1495" s="1" t="n">
        <v>46321</v>
      </c>
      <c r="F1495" t="inlineStr">
        <is>
          <t>VÄSTERNORRLANDS LÄN</t>
        </is>
      </c>
      <c r="G1495" t="inlineStr">
        <is>
          <t>ÖRNSKÖLDSVIK</t>
        </is>
      </c>
      <c r="I1495" t="n">
        <v>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39756-2026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46290</v>
      </c>
      <c r="E1496" s="1" t="n">
        <v>46321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1.9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49593-2024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45596</v>
      </c>
      <c r="E1497" s="1" t="n">
        <v>46321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26334-2025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45805</v>
      </c>
      <c r="E1498" s="1" t="n">
        <v>46321</v>
      </c>
      <c r="F1498" t="inlineStr">
        <is>
          <t>VÄSTERNORRLANDS LÄN</t>
        </is>
      </c>
      <c r="G1498" t="inlineStr">
        <is>
          <t>ÖRNSKÖLDSVIK</t>
        </is>
      </c>
      <c r="I1498" t="n">
        <v>22.5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33218-2026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46246</v>
      </c>
      <c r="E1499" s="1" t="n">
        <v>46321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5.6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39899-2026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46290</v>
      </c>
      <c r="E1500" s="1" t="n">
        <v>46321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26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33415-2026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46247</v>
      </c>
      <c r="E1501" s="1" t="n">
        <v>46321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6402-2026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46055</v>
      </c>
      <c r="E1502" s="1" t="n">
        <v>46321</v>
      </c>
      <c r="F1502" t="inlineStr">
        <is>
          <t>VÄSTERNORRLANDS LÄN</t>
        </is>
      </c>
      <c r="G1502" t="inlineStr">
        <is>
          <t>ÖRNSKÖLDSVIK</t>
        </is>
      </c>
      <c r="I1502" t="n">
        <v>13.9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33448-2026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46247</v>
      </c>
      <c r="E1503" s="1" t="n">
        <v>46321</v>
      </c>
      <c r="F1503" t="inlineStr">
        <is>
          <t>VÄSTERNORRLANDS LÄN</t>
        </is>
      </c>
      <c r="G1503" t="inlineStr">
        <is>
          <t>ÖRNSKÖLDSVIK</t>
        </is>
      </c>
      <c r="I1503" t="n">
        <v>3.1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15071-2024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45399</v>
      </c>
      <c r="E1504" s="1" t="n">
        <v>46321</v>
      </c>
      <c r="F1504" t="inlineStr">
        <is>
          <t>VÄSTERNORRLANDS LÄN</t>
        </is>
      </c>
      <c r="G1504" t="inlineStr">
        <is>
          <t>ÖRNSKÖLDSVIK</t>
        </is>
      </c>
      <c r="I1504" t="n">
        <v>2.3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39567-2026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46289</v>
      </c>
      <c r="E1505" s="1" t="n">
        <v>46321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2.6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39785-2026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46290</v>
      </c>
      <c r="E1506" s="1" t="n">
        <v>46321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39947-2026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46290</v>
      </c>
      <c r="E1507" s="1" t="n">
        <v>46321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27766-2024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45475</v>
      </c>
      <c r="E1508" s="1" t="n">
        <v>46321</v>
      </c>
      <c r="F1508" t="inlineStr">
        <is>
          <t>VÄSTERNORRLANDS LÄN</t>
        </is>
      </c>
      <c r="G1508" t="inlineStr">
        <is>
          <t>ÖRNSKÖLDSVIK</t>
        </is>
      </c>
      <c r="I1508" t="n">
        <v>3.6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39175-2026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46286</v>
      </c>
      <c r="E1509" s="1" t="n">
        <v>46321</v>
      </c>
      <c r="F1509" t="inlineStr">
        <is>
          <t>VÄSTERNORRLANDS LÄN</t>
        </is>
      </c>
      <c r="G1509" t="inlineStr">
        <is>
          <t>ÖRNSKÖLDSVIK</t>
        </is>
      </c>
      <c r="I1509" t="n">
        <v>12.4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33188-2026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46246</v>
      </c>
      <c r="E1510" s="1" t="n">
        <v>46321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7.7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33206-2026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46246</v>
      </c>
      <c r="E1511" s="1" t="n">
        <v>46321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33655-2026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46247</v>
      </c>
      <c r="E1512" s="1" t="n">
        <v>46321</v>
      </c>
      <c r="F1512" t="inlineStr">
        <is>
          <t>VÄSTERNORRLANDS LÄN</t>
        </is>
      </c>
      <c r="G1512" t="inlineStr">
        <is>
          <t>ÖRNSKÖLDSVIK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50223-2024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45600</v>
      </c>
      <c r="E1513" s="1" t="n">
        <v>46321</v>
      </c>
      <c r="F1513" t="inlineStr">
        <is>
          <t>VÄSTERNORRLANDS LÄN</t>
        </is>
      </c>
      <c r="G1513" t="inlineStr">
        <is>
          <t>ÖRNSKÖLDSVIK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33355-2026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46247</v>
      </c>
      <c r="E1514" s="1" t="n">
        <v>46321</v>
      </c>
      <c r="F1514" t="inlineStr">
        <is>
          <t>VÄSTERNORRLANDS LÄN</t>
        </is>
      </c>
      <c r="G1514" t="inlineStr">
        <is>
          <t>ÖRNSKÖLDSVIK</t>
        </is>
      </c>
      <c r="I1514" t="n">
        <v>9.4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37939-2024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45544</v>
      </c>
      <c r="E1515" s="1" t="n">
        <v>46321</v>
      </c>
      <c r="F1515" t="inlineStr">
        <is>
          <t>VÄSTERNORRLANDS LÄN</t>
        </is>
      </c>
      <c r="G1515" t="inlineStr">
        <is>
          <t>ÖRNSKÖLDSVIK</t>
        </is>
      </c>
      <c r="I1515" t="n">
        <v>4.7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7291-2026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46058</v>
      </c>
      <c r="E1516" s="1" t="n">
        <v>46321</v>
      </c>
      <c r="F1516" t="inlineStr">
        <is>
          <t>VÄSTERNORRLANDS LÄN</t>
        </is>
      </c>
      <c r="G1516" t="inlineStr">
        <is>
          <t>ÖRNSKÖLDSVIK</t>
        </is>
      </c>
      <c r="I1516" t="n">
        <v>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7106-2026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46058</v>
      </c>
      <c r="E1517" s="1" t="n">
        <v>46321</v>
      </c>
      <c r="F1517" t="inlineStr">
        <is>
          <t>VÄSTERNORRLANDS LÄN</t>
        </is>
      </c>
      <c r="G1517" t="inlineStr">
        <is>
          <t>ÖRNSKÖLDSVIK</t>
        </is>
      </c>
      <c r="I1517" t="n">
        <v>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39630-2026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46289</v>
      </c>
      <c r="E1518" s="1" t="n">
        <v>46321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5.1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62690-2021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44504</v>
      </c>
      <c r="E1519" s="1" t="n">
        <v>46321</v>
      </c>
      <c r="F1519" t="inlineStr">
        <is>
          <t>VÄSTERNORRLANDS LÄN</t>
        </is>
      </c>
      <c r="G1519" t="inlineStr">
        <is>
          <t>ÖRNSKÖLDSVIK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7608-2025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45705</v>
      </c>
      <c r="E1520" s="1" t="n">
        <v>46321</v>
      </c>
      <c r="F1520" t="inlineStr">
        <is>
          <t>VÄSTERNORRLANDS LÄN</t>
        </is>
      </c>
      <c r="G1520" t="inlineStr">
        <is>
          <t>ÖRNSKÖLDSVIK</t>
        </is>
      </c>
      <c r="I1520" t="n">
        <v>3.6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33481-2026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46247</v>
      </c>
      <c r="E1521" s="1" t="n">
        <v>46321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20526-2026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46140</v>
      </c>
      <c r="E1522" s="1" t="n">
        <v>46321</v>
      </c>
      <c r="F1522" t="inlineStr">
        <is>
          <t>VÄSTERNORRLANDS LÄN</t>
        </is>
      </c>
      <c r="G1522" t="inlineStr">
        <is>
          <t>ÖRNSKÖLDSVIK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39817-2026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46290</v>
      </c>
      <c r="E1523" s="1" t="n">
        <v>46321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5.5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6869-2026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46057</v>
      </c>
      <c r="E1524" s="1" t="n">
        <v>46321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7289-2026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46058</v>
      </c>
      <c r="E1525" s="1" t="n">
        <v>46321</v>
      </c>
      <c r="F1525" t="inlineStr">
        <is>
          <t>VÄSTERNORRLANDS LÄN</t>
        </is>
      </c>
      <c r="G1525" t="inlineStr">
        <is>
          <t>ÖRNSKÖLDSVIK</t>
        </is>
      </c>
      <c r="I1525" t="n">
        <v>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39788-2026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46290</v>
      </c>
      <c r="E1526" s="1" t="n">
        <v>46321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39796-2026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46290</v>
      </c>
      <c r="E1527" s="1" t="n">
        <v>46321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7290-2026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46058</v>
      </c>
      <c r="E1528" s="1" t="n">
        <v>46321</v>
      </c>
      <c r="F1528" t="inlineStr">
        <is>
          <t>VÄSTERNORRLANDS LÄN</t>
        </is>
      </c>
      <c r="G1528" t="inlineStr">
        <is>
          <t>ÖRNSKÖLDSVIK</t>
        </is>
      </c>
      <c r="I1528" t="n">
        <v>4.2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39561-2026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46289</v>
      </c>
      <c r="E1529" s="1" t="n">
        <v>46321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7.9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55488-2023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45238</v>
      </c>
      <c r="E1530" s="1" t="n">
        <v>46321</v>
      </c>
      <c r="F1530" t="inlineStr">
        <is>
          <t>VÄSTERNORRLANDS LÄN</t>
        </is>
      </c>
      <c r="G1530" t="inlineStr">
        <is>
          <t>ÖRNSKÖLDSVIK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61327-2023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45264</v>
      </c>
      <c r="E1531" s="1" t="n">
        <v>46321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Övriga Aktiebolag</t>
        </is>
      </c>
      <c r="I1531" t="n">
        <v>4.7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39992-2026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46293</v>
      </c>
      <c r="E1532" s="1" t="n">
        <v>46321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7756-2026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46062</v>
      </c>
      <c r="E1533" s="1" t="n">
        <v>46321</v>
      </c>
      <c r="F1533" t="inlineStr">
        <is>
          <t>VÄSTERNORRLANDS LÄN</t>
        </is>
      </c>
      <c r="G1533" t="inlineStr">
        <is>
          <t>ÖRNSKÖLDSVIK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27295-2025</t>
        </is>
      </c>
      <c r="B1534" t="inlineStr">
        <is>
          <t>avverkningsanmälan</t>
        </is>
      </c>
      <c r="C1534" t="inlineStr">
        <is>
          <t>Avverkning för annat ändamål</t>
        </is>
      </c>
      <c r="D1534" s="1" t="n">
        <v>45812</v>
      </c>
      <c r="E1534" s="1" t="n">
        <v>46321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Kommuner</t>
        </is>
      </c>
      <c r="I1534" t="n">
        <v>0.2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26929-2025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45811</v>
      </c>
      <c r="E1535" s="1" t="n">
        <v>46321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2.1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26950-2025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45811</v>
      </c>
      <c r="E1536" s="1" t="n">
        <v>46321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2.7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63785-2025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46019</v>
      </c>
      <c r="E1537" s="1" t="n">
        <v>46321</v>
      </c>
      <c r="F1537" t="inlineStr">
        <is>
          <t>VÄSTERNORRLANDS LÄN</t>
        </is>
      </c>
      <c r="G1537" t="inlineStr">
        <is>
          <t>ÖRNSKÖLDSVIK</t>
        </is>
      </c>
      <c r="I1537" t="n">
        <v>0.7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27799-2023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45098</v>
      </c>
      <c r="E1538" s="1" t="n">
        <v>46321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10.3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26917-2025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45811</v>
      </c>
      <c r="E1539" s="1" t="n">
        <v>46321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4.2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7751-2026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46062</v>
      </c>
      <c r="E1540" s="1" t="n">
        <v>46321</v>
      </c>
      <c r="F1540" t="inlineStr">
        <is>
          <t>VÄSTERNORRLANDS LÄN</t>
        </is>
      </c>
      <c r="G1540" t="inlineStr">
        <is>
          <t>ÖRNSKÖLDSVIK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27033-2025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45811</v>
      </c>
      <c r="E1541" s="1" t="n">
        <v>46321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3.3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27026-2025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45811</v>
      </c>
      <c r="E1542" s="1" t="n">
        <v>46321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4.1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27401-2025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45812</v>
      </c>
      <c r="E1543" s="1" t="n">
        <v>46321</v>
      </c>
      <c r="F1543" t="inlineStr">
        <is>
          <t>VÄSTERNORRLANDS LÄN</t>
        </is>
      </c>
      <c r="G1543" t="inlineStr">
        <is>
          <t>ÖRNSKÖLDSVIK</t>
        </is>
      </c>
      <c r="I1543" t="n">
        <v>0.3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27539-2025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45813</v>
      </c>
      <c r="E1544" s="1" t="n">
        <v>46321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8022-2026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46063</v>
      </c>
      <c r="E1545" s="1" t="n">
        <v>46321</v>
      </c>
      <c r="F1545" t="inlineStr">
        <is>
          <t>VÄSTERNORRLANDS LÄN</t>
        </is>
      </c>
      <c r="G1545" t="inlineStr">
        <is>
          <t>ÖRNSKÖLDSVIK</t>
        </is>
      </c>
      <c r="I1545" t="n">
        <v>2.1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40300-2026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46294</v>
      </c>
      <c r="E1546" s="1" t="n">
        <v>46321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1.1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42492-2024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45565</v>
      </c>
      <c r="E1547" s="1" t="n">
        <v>46321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8479-2026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46065</v>
      </c>
      <c r="E1548" s="1" t="n">
        <v>46321</v>
      </c>
      <c r="F1548" t="inlineStr">
        <is>
          <t>VÄSTERNORRLANDS LÄN</t>
        </is>
      </c>
      <c r="G1548" t="inlineStr">
        <is>
          <t>ÖRNSKÖLDSVIK</t>
        </is>
      </c>
      <c r="I1548" t="n">
        <v>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27985-2025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45817</v>
      </c>
      <c r="E1549" s="1" t="n">
        <v>46321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4.2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55972-2024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45623</v>
      </c>
      <c r="E1550" s="1" t="n">
        <v>46321</v>
      </c>
      <c r="F1550" t="inlineStr">
        <is>
          <t>VÄSTERNORRLANDS LÄN</t>
        </is>
      </c>
      <c r="G1550" t="inlineStr">
        <is>
          <t>ÖRNSKÖLDSVIK</t>
        </is>
      </c>
      <c r="I1550" t="n">
        <v>2.2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39991-2026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46293</v>
      </c>
      <c r="E1551" s="1" t="n">
        <v>46321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3.4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28509-2025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45818</v>
      </c>
      <c r="E1552" s="1" t="n">
        <v>46321</v>
      </c>
      <c r="F1552" t="inlineStr">
        <is>
          <t>VÄSTERNORRLANDS LÄN</t>
        </is>
      </c>
      <c r="G1552" t="inlineStr">
        <is>
          <t>ÖRNSKÖLDSVIK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27893-2025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45817</v>
      </c>
      <c r="E1553" s="1" t="n">
        <v>46321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9.300000000000001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27941-2025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45817</v>
      </c>
      <c r="E1554" s="1" t="n">
        <v>46321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4.1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33495-2026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46248</v>
      </c>
      <c r="E1555" s="1" t="n">
        <v>46321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33497-2026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46248</v>
      </c>
      <c r="E1556" s="1" t="n">
        <v>46321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40195-2026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46293</v>
      </c>
      <c r="E1557" s="1" t="n">
        <v>46321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6.6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28146-2025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45818</v>
      </c>
      <c r="E1558" s="1" t="n">
        <v>46321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SCA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33541-2026</t>
        </is>
      </c>
      <c r="B1559" t="inlineStr">
        <is>
          <t>avverkningsanmälan</t>
        </is>
      </c>
      <c r="C1559" t="inlineStr">
        <is>
          <t>Avverkning för att bevara och utveckla /försöksver</t>
        </is>
      </c>
      <c r="D1559" s="1" t="n">
        <v>46248</v>
      </c>
      <c r="E1559" s="1" t="n">
        <v>46321</v>
      </c>
      <c r="F1559" t="inlineStr">
        <is>
          <t>VÄSTERNORRLANDS LÄN</t>
        </is>
      </c>
      <c r="G1559" t="inlineStr">
        <is>
          <t>ÖRNSKÖLDSVIK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8922-2026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46069</v>
      </c>
      <c r="E1560" s="1" t="n">
        <v>46321</v>
      </c>
      <c r="F1560" t="inlineStr">
        <is>
          <t>VÄSTERNORRLANDS LÄN</t>
        </is>
      </c>
      <c r="G1560" t="inlineStr">
        <is>
          <t>ÖRNSKÖLDSVIK</t>
        </is>
      </c>
      <c r="I1560" t="n">
        <v>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28045-2025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45817</v>
      </c>
      <c r="E1561" s="1" t="n">
        <v>46321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39994-2026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46293</v>
      </c>
      <c r="E1562" s="1" t="n">
        <v>46321</v>
      </c>
      <c r="F1562" t="inlineStr">
        <is>
          <t>VÄSTERNORRLANDS LÄN</t>
        </is>
      </c>
      <c r="G1562" t="inlineStr">
        <is>
          <t>ÖRNSKÖLDSVIK</t>
        </is>
      </c>
      <c r="I1562" t="n">
        <v>1.8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15449-2025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45747</v>
      </c>
      <c r="E1563" s="1" t="n">
        <v>46321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28517-2025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45819</v>
      </c>
      <c r="E1564" s="1" t="n">
        <v>46321</v>
      </c>
      <c r="F1564" t="inlineStr">
        <is>
          <t>VÄSTERNORRLANDS LÄN</t>
        </is>
      </c>
      <c r="G1564" t="inlineStr">
        <is>
          <t>ÖRNSKÖLDSVIK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25888-2024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45467</v>
      </c>
      <c r="E1565" s="1" t="n">
        <v>46321</v>
      </c>
      <c r="F1565" t="inlineStr">
        <is>
          <t>VÄSTERNORRLANDS LÄN</t>
        </is>
      </c>
      <c r="G1565" t="inlineStr">
        <is>
          <t>ÖRNSKÖLDSVIK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9831-2026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46072</v>
      </c>
      <c r="E1566" s="1" t="n">
        <v>46321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SCA</t>
        </is>
      </c>
      <c r="I1566" t="n">
        <v>22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33947-2026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46252</v>
      </c>
      <c r="E1567" s="1" t="n">
        <v>46321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1.5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34131-2026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46253</v>
      </c>
      <c r="E1568" s="1" t="n">
        <v>46321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2.8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40707-2026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46296</v>
      </c>
      <c r="E1569" s="1" t="n">
        <v>46321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9477-2026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46071</v>
      </c>
      <c r="E1570" s="1" t="n">
        <v>46321</v>
      </c>
      <c r="F1570" t="inlineStr">
        <is>
          <t>VÄSTERNORRLANDS LÄN</t>
        </is>
      </c>
      <c r="G1570" t="inlineStr">
        <is>
          <t>ÖRNSKÖLDSVIK</t>
        </is>
      </c>
      <c r="I1570" t="n">
        <v>2.5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40784-2026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46296</v>
      </c>
      <c r="E1571" s="1" t="n">
        <v>46321</v>
      </c>
      <c r="F1571" t="inlineStr">
        <is>
          <t>VÄSTERNORRLANDS LÄN</t>
        </is>
      </c>
      <c r="G1571" t="inlineStr">
        <is>
          <t>ÖRNSKÖLDSVIK</t>
        </is>
      </c>
      <c r="I1571" t="n">
        <v>3.3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9754-2026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46072</v>
      </c>
      <c r="E1572" s="1" t="n">
        <v>46321</v>
      </c>
      <c r="F1572" t="inlineStr">
        <is>
          <t>VÄSTERNORRLANDS LÄN</t>
        </is>
      </c>
      <c r="G1572" t="inlineStr">
        <is>
          <t>ÖRNSKÖLDSVIK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34142-2026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46253</v>
      </c>
      <c r="E1573" s="1" t="n">
        <v>46321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7.2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28799-2025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45820</v>
      </c>
      <c r="E1574" s="1" t="n">
        <v>46321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40690-2026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46296</v>
      </c>
      <c r="E1575" s="1" t="n">
        <v>46321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6.4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9475-2026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46071</v>
      </c>
      <c r="E1576" s="1" t="n">
        <v>46321</v>
      </c>
      <c r="F1576" t="inlineStr">
        <is>
          <t>VÄSTERNORRLANDS LÄN</t>
        </is>
      </c>
      <c r="G1576" t="inlineStr">
        <is>
          <t>ÖRNSKÖLDSVIK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9476-2026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46071</v>
      </c>
      <c r="E1577" s="1" t="n">
        <v>46321</v>
      </c>
      <c r="F1577" t="inlineStr">
        <is>
          <t>VÄSTERNORRLANDS LÄN</t>
        </is>
      </c>
      <c r="G1577" t="inlineStr">
        <is>
          <t>ÖRNSKÖLDSVIK</t>
        </is>
      </c>
      <c r="I1577" t="n">
        <v>3.4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63729-2023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45276</v>
      </c>
      <c r="E1578" s="1" t="n">
        <v>46321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SCA</t>
        </is>
      </c>
      <c r="I1578" t="n">
        <v>2.8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63750-2023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45277</v>
      </c>
      <c r="E1579" s="1" t="n">
        <v>46321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Övriga Aktiebolag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10423-2026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46077</v>
      </c>
      <c r="E1580" s="1" t="n">
        <v>46321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SCA</t>
        </is>
      </c>
      <c r="I1580" t="n">
        <v>25.4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40788-2026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46296</v>
      </c>
      <c r="E1581" s="1" t="n">
        <v>46321</v>
      </c>
      <c r="F1581" t="inlineStr">
        <is>
          <t>VÄSTERNORRLANDS LÄN</t>
        </is>
      </c>
      <c r="G1581" t="inlineStr">
        <is>
          <t>ÖRNSKÖLDSVIK</t>
        </is>
      </c>
      <c r="I1581" t="n">
        <v>1.3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40814-2026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46296</v>
      </c>
      <c r="E1582" s="1" t="n">
        <v>46321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33800-2026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46251</v>
      </c>
      <c r="E1583" s="1" t="n">
        <v>46321</v>
      </c>
      <c r="F1583" t="inlineStr">
        <is>
          <t>VÄSTERNORRLANDS LÄN</t>
        </is>
      </c>
      <c r="G1583" t="inlineStr">
        <is>
          <t>ÖRNSKÖLDSVIK</t>
        </is>
      </c>
      <c r="I1583" t="n">
        <v>4.2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10460-2026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46077</v>
      </c>
      <c r="E1584" s="1" t="n">
        <v>46321</v>
      </c>
      <c r="F1584" t="inlineStr">
        <is>
          <t>VÄSTERNORRLANDS LÄN</t>
        </is>
      </c>
      <c r="G1584" t="inlineStr">
        <is>
          <t>ÖRNSKÖLDSVIK</t>
        </is>
      </c>
      <c r="I1584" t="n">
        <v>17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54000-2024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45616</v>
      </c>
      <c r="E1585" s="1" t="n">
        <v>46321</v>
      </c>
      <c r="F1585" t="inlineStr">
        <is>
          <t>VÄSTERNORRLANDS LÄN</t>
        </is>
      </c>
      <c r="G1585" t="inlineStr">
        <is>
          <t>ÖRNSKÖLDSVIK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33744-2026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46251</v>
      </c>
      <c r="E1586" s="1" t="n">
        <v>46321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10463-2026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46077</v>
      </c>
      <c r="E1587" s="1" t="n">
        <v>46321</v>
      </c>
      <c r="F1587" t="inlineStr">
        <is>
          <t>VÄSTERNORRLANDS LÄN</t>
        </is>
      </c>
      <c r="G1587" t="inlineStr">
        <is>
          <t>ÖRNSKÖLDSVIK</t>
        </is>
      </c>
      <c r="I1587" t="n">
        <v>3.9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33776-2026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46251</v>
      </c>
      <c r="E1588" s="1" t="n">
        <v>46321</v>
      </c>
      <c r="F1588" t="inlineStr">
        <is>
          <t>VÄSTERNORRLANDS LÄN</t>
        </is>
      </c>
      <c r="G1588" t="inlineStr">
        <is>
          <t>ÖRNSKÖLDSVIK</t>
        </is>
      </c>
      <c r="I1588" t="n">
        <v>3.9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33785-2026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46251</v>
      </c>
      <c r="E1589" s="1" t="n">
        <v>46321</v>
      </c>
      <c r="F1589" t="inlineStr">
        <is>
          <t>VÄSTERNORRLANDS LÄN</t>
        </is>
      </c>
      <c r="G1589" t="inlineStr">
        <is>
          <t>ÖRNSKÖLDSVIK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33786-2026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46251</v>
      </c>
      <c r="E1590" s="1" t="n">
        <v>46321</v>
      </c>
      <c r="F1590" t="inlineStr">
        <is>
          <t>VÄSTERNORRLANDS LÄN</t>
        </is>
      </c>
      <c r="G1590" t="inlineStr">
        <is>
          <t>ÖRNSKÖLDSVIK</t>
        </is>
      </c>
      <c r="I1590" t="n">
        <v>4.8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40474-2026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46295</v>
      </c>
      <c r="E1591" s="1" t="n">
        <v>46321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7.1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29053-2025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45821</v>
      </c>
      <c r="E1592" s="1" t="n">
        <v>46321</v>
      </c>
      <c r="F1592" t="inlineStr">
        <is>
          <t>VÄSTERNORRLANDS LÄN</t>
        </is>
      </c>
      <c r="G1592" t="inlineStr">
        <is>
          <t>ÖRNSKÖLDSVIK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29058-2025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45821</v>
      </c>
      <c r="E1593" s="1" t="n">
        <v>46321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2.1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40793-2026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46296</v>
      </c>
      <c r="E1594" s="1" t="n">
        <v>46321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29006-2025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45821</v>
      </c>
      <c r="E1595" s="1" t="n">
        <v>46321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10392-2026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46077</v>
      </c>
      <c r="E1596" s="1" t="n">
        <v>46321</v>
      </c>
      <c r="F1596" t="inlineStr">
        <is>
          <t>VÄSTERNORRLANDS LÄN</t>
        </is>
      </c>
      <c r="G1596" t="inlineStr">
        <is>
          <t>ÖRNSKÖLDSVIK</t>
        </is>
      </c>
      <c r="I1596" t="n">
        <v>1.3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40607-2026</t>
        </is>
      </c>
      <c r="B1597" t="inlineStr">
        <is>
          <t>avverkningsanmälan</t>
        </is>
      </c>
      <c r="C1597" t="inlineStr">
        <is>
          <t>Avverkning för att bevara och utveckla /försöksver</t>
        </is>
      </c>
      <c r="D1597" s="1" t="n">
        <v>46295</v>
      </c>
      <c r="E1597" s="1" t="n">
        <v>46321</v>
      </c>
      <c r="F1597" t="inlineStr">
        <is>
          <t>VÄSTERNORRLANDS LÄN</t>
        </is>
      </c>
      <c r="G1597" t="inlineStr">
        <is>
          <t>ÖRNSKÖLDSVIK</t>
        </is>
      </c>
      <c r="I1597" t="n">
        <v>1.2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33838-2026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46251</v>
      </c>
      <c r="E1598" s="1" t="n">
        <v>46321</v>
      </c>
      <c r="F1598" t="inlineStr">
        <is>
          <t>VÄSTERNORRLANDS LÄN</t>
        </is>
      </c>
      <c r="G1598" t="inlineStr">
        <is>
          <t>ÖRNSKÖLDSVIK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29044-2025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45821</v>
      </c>
      <c r="E1599" s="1" t="n">
        <v>46321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10396-2026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46077</v>
      </c>
      <c r="E1600" s="1" t="n">
        <v>46321</v>
      </c>
      <c r="F1600" t="inlineStr">
        <is>
          <t>VÄSTERNORRLANDS LÄN</t>
        </is>
      </c>
      <c r="G1600" t="inlineStr">
        <is>
          <t>ÖRNSKÖLDSVIK</t>
        </is>
      </c>
      <c r="I1600" t="n">
        <v>2.1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33728-2026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46251</v>
      </c>
      <c r="E1601" s="1" t="n">
        <v>46321</v>
      </c>
      <c r="F1601" t="inlineStr">
        <is>
          <t>VÄSTERNORRLANDS LÄN</t>
        </is>
      </c>
      <c r="G1601" t="inlineStr">
        <is>
          <t>ÖRNSKÖLDSVIK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33755-2026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46251</v>
      </c>
      <c r="E1602" s="1" t="n">
        <v>46321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29796-2025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45825</v>
      </c>
      <c r="E1603" s="1" t="n">
        <v>46321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6.7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33922-2026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46252</v>
      </c>
      <c r="E1604" s="1" t="n">
        <v>46321</v>
      </c>
      <c r="F1604" t="inlineStr">
        <is>
          <t>VÄSTERNORRLANDS LÄN</t>
        </is>
      </c>
      <c r="G1604" t="inlineStr">
        <is>
          <t>ÖRNSKÖLDSVIK</t>
        </is>
      </c>
      <c r="I1604" t="n">
        <v>4.6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33743-2026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46251</v>
      </c>
      <c r="E1605" s="1" t="n">
        <v>46321</v>
      </c>
      <c r="F1605" t="inlineStr">
        <is>
          <t>VÄSTERNORRLANDS LÄN</t>
        </is>
      </c>
      <c r="G1605" t="inlineStr">
        <is>
          <t>ÖRNSKÖLDSVIK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33814-2026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46251</v>
      </c>
      <c r="E1606" s="1" t="n">
        <v>46321</v>
      </c>
      <c r="F1606" t="inlineStr">
        <is>
          <t>VÄSTERNORRLANDS LÄN</t>
        </is>
      </c>
      <c r="G1606" t="inlineStr">
        <is>
          <t>ÖRNSKÖLDSVIK</t>
        </is>
      </c>
      <c r="I1606" t="n">
        <v>0.2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40777-2026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46296</v>
      </c>
      <c r="E1607" s="1" t="n">
        <v>46321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1.6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40786-2026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46296</v>
      </c>
      <c r="E1608" s="1" t="n">
        <v>46321</v>
      </c>
      <c r="F1608" t="inlineStr">
        <is>
          <t>VÄSTERNORRLANDS LÄN</t>
        </is>
      </c>
      <c r="G1608" t="inlineStr">
        <is>
          <t>ÖRNSKÖLDSVIK</t>
        </is>
      </c>
      <c r="I1608" t="n">
        <v>2.1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40805-2026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46296</v>
      </c>
      <c r="E1609" s="1" t="n">
        <v>46321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9.6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33720-2026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46251</v>
      </c>
      <c r="E1610" s="1" t="n">
        <v>46321</v>
      </c>
      <c r="F1610" t="inlineStr">
        <is>
          <t>VÄSTERNORRLANDS LÄN</t>
        </is>
      </c>
      <c r="G1610" t="inlineStr">
        <is>
          <t>ÖRNSKÖLDSVIK</t>
        </is>
      </c>
      <c r="I1610" t="n">
        <v>8.300000000000001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40823-2026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46296</v>
      </c>
      <c r="E1611" s="1" t="n">
        <v>46321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4.1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40820-2026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46296</v>
      </c>
      <c r="E1612" s="1" t="n">
        <v>46321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8.800000000000001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40827-2026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46296</v>
      </c>
      <c r="E1613" s="1" t="n">
        <v>46321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40633-2026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46295</v>
      </c>
      <c r="E1614" s="1" t="n">
        <v>46321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3.8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29969-2025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45826</v>
      </c>
      <c r="E1615" s="1" t="n">
        <v>46321</v>
      </c>
      <c r="F1615" t="inlineStr">
        <is>
          <t>VÄSTERNORRLANDS LÄN</t>
        </is>
      </c>
      <c r="G1615" t="inlineStr">
        <is>
          <t>ÖRNSKÖLDSVIK</t>
        </is>
      </c>
      <c r="I1615" t="n">
        <v>1.5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40667-2026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46296</v>
      </c>
      <c r="E1616" s="1" t="n">
        <v>46321</v>
      </c>
      <c r="F1616" t="inlineStr">
        <is>
          <t>VÄSTERNORRLANDS LÄN</t>
        </is>
      </c>
      <c r="G1616" t="inlineStr">
        <is>
          <t>ÖRNSKÖLDSVIK</t>
        </is>
      </c>
      <c r="I1616" t="n">
        <v>0.6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29590-2025</t>
        </is>
      </c>
      <c r="B1617" t="inlineStr">
        <is>
          <t>avverkningsanmälan</t>
        </is>
      </c>
      <c r="C1617" t="inlineStr">
        <is>
          <t>Avverkning för annat ändamål</t>
        </is>
      </c>
      <c r="D1617" s="1" t="n">
        <v>45825</v>
      </c>
      <c r="E1617" s="1" t="n">
        <v>46321</v>
      </c>
      <c r="F1617" t="inlineStr">
        <is>
          <t>VÄSTERNORRLANDS LÄN</t>
        </is>
      </c>
      <c r="G1617" t="inlineStr">
        <is>
          <t>ÖRNSKÖLDSVIK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10723-2026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46078</v>
      </c>
      <c r="E1618" s="1" t="n">
        <v>46321</v>
      </c>
      <c r="F1618" t="inlineStr">
        <is>
          <t>VÄSTERNORRLANDS LÄN</t>
        </is>
      </c>
      <c r="G1618" t="inlineStr">
        <is>
          <t>ÖRNSKÖLDSVIK</t>
        </is>
      </c>
      <c r="I1618" t="n">
        <v>6.3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34040-2026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46252</v>
      </c>
      <c r="E1619" s="1" t="n">
        <v>46321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40458-2026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46294</v>
      </c>
      <c r="E1620" s="1" t="n">
        <v>46321</v>
      </c>
      <c r="F1620" t="inlineStr">
        <is>
          <t>VÄSTERNORRLANDS LÄN</t>
        </is>
      </c>
      <c r="G1620" t="inlineStr">
        <is>
          <t>ÖRNSKÖLDSVIK</t>
        </is>
      </c>
      <c r="I1620" t="n">
        <v>8.9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11160-2026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46080</v>
      </c>
      <c r="E1621" s="1" t="n">
        <v>46321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SCA</t>
        </is>
      </c>
      <c r="I1621" t="n">
        <v>1.2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40489-2026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46295</v>
      </c>
      <c r="E1622" s="1" t="n">
        <v>46321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2.5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40500-2026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46295</v>
      </c>
      <c r="E1623" s="1" t="n">
        <v>46321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4.5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30671-2025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45831</v>
      </c>
      <c r="E1624" s="1" t="n">
        <v>46321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0.5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30742-2025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45831</v>
      </c>
      <c r="E1625" s="1" t="n">
        <v>46321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40642-2026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46296</v>
      </c>
      <c r="E1626" s="1" t="n">
        <v>46321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6.4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40662-2026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46296</v>
      </c>
      <c r="E1627" s="1" t="n">
        <v>46321</v>
      </c>
      <c r="F1627" t="inlineStr">
        <is>
          <t>VÄSTERNORRLANDS LÄN</t>
        </is>
      </c>
      <c r="G1627" t="inlineStr">
        <is>
          <t>ÖRNSKÖLDSVIK</t>
        </is>
      </c>
      <c r="I1627" t="n">
        <v>2.4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33941-2026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46252</v>
      </c>
      <c r="E1628" s="1" t="n">
        <v>46321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2.5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40483-2026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46295</v>
      </c>
      <c r="E1629" s="1" t="n">
        <v>46321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40649-2026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46296</v>
      </c>
      <c r="E1630" s="1" t="n">
        <v>46321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7.3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40579-2026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46295</v>
      </c>
      <c r="E1631" s="1" t="n">
        <v>46321</v>
      </c>
      <c r="F1631" t="inlineStr">
        <is>
          <t>VÄSTERNORRLANDS LÄN</t>
        </is>
      </c>
      <c r="G1631" t="inlineStr">
        <is>
          <t>ÖRNSKÖLDSVIK</t>
        </is>
      </c>
      <c r="I1631" t="n">
        <v>1.3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11196-2026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46080</v>
      </c>
      <c r="E1632" s="1" t="n">
        <v>46321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SCA</t>
        </is>
      </c>
      <c r="I1632" t="n">
        <v>1.1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40586-2026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46295</v>
      </c>
      <c r="E1633" s="1" t="n">
        <v>46321</v>
      </c>
      <c r="F1633" t="inlineStr">
        <is>
          <t>VÄSTERNORRLANDS LÄN</t>
        </is>
      </c>
      <c r="G1633" t="inlineStr">
        <is>
          <t>ÖRNSKÖLDSVIK</t>
        </is>
      </c>
      <c r="I1633" t="n">
        <v>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50402-2024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45601</v>
      </c>
      <c r="E1634" s="1" t="n">
        <v>46321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34025-2026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46252</v>
      </c>
      <c r="E1635" s="1" t="n">
        <v>46321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3.9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41195-2026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46300</v>
      </c>
      <c r="E1636" s="1" t="n">
        <v>46321</v>
      </c>
      <c r="F1636" t="inlineStr">
        <is>
          <t>VÄSTERNORRLANDS LÄN</t>
        </is>
      </c>
      <c r="G1636" t="inlineStr">
        <is>
          <t>ÖRNSKÖLDSVIK</t>
        </is>
      </c>
      <c r="I1636" t="n">
        <v>10.3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30895-2025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45832</v>
      </c>
      <c r="E1637" s="1" t="n">
        <v>46321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2.5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21023-2026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46145</v>
      </c>
      <c r="E1638" s="1" t="n">
        <v>46321</v>
      </c>
      <c r="F1638" t="inlineStr">
        <is>
          <t>VÄSTERNORRLANDS LÄN</t>
        </is>
      </c>
      <c r="G1638" t="inlineStr">
        <is>
          <t>ÖRNSKÖLDSVIK</t>
        </is>
      </c>
      <c r="I1638" t="n">
        <v>1.3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31118-2025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45832</v>
      </c>
      <c r="E1639" s="1" t="n">
        <v>46321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0.4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30612-2025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45831</v>
      </c>
      <c r="E1640" s="1" t="n">
        <v>46321</v>
      </c>
      <c r="F1640" t="inlineStr">
        <is>
          <t>VÄSTERNORRLANDS LÄN</t>
        </is>
      </c>
      <c r="G1640" t="inlineStr">
        <is>
          <t>ÖRNSKÖLDSVIK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30727-2025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45831</v>
      </c>
      <c r="E1641" s="1" t="n">
        <v>46321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8.1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34581-2026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46255</v>
      </c>
      <c r="E1642" s="1" t="n">
        <v>46321</v>
      </c>
      <c r="F1642" t="inlineStr">
        <is>
          <t>VÄSTERNORRLANDS LÄN</t>
        </is>
      </c>
      <c r="G1642" t="inlineStr">
        <is>
          <t>ÖRNSKÖLDSVIK</t>
        </is>
      </c>
      <c r="I1642" t="n">
        <v>9.4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31193-2025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45832</v>
      </c>
      <c r="E1643" s="1" t="n">
        <v>46321</v>
      </c>
      <c r="F1643" t="inlineStr">
        <is>
          <t>VÄSTERNORRLANDS LÄN</t>
        </is>
      </c>
      <c r="G1643" t="inlineStr">
        <is>
          <t>ÖRNSKÖLDSVIK</t>
        </is>
      </c>
      <c r="I1643" t="n">
        <v>0.2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72521-2021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44546</v>
      </c>
      <c r="E1644" s="1" t="n">
        <v>46321</v>
      </c>
      <c r="F1644" t="inlineStr">
        <is>
          <t>VÄSTERNORRLANDS LÄN</t>
        </is>
      </c>
      <c r="G1644" t="inlineStr">
        <is>
          <t>ÖRNSKÖLDSVIK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11845-2026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46085</v>
      </c>
      <c r="E1645" s="1" t="n">
        <v>46321</v>
      </c>
      <c r="F1645" t="inlineStr">
        <is>
          <t>VÄSTERNORRLANDS LÄN</t>
        </is>
      </c>
      <c r="G1645" t="inlineStr">
        <is>
          <t>ÖRNSKÖLDSVIK</t>
        </is>
      </c>
      <c r="I1645" t="n">
        <v>0.4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34338-2026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46254</v>
      </c>
      <c r="E1646" s="1" t="n">
        <v>46321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4.3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34343-2026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46254</v>
      </c>
      <c r="E1647" s="1" t="n">
        <v>46321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3.2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31272-2025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45833</v>
      </c>
      <c r="E1648" s="1" t="n">
        <v>46321</v>
      </c>
      <c r="F1648" t="inlineStr">
        <is>
          <t>VÄSTERNORRLANDS LÄN</t>
        </is>
      </c>
      <c r="G1648" t="inlineStr">
        <is>
          <t>ÖRNSKÖLDSVIK</t>
        </is>
      </c>
      <c r="I1648" t="n">
        <v>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28202-2024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45477</v>
      </c>
      <c r="E1649" s="1" t="n">
        <v>46321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4.8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41203-2026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46300</v>
      </c>
      <c r="E1650" s="1" t="n">
        <v>46321</v>
      </c>
      <c r="F1650" t="inlineStr">
        <is>
          <t>VÄSTERNORRLANDS LÄN</t>
        </is>
      </c>
      <c r="G1650" t="inlineStr">
        <is>
          <t>ÖRNSKÖLDSVIK</t>
        </is>
      </c>
      <c r="I1650" t="n">
        <v>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68324-2021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44526</v>
      </c>
      <c r="E1651" s="1" t="n">
        <v>46321</v>
      </c>
      <c r="F1651" t="inlineStr">
        <is>
          <t>VÄSTERNORRLANDS LÄN</t>
        </is>
      </c>
      <c r="G1651" t="inlineStr">
        <is>
          <t>ÖRNSKÖLDSVIK</t>
        </is>
      </c>
      <c r="I1651" t="n">
        <v>2.5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32592-2024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45513</v>
      </c>
      <c r="E1652" s="1" t="n">
        <v>46321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34341-2026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46254</v>
      </c>
      <c r="E1653" s="1" t="n">
        <v>46321</v>
      </c>
      <c r="F1653" t="inlineStr">
        <is>
          <t>VÄSTERNORRLANDS LÄN</t>
        </is>
      </c>
      <c r="G1653" t="inlineStr">
        <is>
          <t>ÖRNSKÖLDSVIK</t>
        </is>
      </c>
      <c r="I1653" t="n">
        <v>0.7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34336-2026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46254</v>
      </c>
      <c r="E1654" s="1" t="n">
        <v>46321</v>
      </c>
      <c r="F1654" t="inlineStr">
        <is>
          <t>VÄSTERNORRLANDS LÄN</t>
        </is>
      </c>
      <c r="G1654" t="inlineStr">
        <is>
          <t>ÖRNSKÖLDSVIK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34348-2026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46254</v>
      </c>
      <c r="E1655" s="1" t="n">
        <v>46321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2.4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34356-2026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46254</v>
      </c>
      <c r="E1656" s="1" t="n">
        <v>46321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Kommuner</t>
        </is>
      </c>
      <c r="I1656" t="n">
        <v>2.6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12170-2026</t>
        </is>
      </c>
      <c r="B1657" t="inlineStr">
        <is>
          <t>avverkningsanmälan</t>
        </is>
      </c>
      <c r="C1657" t="inlineStr">
        <is>
          <t>Avverkning för att bevara och utveckla /försöksver</t>
        </is>
      </c>
      <c r="D1657" s="1" t="n">
        <v>46086</v>
      </c>
      <c r="E1657" s="1" t="n">
        <v>46321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SCA</t>
        </is>
      </c>
      <c r="I1657" t="n">
        <v>3.6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12228-2026</t>
        </is>
      </c>
      <c r="B1658" t="inlineStr">
        <is>
          <t>avverkningsanmälan</t>
        </is>
      </c>
      <c r="C1658" t="inlineStr">
        <is>
          <t>Avverkning för att bevara och utveckla /försöksver</t>
        </is>
      </c>
      <c r="D1658" s="1" t="n">
        <v>46087</v>
      </c>
      <c r="E1658" s="1" t="n">
        <v>46321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3.1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32863-2026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46244</v>
      </c>
      <c r="E1659" s="1" t="n">
        <v>46321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51854-2024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45607</v>
      </c>
      <c r="E1660" s="1" t="n">
        <v>46321</v>
      </c>
      <c r="F1660" t="inlineStr">
        <is>
          <t>VÄSTERNORRLANDS LÄN</t>
        </is>
      </c>
      <c r="G1660" t="inlineStr">
        <is>
          <t>ÖRNSKÖLDSVIK</t>
        </is>
      </c>
      <c r="I1660" t="n">
        <v>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40973-2026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46296</v>
      </c>
      <c r="E1661" s="1" t="n">
        <v>46321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Övriga Aktiebolag</t>
        </is>
      </c>
      <c r="I1661" t="n">
        <v>7.1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49494-2024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45596</v>
      </c>
      <c r="E1662" s="1" t="n">
        <v>46321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3.9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32925-2026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46244</v>
      </c>
      <c r="E1663" s="1" t="n">
        <v>46321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34305-2026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46254</v>
      </c>
      <c r="E1664" s="1" t="n">
        <v>46321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19441-2025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45770</v>
      </c>
      <c r="E1665" s="1" t="n">
        <v>46321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Kommuner</t>
        </is>
      </c>
      <c r="I1665" t="n">
        <v>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34110-2026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46253</v>
      </c>
      <c r="E1666" s="1" t="n">
        <v>46321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1.9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72519-2021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44546</v>
      </c>
      <c r="E1667" s="1" t="n">
        <v>46321</v>
      </c>
      <c r="F1667" t="inlineStr">
        <is>
          <t>VÄSTERNORRLANDS LÄN</t>
        </is>
      </c>
      <c r="G1667" t="inlineStr">
        <is>
          <t>ÖRNSKÖLDSVIK</t>
        </is>
      </c>
      <c r="I1667" t="n">
        <v>0.8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32251-2025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45835</v>
      </c>
      <c r="E1668" s="1" t="n">
        <v>46321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1.5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13776-2026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46097</v>
      </c>
      <c r="E1669" s="1" t="n">
        <v>46321</v>
      </c>
      <c r="F1669" t="inlineStr">
        <is>
          <t>VÄSTERNORRLANDS LÄN</t>
        </is>
      </c>
      <c r="G1669" t="inlineStr">
        <is>
          <t>ÖRNSKÖLDSVIK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41113-2026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46300</v>
      </c>
      <c r="E1670" s="1" t="n">
        <v>46321</v>
      </c>
      <c r="F1670" t="inlineStr">
        <is>
          <t>VÄSTERNORRLANDS LÄN</t>
        </is>
      </c>
      <c r="G1670" t="inlineStr">
        <is>
          <t>ÖRNSKÖLDSVIK</t>
        </is>
      </c>
      <c r="I1670" t="n">
        <v>6.3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34318-2026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46254</v>
      </c>
      <c r="E1671" s="1" t="n">
        <v>46321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1.6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34319-2026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46254</v>
      </c>
      <c r="E1672" s="1" t="n">
        <v>46321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34320-2026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46254</v>
      </c>
      <c r="E1673" s="1" t="n">
        <v>46321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34321-2026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46254</v>
      </c>
      <c r="E1674" s="1" t="n">
        <v>46321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1.6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34339-2026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46254</v>
      </c>
      <c r="E1675" s="1" t="n">
        <v>46321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6.7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31972-2025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45835</v>
      </c>
      <c r="E1676" s="1" t="n">
        <v>46321</v>
      </c>
      <c r="F1676" t="inlineStr">
        <is>
          <t>VÄSTERNORRLANDS LÄN</t>
        </is>
      </c>
      <c r="G1676" t="inlineStr">
        <is>
          <t>ÖRNSKÖLDSVIK</t>
        </is>
      </c>
      <c r="I1676" t="n">
        <v>4.6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12500-2026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46090</v>
      </c>
      <c r="E1677" s="1" t="n">
        <v>46321</v>
      </c>
      <c r="F1677" t="inlineStr">
        <is>
          <t>VÄSTERNORRLANDS LÄN</t>
        </is>
      </c>
      <c r="G1677" t="inlineStr">
        <is>
          <t>ÖRNSKÖLDSVIK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25084-2026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46175</v>
      </c>
      <c r="E1678" s="1" t="n">
        <v>46321</v>
      </c>
      <c r="F1678" t="inlineStr">
        <is>
          <t>VÄSTERNORRLANDS LÄN</t>
        </is>
      </c>
      <c r="G1678" t="inlineStr">
        <is>
          <t>ÖRNSKÖLDSVIK</t>
        </is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37852-2026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46279</v>
      </c>
      <c r="E1679" s="1" t="n">
        <v>46321</v>
      </c>
      <c r="F1679" t="inlineStr">
        <is>
          <t>VÄSTERNORRLANDS LÄN</t>
        </is>
      </c>
      <c r="G1679" t="inlineStr">
        <is>
          <t>ÖRNSKÖLDSVIK</t>
        </is>
      </c>
      <c r="I1679" t="n">
        <v>1.4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32168-2025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45835</v>
      </c>
      <c r="E1680" s="1" t="n">
        <v>46321</v>
      </c>
      <c r="F1680" t="inlineStr">
        <is>
          <t>VÄSTERNORRLANDS LÄN</t>
        </is>
      </c>
      <c r="G1680" t="inlineStr">
        <is>
          <t>ÖRNSKÖLDSVIK</t>
        </is>
      </c>
      <c r="I1680" t="n">
        <v>2.9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32135-2025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45835</v>
      </c>
      <c r="E1681" s="1" t="n">
        <v>46321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7.2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33381-2026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46247</v>
      </c>
      <c r="E1682" s="1" t="n">
        <v>46321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9.800000000000001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41014-2026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46297</v>
      </c>
      <c r="E1683" s="1" t="n">
        <v>46321</v>
      </c>
      <c r="F1683" t="inlineStr">
        <is>
          <t>VÄSTERNORRLANDS LÄN</t>
        </is>
      </c>
      <c r="G1683" t="inlineStr">
        <is>
          <t>ÖRNSKÖLDSVIK</t>
        </is>
      </c>
      <c r="I1683" t="n">
        <v>1.3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32549-2025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45838</v>
      </c>
      <c r="E1684" s="1" t="n">
        <v>46321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3.5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32192-2025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45835</v>
      </c>
      <c r="E1685" s="1" t="n">
        <v>46321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0.7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13183-2026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46093</v>
      </c>
      <c r="E1686" s="1" t="n">
        <v>46321</v>
      </c>
      <c r="F1686" t="inlineStr">
        <is>
          <t>VÄSTERNORRLANDS LÄN</t>
        </is>
      </c>
      <c r="G1686" t="inlineStr">
        <is>
          <t>ÖRNSKÖLDSVIK</t>
        </is>
      </c>
      <c r="I1686" t="n">
        <v>1.2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34409-2026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46254</v>
      </c>
      <c r="E1687" s="1" t="n">
        <v>46321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2.7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33353-2026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46247</v>
      </c>
      <c r="E1688" s="1" t="n">
        <v>46321</v>
      </c>
      <c r="F1688" t="inlineStr">
        <is>
          <t>VÄSTERNORRLANDS LÄN</t>
        </is>
      </c>
      <c r="G1688" t="inlineStr">
        <is>
          <t>ÖRNSKÖLDSVIK</t>
        </is>
      </c>
      <c r="I1688" t="n">
        <v>1.8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32414-2025</t>
        </is>
      </c>
      <c r="B1689" t="inlineStr">
        <is>
          <t>avverkningsanmälan</t>
        </is>
      </c>
      <c r="C1689" t="inlineStr">
        <is>
          <t>Avverkning för annat ändamål</t>
        </is>
      </c>
      <c r="D1689" s="1" t="n">
        <v>45838</v>
      </c>
      <c r="E1689" s="1" t="n">
        <v>46321</v>
      </c>
      <c r="F1689" t="inlineStr">
        <is>
          <t>VÄSTERNORRLANDS LÄN</t>
        </is>
      </c>
      <c r="G1689" t="inlineStr">
        <is>
          <t>ÖRNSKÖLDSVIK</t>
        </is>
      </c>
      <c r="I1689" t="n">
        <v>0.2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40898-2026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46297</v>
      </c>
      <c r="E1690" s="1" t="n">
        <v>46321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5.1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12907-2026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46092</v>
      </c>
      <c r="E1691" s="1" t="n">
        <v>46321</v>
      </c>
      <c r="F1691" t="inlineStr">
        <is>
          <t>VÄSTERNORRLANDS LÄN</t>
        </is>
      </c>
      <c r="G1691" t="inlineStr">
        <is>
          <t>ÖRNSKÖLDSVIK</t>
        </is>
      </c>
      <c r="I1691" t="n">
        <v>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12906-2026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46092</v>
      </c>
      <c r="E1692" s="1" t="n">
        <v>46321</v>
      </c>
      <c r="F1692" t="inlineStr">
        <is>
          <t>VÄSTERNORRLANDS LÄN</t>
        </is>
      </c>
      <c r="G1692" t="inlineStr">
        <is>
          <t>ÖRNSKÖLDSVIK</t>
        </is>
      </c>
      <c r="I1692" t="n">
        <v>0.4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12908-2026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46092</v>
      </c>
      <c r="E1693" s="1" t="n">
        <v>46321</v>
      </c>
      <c r="F1693" t="inlineStr">
        <is>
          <t>VÄSTERNORRLANDS LÄN</t>
        </is>
      </c>
      <c r="G1693" t="inlineStr">
        <is>
          <t>ÖRNSKÖLDSVIK</t>
        </is>
      </c>
      <c r="I1693" t="n">
        <v>7.6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34536-2026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46255</v>
      </c>
      <c r="E1694" s="1" t="n">
        <v>46321</v>
      </c>
      <c r="F1694" t="inlineStr">
        <is>
          <t>VÄSTERNORRLANDS LÄN</t>
        </is>
      </c>
      <c r="G1694" t="inlineStr">
        <is>
          <t>ÖRNSKÖLDSVIK</t>
        </is>
      </c>
      <c r="I1694" t="n">
        <v>6.4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12946-2026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46092</v>
      </c>
      <c r="E1695" s="1" t="n">
        <v>46321</v>
      </c>
      <c r="F1695" t="inlineStr">
        <is>
          <t>VÄSTERNORRLANDS LÄN</t>
        </is>
      </c>
      <c r="G1695" t="inlineStr">
        <is>
          <t>ÖRNSKÖLDSVIK</t>
        </is>
      </c>
      <c r="I1695" t="n">
        <v>10.6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34545-2026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46255</v>
      </c>
      <c r="E1696" s="1" t="n">
        <v>46321</v>
      </c>
      <c r="F1696" t="inlineStr">
        <is>
          <t>VÄSTERNORRLANDS LÄN</t>
        </is>
      </c>
      <c r="G1696" t="inlineStr">
        <is>
          <t>ÖRNSKÖLDSVIK</t>
        </is>
      </c>
      <c r="I1696" t="n">
        <v>1.9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13178-2026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46093</v>
      </c>
      <c r="E1697" s="1" t="n">
        <v>46321</v>
      </c>
      <c r="F1697" t="inlineStr">
        <is>
          <t>VÄSTERNORRLANDS LÄN</t>
        </is>
      </c>
      <c r="G1697" t="inlineStr">
        <is>
          <t>ÖRNSKÖLDSVIK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40939-2026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46297</v>
      </c>
      <c r="E1698" s="1" t="n">
        <v>46321</v>
      </c>
      <c r="F1698" t="inlineStr">
        <is>
          <t>VÄSTERNORRLANDS LÄN</t>
        </is>
      </c>
      <c r="G1698" t="inlineStr">
        <is>
          <t>ÖRNSKÖLDSVIK</t>
        </is>
      </c>
      <c r="I1698" t="n">
        <v>4.8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32876-2025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45839</v>
      </c>
      <c r="E1699" s="1" t="n">
        <v>46321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29.6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41012-2026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46297</v>
      </c>
      <c r="E1700" s="1" t="n">
        <v>46321</v>
      </c>
      <c r="F1700" t="inlineStr">
        <is>
          <t>VÄSTERNORRLANDS LÄN</t>
        </is>
      </c>
      <c r="G1700" t="inlineStr">
        <is>
          <t>ÖRNSKÖLDSVIK</t>
        </is>
      </c>
      <c r="I1700" t="n">
        <v>0.9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33177-2025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45840</v>
      </c>
      <c r="E1701" s="1" t="n">
        <v>46321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45269-2024</t>
        </is>
      </c>
      <c r="B1702" t="inlineStr">
        <is>
          <t>avverkningsanmälan</t>
        </is>
      </c>
      <c r="C1702" t="inlineStr">
        <is>
          <t>Avverkning för annat ändamål</t>
        </is>
      </c>
      <c r="D1702" s="1" t="n">
        <v>45576</v>
      </c>
      <c r="E1702" s="1" t="n">
        <v>46321</v>
      </c>
      <c r="F1702" t="inlineStr">
        <is>
          <t>VÄSTERNORRLANDS LÄN</t>
        </is>
      </c>
      <c r="G1702" t="inlineStr">
        <is>
          <t>ÖRNSKÖLDSVIK</t>
        </is>
      </c>
      <c r="I1702" t="n">
        <v>2.3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41081-2026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46300</v>
      </c>
      <c r="E1703" s="1" t="n">
        <v>46321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Kyrkan</t>
        </is>
      </c>
      <c r="I1703" t="n">
        <v>3.7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34419-2026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46254</v>
      </c>
      <c r="E1704" s="1" t="n">
        <v>46321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1.6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13672-2026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46097</v>
      </c>
      <c r="E1705" s="1" t="n">
        <v>46321</v>
      </c>
      <c r="F1705" t="inlineStr">
        <is>
          <t>VÄSTERNORRLANDS LÄN</t>
        </is>
      </c>
      <c r="G1705" t="inlineStr">
        <is>
          <t>ÖRNSKÖLDSVIK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28699-2024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45478</v>
      </c>
      <c r="E1706" s="1" t="n">
        <v>46321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41117-2026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46300</v>
      </c>
      <c r="E1707" s="1" t="n">
        <v>46321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9.300000000000001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33047-2025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45840</v>
      </c>
      <c r="E1708" s="1" t="n">
        <v>46321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3.6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31649-2026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46225</v>
      </c>
      <c r="E1709" s="1" t="n">
        <v>46321</v>
      </c>
      <c r="F1709" t="inlineStr">
        <is>
          <t>VÄSTERNORRLANDS LÄN</t>
        </is>
      </c>
      <c r="G1709" t="inlineStr">
        <is>
          <t>ÖRNSKÖLDSVIK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13868-2026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46098</v>
      </c>
      <c r="E1710" s="1" t="n">
        <v>46321</v>
      </c>
      <c r="F1710" t="inlineStr">
        <is>
          <t>VÄSTERNORRLANDS LÄN</t>
        </is>
      </c>
      <c r="G1710" t="inlineStr">
        <is>
          <t>ÖRNSKÖLDSVIK</t>
        </is>
      </c>
      <c r="I1710" t="n">
        <v>1.7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33727-2025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45842</v>
      </c>
      <c r="E1711" s="1" t="n">
        <v>46321</v>
      </c>
      <c r="F1711" t="inlineStr">
        <is>
          <t>VÄSTERNORRLANDS LÄN</t>
        </is>
      </c>
      <c r="G1711" t="inlineStr">
        <is>
          <t>ÖRNSKÖLDSVIK</t>
        </is>
      </c>
      <c r="I1711" t="n">
        <v>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30056-2024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45488</v>
      </c>
      <c r="E1712" s="1" t="n">
        <v>46321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6.1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40869-2026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46297</v>
      </c>
      <c r="E1713" s="1" t="n">
        <v>46321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3.5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34492-2026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46255</v>
      </c>
      <c r="E1714" s="1" t="n">
        <v>46321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7.1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34531-2026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46255</v>
      </c>
      <c r="E1715" s="1" t="n">
        <v>46321</v>
      </c>
      <c r="F1715" t="inlineStr">
        <is>
          <t>VÄSTERNORRLANDS LÄN</t>
        </is>
      </c>
      <c r="G1715" t="inlineStr">
        <is>
          <t>ÖRNSKÖLDSVIK</t>
        </is>
      </c>
      <c r="I1715" t="n">
        <v>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34562-2026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46255</v>
      </c>
      <c r="E1716" s="1" t="n">
        <v>46321</v>
      </c>
      <c r="F1716" t="inlineStr">
        <is>
          <t>VÄSTERNORRLANDS LÄN</t>
        </is>
      </c>
      <c r="G1716" t="inlineStr">
        <is>
          <t>ÖRNSKÖLDSVIK</t>
        </is>
      </c>
      <c r="I1716" t="n">
        <v>19.9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33634-2025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45841</v>
      </c>
      <c r="E1717" s="1" t="n">
        <v>46321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1.4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33568-2025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45841</v>
      </c>
      <c r="E1718" s="1" t="n">
        <v>46321</v>
      </c>
      <c r="F1718" t="inlineStr">
        <is>
          <t>VÄSTERNORRLANDS LÄN</t>
        </is>
      </c>
      <c r="G1718" t="inlineStr">
        <is>
          <t>ÖRNSKÖLDSVIK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13874-2026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46098</v>
      </c>
      <c r="E1719" s="1" t="n">
        <v>46321</v>
      </c>
      <c r="F1719" t="inlineStr">
        <is>
          <t>VÄSTERNORRLANDS LÄN</t>
        </is>
      </c>
      <c r="G1719" t="inlineStr">
        <is>
          <t>ÖRNSKÖLDSVIK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33558-2025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45841</v>
      </c>
      <c r="E1720" s="1" t="n">
        <v>46321</v>
      </c>
      <c r="F1720" t="inlineStr">
        <is>
          <t>VÄSTERNORRLANDS LÄN</t>
        </is>
      </c>
      <c r="G1720" t="inlineStr">
        <is>
          <t>ÖRNSKÖLDSVIK</t>
        </is>
      </c>
      <c r="I1720" t="n">
        <v>0.7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33739-2025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45842</v>
      </c>
      <c r="E1721" s="1" t="n">
        <v>46321</v>
      </c>
      <c r="F1721" t="inlineStr">
        <is>
          <t>VÄSTERNORRLANDS LÄN</t>
        </is>
      </c>
      <c r="G1721" t="inlineStr">
        <is>
          <t>ÖRNSKÖLDSVIK</t>
        </is>
      </c>
      <c r="I1721" t="n">
        <v>2.9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41288-2026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46300</v>
      </c>
      <c r="E1722" s="1" t="n">
        <v>46321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4.5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33588-2025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45841</v>
      </c>
      <c r="E1723" s="1" t="n">
        <v>46321</v>
      </c>
      <c r="F1723" t="inlineStr">
        <is>
          <t>VÄSTERNORRLANDS LÄN</t>
        </is>
      </c>
      <c r="G1723" t="inlineStr">
        <is>
          <t>ÖRNSKÖLDSVIK</t>
        </is>
      </c>
      <c r="I1723" t="n">
        <v>2.6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33596-2025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45841</v>
      </c>
      <c r="E1724" s="1" t="n">
        <v>46321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0.3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13872-2026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46098</v>
      </c>
      <c r="E1725" s="1" t="n">
        <v>46321</v>
      </c>
      <c r="F1725" t="inlineStr">
        <is>
          <t>VÄSTERNORRLANDS LÄN</t>
        </is>
      </c>
      <c r="G1725" t="inlineStr">
        <is>
          <t>ÖRNSKÖLDSVIK</t>
        </is>
      </c>
      <c r="I1725" t="n">
        <v>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62968-2021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44505</v>
      </c>
      <c r="E1726" s="1" t="n">
        <v>46321</v>
      </c>
      <c r="F1726" t="inlineStr">
        <is>
          <t>VÄSTERNORRLANDS LÄN</t>
        </is>
      </c>
      <c r="G1726" t="inlineStr">
        <is>
          <t>ÖRNSKÖLDSVIK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33886-2025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45842</v>
      </c>
      <c r="E1727" s="1" t="n">
        <v>46321</v>
      </c>
      <c r="F1727" t="inlineStr">
        <is>
          <t>VÄSTERNORRLANDS LÄN</t>
        </is>
      </c>
      <c r="G1727" t="inlineStr">
        <is>
          <t>ÖRNSKÖLDSVIK</t>
        </is>
      </c>
      <c r="I1727" t="n">
        <v>1.3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35761-2024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45532</v>
      </c>
      <c r="E1728" s="1" t="n">
        <v>46321</v>
      </c>
      <c r="F1728" t="inlineStr">
        <is>
          <t>VÄSTERNORRLANDS LÄN</t>
        </is>
      </c>
      <c r="G1728" t="inlineStr">
        <is>
          <t>ÖRNSKÖLDSVIK</t>
        </is>
      </c>
      <c r="I1728" t="n">
        <v>0.2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14075-2026</t>
        </is>
      </c>
      <c r="B1729" t="inlineStr">
        <is>
          <t>avverkningsanmälan</t>
        </is>
      </c>
      <c r="C1729" t="inlineStr">
        <is>
          <t>Avverkning för att bevara och utveckla /försöksver</t>
        </is>
      </c>
      <c r="D1729" s="1" t="n">
        <v>46099</v>
      </c>
      <c r="E1729" s="1" t="n">
        <v>46321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3.4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40937-2026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46297</v>
      </c>
      <c r="E1730" s="1" t="n">
        <v>46321</v>
      </c>
      <c r="F1730" t="inlineStr">
        <is>
          <t>VÄSTERNORRLANDS LÄN</t>
        </is>
      </c>
      <c r="G1730" t="inlineStr">
        <is>
          <t>ÖRNSKÖLDSVIK</t>
        </is>
      </c>
      <c r="I1730" t="n">
        <v>1.9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34428-2025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45845</v>
      </c>
      <c r="E1731" s="1" t="n">
        <v>46321</v>
      </c>
      <c r="F1731" t="inlineStr">
        <is>
          <t>VÄSTERNORRLANDS LÄN</t>
        </is>
      </c>
      <c r="G1731" t="inlineStr">
        <is>
          <t>ÖRNSKÖLDSVIK</t>
        </is>
      </c>
      <c r="I1731" t="n">
        <v>5.2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14623-2026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46101</v>
      </c>
      <c r="E1732" s="1" t="n">
        <v>46321</v>
      </c>
      <c r="F1732" t="inlineStr">
        <is>
          <t>VÄSTERNORRLANDS LÄN</t>
        </is>
      </c>
      <c r="G1732" t="inlineStr">
        <is>
          <t>ÖRNSKÖLDSVIK</t>
        </is>
      </c>
      <c r="I1732" t="n">
        <v>10.5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34431-2025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45845</v>
      </c>
      <c r="E1733" s="1" t="n">
        <v>46321</v>
      </c>
      <c r="F1733" t="inlineStr">
        <is>
          <t>VÄSTERNORRLANDS LÄN</t>
        </is>
      </c>
      <c r="G1733" t="inlineStr">
        <is>
          <t>ÖRNSKÖLDSVIK</t>
        </is>
      </c>
      <c r="I1733" t="n">
        <v>7.4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34432-2025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45845</v>
      </c>
      <c r="E1734" s="1" t="n">
        <v>46321</v>
      </c>
      <c r="F1734" t="inlineStr">
        <is>
          <t>VÄSTERNORRLANDS LÄN</t>
        </is>
      </c>
      <c r="G1734" t="inlineStr">
        <is>
          <t>ÖRNSKÖLDSVIK</t>
        </is>
      </c>
      <c r="I1734" t="n">
        <v>6.4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41175-2026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46300</v>
      </c>
      <c r="E1735" s="1" t="n">
        <v>46321</v>
      </c>
      <c r="F1735" t="inlineStr">
        <is>
          <t>VÄSTERNORRLANDS LÄN</t>
        </is>
      </c>
      <c r="G1735" t="inlineStr">
        <is>
          <t>ÖRNSKÖLDSVIK</t>
        </is>
      </c>
      <c r="I1735" t="n">
        <v>1.2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14705-2026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46101</v>
      </c>
      <c r="E1736" s="1" t="n">
        <v>46321</v>
      </c>
      <c r="F1736" t="inlineStr">
        <is>
          <t>VÄSTERNORRLANDS LÄN</t>
        </is>
      </c>
      <c r="G1736" t="inlineStr">
        <is>
          <t>ÖRNSKÖLDSVIK</t>
        </is>
      </c>
      <c r="I1736" t="n">
        <v>2.7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34074-2025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45845</v>
      </c>
      <c r="E1737" s="1" t="n">
        <v>46321</v>
      </c>
      <c r="F1737" t="inlineStr">
        <is>
          <t>VÄSTERNORRLANDS LÄN</t>
        </is>
      </c>
      <c r="G1737" t="inlineStr">
        <is>
          <t>ÖRNSKÖLDSVIK</t>
        </is>
      </c>
      <c r="I1737" t="n">
        <v>4.1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34427-2025</t>
        </is>
      </c>
      <c r="B1738" t="inlineStr">
        <is>
          <t>avverkningsanmälan</t>
        </is>
      </c>
      <c r="C1738" t="inlineStr">
        <is>
          <t>Avverkning för annat ändamål</t>
        </is>
      </c>
      <c r="D1738" s="1" t="n">
        <v>45846</v>
      </c>
      <c r="E1738" s="1" t="n">
        <v>46321</v>
      </c>
      <c r="F1738" t="inlineStr">
        <is>
          <t>VÄSTERNORRLANDS LÄN</t>
        </is>
      </c>
      <c r="G1738" t="inlineStr">
        <is>
          <t>ÖRNSKÖLDSVIK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14631-2026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46101</v>
      </c>
      <c r="E1739" s="1" t="n">
        <v>46321</v>
      </c>
      <c r="F1739" t="inlineStr">
        <is>
          <t>VÄSTERNORRLANDS LÄN</t>
        </is>
      </c>
      <c r="G1739" t="inlineStr">
        <is>
          <t>ÖRNSKÖLDSVIK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14524-2026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46100</v>
      </c>
      <c r="E1740" s="1" t="n">
        <v>46321</v>
      </c>
      <c r="F1740" t="inlineStr">
        <is>
          <t>VÄSTERNORRLANDS LÄN</t>
        </is>
      </c>
      <c r="G1740" t="inlineStr">
        <is>
          <t>ÖRNSKÖLDSVIK</t>
        </is>
      </c>
      <c r="I1740" t="n">
        <v>2.5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34063-2025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45845</v>
      </c>
      <c r="E1741" s="1" t="n">
        <v>46321</v>
      </c>
      <c r="F1741" t="inlineStr">
        <is>
          <t>VÄSTERNORRLANDS LÄN</t>
        </is>
      </c>
      <c r="G1741" t="inlineStr">
        <is>
          <t>ÖRNSKÖLDSVIK</t>
        </is>
      </c>
      <c r="I1741" t="n">
        <v>6.2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34259-2025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45845</v>
      </c>
      <c r="E1742" s="1" t="n">
        <v>46321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SCA</t>
        </is>
      </c>
      <c r="I1742" t="n">
        <v>3.1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14677-2026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46101</v>
      </c>
      <c r="E1743" s="1" t="n">
        <v>46321</v>
      </c>
      <c r="F1743" t="inlineStr">
        <is>
          <t>VÄSTERNORRLANDS LÄN</t>
        </is>
      </c>
      <c r="G1743" t="inlineStr">
        <is>
          <t>ÖRNSKÖLDSVIK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34586-2026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46255</v>
      </c>
      <c r="E1744" s="1" t="n">
        <v>46321</v>
      </c>
      <c r="F1744" t="inlineStr">
        <is>
          <t>VÄSTERNORRLANDS LÄN</t>
        </is>
      </c>
      <c r="G1744" t="inlineStr">
        <is>
          <t>ÖRNSKÖLDSVIK</t>
        </is>
      </c>
      <c r="I1744" t="n">
        <v>11.4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14318-2023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45011</v>
      </c>
      <c r="E1745" s="1" t="n">
        <v>46321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SCA</t>
        </is>
      </c>
      <c r="I1745" t="n">
        <v>1.5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41712-2026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46302</v>
      </c>
      <c r="E1746" s="1" t="n">
        <v>46321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3.8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34448-2025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45845</v>
      </c>
      <c r="E1747" s="1" t="n">
        <v>46321</v>
      </c>
      <c r="F1747" t="inlineStr">
        <is>
          <t>VÄSTERNORRLANDS LÄN</t>
        </is>
      </c>
      <c r="G1747" t="inlineStr">
        <is>
          <t>ÖRNSKÖLDSVIK</t>
        </is>
      </c>
      <c r="I1747" t="n">
        <v>1.5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34594-2025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45846</v>
      </c>
      <c r="E1748" s="1" t="n">
        <v>46321</v>
      </c>
      <c r="F1748" t="inlineStr">
        <is>
          <t>VÄSTERNORRLANDS LÄN</t>
        </is>
      </c>
      <c r="G1748" t="inlineStr">
        <is>
          <t>ÖRNSKÖLDSVIK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41504-2026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46301</v>
      </c>
      <c r="E1749" s="1" t="n">
        <v>46321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6.1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34704-2025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45848</v>
      </c>
      <c r="E1750" s="1" t="n">
        <v>46321</v>
      </c>
      <c r="F1750" t="inlineStr">
        <is>
          <t>VÄSTERNORRLANDS LÄN</t>
        </is>
      </c>
      <c r="G1750" t="inlineStr">
        <is>
          <t>ÖRNSKÖLDSVIK</t>
        </is>
      </c>
      <c r="I1750" t="n">
        <v>12.2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34994-2026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46259</v>
      </c>
      <c r="E1751" s="1" t="n">
        <v>46321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4.3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34731-2025</t>
        </is>
      </c>
      <c r="B1752" t="inlineStr">
        <is>
          <t>avverkningsanmälan</t>
        </is>
      </c>
      <c r="C1752" t="inlineStr">
        <is>
          <t>Avverkning för att bevara och utveckla /försöksver</t>
        </is>
      </c>
      <c r="D1752" s="1" t="n">
        <v>45848</v>
      </c>
      <c r="E1752" s="1" t="n">
        <v>46321</v>
      </c>
      <c r="F1752" t="inlineStr">
        <is>
          <t>VÄSTERNORRLANDS LÄN</t>
        </is>
      </c>
      <c r="G1752" t="inlineStr">
        <is>
          <t>ÖRNSKÖLDSVIK</t>
        </is>
      </c>
      <c r="I1752" t="n">
        <v>3.4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41681-2026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46302</v>
      </c>
      <c r="E1753" s="1" t="n">
        <v>46321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8.6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20099-2024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45434</v>
      </c>
      <c r="E1754" s="1" t="n">
        <v>46321</v>
      </c>
      <c r="F1754" t="inlineStr">
        <is>
          <t>VÄSTERNORRLANDS LÄN</t>
        </is>
      </c>
      <c r="G1754" t="inlineStr">
        <is>
          <t>ÖRNSKÖLDSVIK</t>
        </is>
      </c>
      <c r="I1754" t="n">
        <v>3.2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15215-2026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46105</v>
      </c>
      <c r="E1755" s="1" t="n">
        <v>46321</v>
      </c>
      <c r="F1755" t="inlineStr">
        <is>
          <t>VÄSTERNORRLANDS LÄN</t>
        </is>
      </c>
      <c r="G1755" t="inlineStr">
        <is>
          <t>ÖRNSKÖLDSVIK</t>
        </is>
      </c>
      <c r="I1755" t="n">
        <v>0.3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34672-2026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46258</v>
      </c>
      <c r="E1756" s="1" t="n">
        <v>46321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1.9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4576-2024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45327</v>
      </c>
      <c r="E1757" s="1" t="n">
        <v>46321</v>
      </c>
      <c r="F1757" t="inlineStr">
        <is>
          <t>VÄSTERNORRLANDS LÄN</t>
        </is>
      </c>
      <c r="G1757" t="inlineStr">
        <is>
          <t>ÖRNSKÖLDSVIK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41383-2026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46301</v>
      </c>
      <c r="E1758" s="1" t="n">
        <v>46321</v>
      </c>
      <c r="F1758" t="inlineStr">
        <is>
          <t>VÄSTERNORRLANDS LÄN</t>
        </is>
      </c>
      <c r="G1758" t="inlineStr">
        <is>
          <t>ÖRNSKÖLDSVIK</t>
        </is>
      </c>
      <c r="I1758" t="n">
        <v>1.5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27938-2024</t>
        </is>
      </c>
      <c r="B1759" t="inlineStr">
        <is>
          <t>avverkningsanmälan</t>
        </is>
      </c>
      <c r="C1759" t="inlineStr">
        <is>
          <t>Avverkning för annat ändamål</t>
        </is>
      </c>
      <c r="D1759" s="1" t="n">
        <v>45476</v>
      </c>
      <c r="E1759" s="1" t="n">
        <v>46321</v>
      </c>
      <c r="F1759" t="inlineStr">
        <is>
          <t>VÄSTERNORRLANDS LÄN</t>
        </is>
      </c>
      <c r="G1759" t="inlineStr">
        <is>
          <t>ÖRNSKÖLDSVIK</t>
        </is>
      </c>
      <c r="I1759" t="n">
        <v>0.7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34506-2025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45847</v>
      </c>
      <c r="E1760" s="1" t="n">
        <v>46321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6.3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34860-2026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46258</v>
      </c>
      <c r="E1761" s="1" t="n">
        <v>46321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66664-2021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44519</v>
      </c>
      <c r="E1762" s="1" t="n">
        <v>46321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Kommuner</t>
        </is>
      </c>
      <c r="I1762" t="n">
        <v>1.5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41462-2026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46301</v>
      </c>
      <c r="E1763" s="1" t="n">
        <v>46321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8.800000000000001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34483-2025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45847</v>
      </c>
      <c r="E1764" s="1" t="n">
        <v>46321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0.8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34487-2025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45847</v>
      </c>
      <c r="E1765" s="1" t="n">
        <v>46321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41732-2026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46302</v>
      </c>
      <c r="E1766" s="1" t="n">
        <v>46321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0.4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41518-2026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46301</v>
      </c>
      <c r="E1767" s="1" t="n">
        <v>46321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15.3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15936-2026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46107</v>
      </c>
      <c r="E1768" s="1" t="n">
        <v>46321</v>
      </c>
      <c r="F1768" t="inlineStr">
        <is>
          <t>VÄSTERNORRLANDS LÄN</t>
        </is>
      </c>
      <c r="G1768" t="inlineStr">
        <is>
          <t>ÖRNSKÖLDSVIK</t>
        </is>
      </c>
      <c r="I1768" t="n">
        <v>1.3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41350-2026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46301</v>
      </c>
      <c r="E1769" s="1" t="n">
        <v>46321</v>
      </c>
      <c r="F1769" t="inlineStr">
        <is>
          <t>VÄSTERNORRLANDS LÄN</t>
        </is>
      </c>
      <c r="G1769" t="inlineStr">
        <is>
          <t>ÖRNSKÖLDSVIK</t>
        </is>
      </c>
      <c r="I1769" t="n">
        <v>2.7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41356-2026</t>
        </is>
      </c>
      <c r="B1770" t="inlineStr">
        <is>
          <t>avverkningsanmälan</t>
        </is>
      </c>
      <c r="C1770" t="inlineStr">
        <is>
          <t>Avverkning för annat ändamål</t>
        </is>
      </c>
      <c r="D1770" s="1" t="n">
        <v>46301</v>
      </c>
      <c r="E1770" s="1" t="n">
        <v>46321</v>
      </c>
      <c r="F1770" t="inlineStr">
        <is>
          <t>VÄSTERNORRLANDS LÄN</t>
        </is>
      </c>
      <c r="G1770" t="inlineStr">
        <is>
          <t>ÖRNSKÖLDSVIK</t>
        </is>
      </c>
      <c r="I1770" t="n">
        <v>0.3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41384-2026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46301</v>
      </c>
      <c r="E1771" s="1" t="n">
        <v>46321</v>
      </c>
      <c r="F1771" t="inlineStr">
        <is>
          <t>VÄSTERNORRLANDS LÄN</t>
        </is>
      </c>
      <c r="G1771" t="inlineStr">
        <is>
          <t>ÖRNSKÖLDSVIK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58441-2024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45635</v>
      </c>
      <c r="E1772" s="1" t="n">
        <v>46321</v>
      </c>
      <c r="F1772" t="inlineStr">
        <is>
          <t>VÄSTERNORRLANDS LÄN</t>
        </is>
      </c>
      <c r="G1772" t="inlineStr">
        <is>
          <t>ÖRNSKÖLDSVIK</t>
        </is>
      </c>
      <c r="I1772" t="n">
        <v>3.2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34820-2025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45849</v>
      </c>
      <c r="E1773" s="1" t="n">
        <v>46321</v>
      </c>
      <c r="F1773" t="inlineStr">
        <is>
          <t>VÄSTERNORRLANDS LÄN</t>
        </is>
      </c>
      <c r="G1773" t="inlineStr">
        <is>
          <t>ÖRNSKÖLDSVIK</t>
        </is>
      </c>
      <c r="I1773" t="n">
        <v>4.9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35048-2026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46259</v>
      </c>
      <c r="E1774" s="1" t="n">
        <v>46321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1.1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374-2025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45661</v>
      </c>
      <c r="E1775" s="1" t="n">
        <v>46321</v>
      </c>
      <c r="F1775" t="inlineStr">
        <is>
          <t>VÄSTERNORRLANDS LÄN</t>
        </is>
      </c>
      <c r="G1775" t="inlineStr">
        <is>
          <t>ÖRNSKÖLDSVIK</t>
        </is>
      </c>
      <c r="I1775" t="n">
        <v>1.4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15937-2026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46107</v>
      </c>
      <c r="E1776" s="1" t="n">
        <v>46321</v>
      </c>
      <c r="F1776" t="inlineStr">
        <is>
          <t>VÄSTERNORRLANDS LÄN</t>
        </is>
      </c>
      <c r="G1776" t="inlineStr">
        <is>
          <t>ÖRNSKÖLDSVIK</t>
        </is>
      </c>
      <c r="I1776" t="n">
        <v>2.9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2118-2025</t>
        </is>
      </c>
      <c r="B1777" t="inlineStr">
        <is>
          <t>avverkningsanmälan</t>
        </is>
      </c>
      <c r="C1777" t="inlineStr">
        <is>
          <t>Avverkning för annat ändamål</t>
        </is>
      </c>
      <c r="D1777" s="1" t="n">
        <v>45672</v>
      </c>
      <c r="E1777" s="1" t="n">
        <v>46321</v>
      </c>
      <c r="F1777" t="inlineStr">
        <is>
          <t>VÄSTERNORRLANDS LÄN</t>
        </is>
      </c>
      <c r="G1777" t="inlineStr">
        <is>
          <t>ÖRNSKÖLDSVIK</t>
        </is>
      </c>
      <c r="I1777" t="n">
        <v>2.2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35043-2026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46259</v>
      </c>
      <c r="E1778" s="1" t="n">
        <v>46321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1.8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35051-2026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46259</v>
      </c>
      <c r="E1779" s="1" t="n">
        <v>46321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41524-2026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46301</v>
      </c>
      <c r="E1780" s="1" t="n">
        <v>46321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41354-2026</t>
        </is>
      </c>
      <c r="B1781" t="inlineStr">
        <is>
          <t>avverkningsanmälan</t>
        </is>
      </c>
      <c r="C1781" t="inlineStr">
        <is>
          <t>Avverkning för annat ändamål</t>
        </is>
      </c>
      <c r="D1781" s="1" t="n">
        <v>46301</v>
      </c>
      <c r="E1781" s="1" t="n">
        <v>46321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0.5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41360-2026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46301</v>
      </c>
      <c r="E1782" s="1" t="n">
        <v>46321</v>
      </c>
      <c r="F1782" t="inlineStr">
        <is>
          <t>VÄSTERNORRLANDS LÄN</t>
        </is>
      </c>
      <c r="G1782" t="inlineStr">
        <is>
          <t>ÖRNSKÖLDSVIK</t>
        </is>
      </c>
      <c r="I1782" t="n">
        <v>1.8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34726-2026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46258</v>
      </c>
      <c r="E1783" s="1" t="n">
        <v>46321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1.8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41694-2026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46301</v>
      </c>
      <c r="E1784" s="1" t="n">
        <v>46321</v>
      </c>
      <c r="F1784" t="inlineStr">
        <is>
          <t>VÄSTERNORRLANDS LÄN</t>
        </is>
      </c>
      <c r="G1784" t="inlineStr">
        <is>
          <t>ÖRNSKÖLDSVIK</t>
        </is>
      </c>
      <c r="I1784" t="n">
        <v>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16394-2026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46111</v>
      </c>
      <c r="E1785" s="1" t="n">
        <v>46321</v>
      </c>
      <c r="F1785" t="inlineStr">
        <is>
          <t>VÄSTERNORRLANDS LÄN</t>
        </is>
      </c>
      <c r="G1785" t="inlineStr">
        <is>
          <t>ÖRNSKÖLDSVIK</t>
        </is>
      </c>
      <c r="I1785" t="n">
        <v>4.9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16022-2026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46108</v>
      </c>
      <c r="E1786" s="1" t="n">
        <v>46321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6.6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34888-2026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46259</v>
      </c>
      <c r="E1787" s="1" t="n">
        <v>46321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35738-2025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45860</v>
      </c>
      <c r="E1788" s="1" t="n">
        <v>46321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9.699999999999999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17301-2025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45756</v>
      </c>
      <c r="E1789" s="1" t="n">
        <v>46321</v>
      </c>
      <c r="F1789" t="inlineStr">
        <is>
          <t>VÄSTERNORRLANDS LÄN</t>
        </is>
      </c>
      <c r="G1789" t="inlineStr">
        <is>
          <t>ÖRNSKÖLDSVIK</t>
        </is>
      </c>
      <c r="I1789" t="n">
        <v>2.5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16240-2026</t>
        </is>
      </c>
      <c r="B1790" t="inlineStr">
        <is>
          <t>avverkningsanmälan</t>
        </is>
      </c>
      <c r="C1790" t="inlineStr">
        <is>
          <t>Avverkning för att bevara och utveckla /försöksver</t>
        </is>
      </c>
      <c r="D1790" s="1" t="n">
        <v>46111</v>
      </c>
      <c r="E1790" s="1" t="n">
        <v>46321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1.2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16252-2026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46111</v>
      </c>
      <c r="E1791" s="1" t="n">
        <v>46321</v>
      </c>
      <c r="F1791" t="inlineStr">
        <is>
          <t>VÄSTERNORRLANDS LÄN</t>
        </is>
      </c>
      <c r="G1791" t="inlineStr">
        <is>
          <t>ÖRNSKÖLDSVIK</t>
        </is>
      </c>
      <c r="I1791" t="n">
        <v>2.5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35777-2025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45860</v>
      </c>
      <c r="E1792" s="1" t="n">
        <v>46321</v>
      </c>
      <c r="F1792" t="inlineStr">
        <is>
          <t>VÄSTERNORRLANDS LÄN</t>
        </is>
      </c>
      <c r="G1792" t="inlineStr">
        <is>
          <t>ÖRNSKÖLDSVIK</t>
        </is>
      </c>
      <c r="I1792" t="n">
        <v>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27854-2024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45475</v>
      </c>
      <c r="E1793" s="1" t="n">
        <v>46321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3.1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35039-2026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46259</v>
      </c>
      <c r="E1794" s="1" t="n">
        <v>46321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2.3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15590-2026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46106</v>
      </c>
      <c r="E1795" s="1" t="n">
        <v>46321</v>
      </c>
      <c r="F1795" t="inlineStr">
        <is>
          <t>VÄSTERNORRLANDS LÄN</t>
        </is>
      </c>
      <c r="G1795" t="inlineStr">
        <is>
          <t>ÖRNSKÖLDSVIK</t>
        </is>
      </c>
      <c r="I1795" t="n">
        <v>11.4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41704-2026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46302</v>
      </c>
      <c r="E1796" s="1" t="n">
        <v>46321</v>
      </c>
      <c r="F1796" t="inlineStr">
        <is>
          <t>VÄSTERNORRLANDS LÄN</t>
        </is>
      </c>
      <c r="G1796" t="inlineStr">
        <is>
          <t>ÖRNSKÖLDSVIK</t>
        </is>
      </c>
      <c r="I1796" t="n">
        <v>3.7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41876-2026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46303</v>
      </c>
      <c r="E1797" s="1" t="n">
        <v>46321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6.3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35343-2026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46261</v>
      </c>
      <c r="E1798" s="1" t="n">
        <v>46321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3.7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51967-2022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44872</v>
      </c>
      <c r="E1799" s="1" t="n">
        <v>46321</v>
      </c>
      <c r="F1799" t="inlineStr">
        <is>
          <t>VÄSTERNORRLANDS LÄN</t>
        </is>
      </c>
      <c r="G1799" t="inlineStr">
        <is>
          <t>ÖRNSKÖLDSVIK</t>
        </is>
      </c>
      <c r="I1799" t="n">
        <v>3.1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35374-2026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46261</v>
      </c>
      <c r="E1800" s="1" t="n">
        <v>46321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0.4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42176-2026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46304</v>
      </c>
      <c r="E1801" s="1" t="n">
        <v>46321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42065-2026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46304</v>
      </c>
      <c r="E1802" s="1" t="n">
        <v>46321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1.9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20286-2024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45435</v>
      </c>
      <c r="E1803" s="1" t="n">
        <v>46321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42098-2026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46304</v>
      </c>
      <c r="E1804" s="1" t="n">
        <v>46321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17075-2026</t>
        </is>
      </c>
      <c r="B1805" t="inlineStr">
        <is>
          <t>avverkningsanmälan</t>
        </is>
      </c>
      <c r="C1805" t="inlineStr">
        <is>
          <t>Avverkning för att bevara och utveckla /försöksver</t>
        </is>
      </c>
      <c r="D1805" s="1" t="n">
        <v>46114</v>
      </c>
      <c r="E1805" s="1" t="n">
        <v>46321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SCA</t>
        </is>
      </c>
      <c r="I1805" t="n">
        <v>3.9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36156-2025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45867</v>
      </c>
      <c r="E1806" s="1" t="n">
        <v>46321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5.1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17502-2026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46119</v>
      </c>
      <c r="E1807" s="1" t="n">
        <v>46321</v>
      </c>
      <c r="F1807" t="inlineStr">
        <is>
          <t>VÄSTERNORRLANDS LÄN</t>
        </is>
      </c>
      <c r="G1807" t="inlineStr">
        <is>
          <t>ÖRNSKÖLDSVIK</t>
        </is>
      </c>
      <c r="I1807" t="n">
        <v>3.7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17510-2026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46119</v>
      </c>
      <c r="E1808" s="1" t="n">
        <v>46321</v>
      </c>
      <c r="F1808" t="inlineStr">
        <is>
          <t>VÄSTERNORRLANDS LÄN</t>
        </is>
      </c>
      <c r="G1808" t="inlineStr">
        <is>
          <t>ÖRNSKÖLDSVIK</t>
        </is>
      </c>
      <c r="I1808" t="n">
        <v>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44522-2023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45189</v>
      </c>
      <c r="E1809" s="1" t="n">
        <v>46321</v>
      </c>
      <c r="F1809" t="inlineStr">
        <is>
          <t>VÄSTERNORRLANDS LÄN</t>
        </is>
      </c>
      <c r="G1809" t="inlineStr">
        <is>
          <t>ÖRNSKÖLDSVIK</t>
        </is>
      </c>
      <c r="I1809" t="n">
        <v>22.6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35301-2026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46261</v>
      </c>
      <c r="E1810" s="1" t="n">
        <v>46321</v>
      </c>
      <c r="F1810" t="inlineStr">
        <is>
          <t>VÄSTERNORRLANDS LÄN</t>
        </is>
      </c>
      <c r="G1810" t="inlineStr">
        <is>
          <t>ÖRNSKÖLDSVIK</t>
        </is>
      </c>
      <c r="I1810" t="n">
        <v>8.5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42155-2026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46304</v>
      </c>
      <c r="E1811" s="1" t="n">
        <v>46321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4.2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35079-2026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46260</v>
      </c>
      <c r="E1812" s="1" t="n">
        <v>46321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2.3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41861-2026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46303</v>
      </c>
      <c r="E1813" s="1" t="n">
        <v>46321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35119-2026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46260</v>
      </c>
      <c r="E1814" s="1" t="n">
        <v>46321</v>
      </c>
      <c r="F1814" t="inlineStr">
        <is>
          <t>VÄSTERNORRLANDS LÄN</t>
        </is>
      </c>
      <c r="G1814" t="inlineStr">
        <is>
          <t>ÖRNSKÖLDSVIK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42078-2026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46304</v>
      </c>
      <c r="E1815" s="1" t="n">
        <v>46321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6.2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17636-2026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46121</v>
      </c>
      <c r="E1816" s="1" t="n">
        <v>46321</v>
      </c>
      <c r="F1816" t="inlineStr">
        <is>
          <t>VÄSTERNORRLANDS LÄN</t>
        </is>
      </c>
      <c r="G1816" t="inlineStr">
        <is>
          <t>ÖRNSKÖLDSVIK</t>
        </is>
      </c>
      <c r="I1816" t="n">
        <v>3.2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41867-2026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46303</v>
      </c>
      <c r="E1817" s="1" t="n">
        <v>46321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41849-2026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46303</v>
      </c>
      <c r="E1818" s="1" t="n">
        <v>46321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39016-2024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45548</v>
      </c>
      <c r="E1819" s="1" t="n">
        <v>46321</v>
      </c>
      <c r="F1819" t="inlineStr">
        <is>
          <t>VÄSTERNORRLANDS LÄN</t>
        </is>
      </c>
      <c r="G1819" t="inlineStr">
        <is>
          <t>ÖRNSKÖLDSVIK</t>
        </is>
      </c>
      <c r="I1819" t="n">
        <v>0.9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17704-2026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46121</v>
      </c>
      <c r="E1820" s="1" t="n">
        <v>46321</v>
      </c>
      <c r="F1820" t="inlineStr">
        <is>
          <t>VÄSTERNORRLANDS LÄN</t>
        </is>
      </c>
      <c r="G1820" t="inlineStr">
        <is>
          <t>ÖRNSKÖLDSVIK</t>
        </is>
      </c>
      <c r="I1820" t="n">
        <v>1.4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71547-2021</t>
        </is>
      </c>
      <c r="B1821" t="inlineStr">
        <is>
          <t>avverkningsanmälan</t>
        </is>
      </c>
      <c r="C1821" t="inlineStr">
        <is>
          <t>Avverkning för annat ändamål</t>
        </is>
      </c>
      <c r="D1821" s="1" t="n">
        <v>44540</v>
      </c>
      <c r="E1821" s="1" t="n">
        <v>46321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4.3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42013-2026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46303</v>
      </c>
      <c r="E1822" s="1" t="n">
        <v>46321</v>
      </c>
      <c r="F1822" t="inlineStr">
        <is>
          <t>VÄSTERNORRLANDS LÄN</t>
        </is>
      </c>
      <c r="G1822" t="inlineStr">
        <is>
          <t>ÖRNSKÖLDSVIK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17634-2026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46121</v>
      </c>
      <c r="E1823" s="1" t="n">
        <v>46321</v>
      </c>
      <c r="F1823" t="inlineStr">
        <is>
          <t>VÄSTERNORRLANDS LÄN</t>
        </is>
      </c>
      <c r="G1823" t="inlineStr">
        <is>
          <t>ÖRNSKÖLDSVIK</t>
        </is>
      </c>
      <c r="I1823" t="n">
        <v>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17523-2026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46120</v>
      </c>
      <c r="E1824" s="1" t="n">
        <v>46321</v>
      </c>
      <c r="F1824" t="inlineStr">
        <is>
          <t>VÄSTERNORRLANDS LÄN</t>
        </is>
      </c>
      <c r="G1824" t="inlineStr">
        <is>
          <t>ÖRNSKÖLDSVIK</t>
        </is>
      </c>
      <c r="I1824" t="n">
        <v>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17612-2026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46121</v>
      </c>
      <c r="E1825" s="1" t="n">
        <v>46321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35116-2026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46260</v>
      </c>
      <c r="E1826" s="1" t="n">
        <v>46321</v>
      </c>
      <c r="F1826" t="inlineStr">
        <is>
          <t>VÄSTERNORRLANDS LÄN</t>
        </is>
      </c>
      <c r="G1826" t="inlineStr">
        <is>
          <t>ÖRNSKÖLDSVIK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35359-2026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46261</v>
      </c>
      <c r="E1827" s="1" t="n">
        <v>46321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3.9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36811-2025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45873</v>
      </c>
      <c r="E1828" s="1" t="n">
        <v>46321</v>
      </c>
      <c r="F1828" t="inlineStr">
        <is>
          <t>VÄSTERNORRLANDS LÄN</t>
        </is>
      </c>
      <c r="G1828" t="inlineStr">
        <is>
          <t>ÖRNSKÖLDSVIK</t>
        </is>
      </c>
      <c r="I1828" t="n">
        <v>0.3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18009-2026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46125</v>
      </c>
      <c r="E1829" s="1" t="n">
        <v>46321</v>
      </c>
      <c r="F1829" t="inlineStr">
        <is>
          <t>VÄSTERNORRLANDS LÄN</t>
        </is>
      </c>
      <c r="G1829" t="inlineStr">
        <is>
          <t>ÖRNSKÖLDSVIK</t>
        </is>
      </c>
      <c r="I1829" t="n">
        <v>1.7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42051-2026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46304</v>
      </c>
      <c r="E1830" s="1" t="n">
        <v>46321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18014-2026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46125</v>
      </c>
      <c r="E1831" s="1" t="n">
        <v>46321</v>
      </c>
      <c r="F1831" t="inlineStr">
        <is>
          <t>VÄSTERNORRLANDS LÄN</t>
        </is>
      </c>
      <c r="G1831" t="inlineStr">
        <is>
          <t>ÖRNSKÖLDSVIK</t>
        </is>
      </c>
      <c r="I1831" t="n">
        <v>3.3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18028-2026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46125</v>
      </c>
      <c r="E1832" s="1" t="n">
        <v>46321</v>
      </c>
      <c r="F1832" t="inlineStr">
        <is>
          <t>VÄSTERNORRLANDS LÄN</t>
        </is>
      </c>
      <c r="G1832" t="inlineStr">
        <is>
          <t>ÖRNSKÖLDSVIK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41924-2026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46303</v>
      </c>
      <c r="E1833" s="1" t="n">
        <v>46321</v>
      </c>
      <c r="F1833" t="inlineStr">
        <is>
          <t>VÄSTERNORRLANDS LÄN</t>
        </is>
      </c>
      <c r="G1833" t="inlineStr">
        <is>
          <t>ÖRNSKÖLDSVIK</t>
        </is>
      </c>
      <c r="I1833" t="n">
        <v>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17875-2026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46122</v>
      </c>
      <c r="E1834" s="1" t="n">
        <v>46321</v>
      </c>
      <c r="F1834" t="inlineStr">
        <is>
          <t>VÄSTERNORRLANDS LÄN</t>
        </is>
      </c>
      <c r="G1834" t="inlineStr">
        <is>
          <t>ÖRNSKÖLDSVIK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35363-2026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46261</v>
      </c>
      <c r="E1835" s="1" t="n">
        <v>46321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35369-2026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46261</v>
      </c>
      <c r="E1836" s="1" t="n">
        <v>46321</v>
      </c>
      <c r="F1836" t="inlineStr">
        <is>
          <t>VÄSTERNORRLANDS LÄN</t>
        </is>
      </c>
      <c r="G1836" t="inlineStr">
        <is>
          <t>ÖRNSKÖLDSVIK</t>
        </is>
      </c>
      <c r="I1836" t="n">
        <v>1.7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35406-2026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46261</v>
      </c>
      <c r="E1837" s="1" t="n">
        <v>46321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18370-2026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46125</v>
      </c>
      <c r="E1838" s="1" t="n">
        <v>46321</v>
      </c>
      <c r="F1838" t="inlineStr">
        <is>
          <t>VÄSTERNORRLANDS LÄN</t>
        </is>
      </c>
      <c r="G1838" t="inlineStr">
        <is>
          <t>ÖRNSKÖLDSVIK</t>
        </is>
      </c>
      <c r="I1838" t="n">
        <v>10.9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42071-2026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46304</v>
      </c>
      <c r="E1839" s="1" t="n">
        <v>46321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0.6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35114-2026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46260</v>
      </c>
      <c r="E1840" s="1" t="n">
        <v>46321</v>
      </c>
      <c r="F1840" t="inlineStr">
        <is>
          <t>VÄSTERNORRLANDS LÄN</t>
        </is>
      </c>
      <c r="G1840" t="inlineStr">
        <is>
          <t>ÖRNSKÖLDSVIK</t>
        </is>
      </c>
      <c r="I1840" t="n">
        <v>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42140-2026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46304</v>
      </c>
      <c r="E1841" s="1" t="n">
        <v>46321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41850-2026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46303</v>
      </c>
      <c r="E1842" s="1" t="n">
        <v>46321</v>
      </c>
      <c r="F1842" t="inlineStr">
        <is>
          <t>VÄSTERNORRLANDS LÄN</t>
        </is>
      </c>
      <c r="G1842" t="inlineStr">
        <is>
          <t>ÖRNSKÖLDSVIK</t>
        </is>
      </c>
      <c r="I1842" t="n">
        <v>4.2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18026-2026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46125</v>
      </c>
      <c r="E1843" s="1" t="n">
        <v>46321</v>
      </c>
      <c r="F1843" t="inlineStr">
        <is>
          <t>VÄSTERNORRLANDS LÄN</t>
        </is>
      </c>
      <c r="G1843" t="inlineStr">
        <is>
          <t>ÖRNSKÖLDSVIK</t>
        </is>
      </c>
      <c r="I1843" t="n">
        <v>2.5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16937-2025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45754</v>
      </c>
      <c r="E1844" s="1" t="n">
        <v>46321</v>
      </c>
      <c r="F1844" t="inlineStr">
        <is>
          <t>VÄSTERNORRLANDS LÄN</t>
        </is>
      </c>
      <c r="G1844" t="inlineStr">
        <is>
          <t>ÖRNSKÖLDSVIK</t>
        </is>
      </c>
      <c r="I1844" t="n">
        <v>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35208-2026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46260</v>
      </c>
      <c r="E1845" s="1" t="n">
        <v>46321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4.3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35241-2026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46260</v>
      </c>
      <c r="E1846" s="1" t="n">
        <v>46321</v>
      </c>
      <c r="F1846" t="inlineStr">
        <is>
          <t>VÄSTERNORRLANDS LÄN</t>
        </is>
      </c>
      <c r="G1846" t="inlineStr">
        <is>
          <t>ÖRNSKÖLDSVIK</t>
        </is>
      </c>
      <c r="I1846" t="n">
        <v>7.6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41990-2026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46303</v>
      </c>
      <c r="E1847" s="1" t="n">
        <v>46321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41853-2026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46303</v>
      </c>
      <c r="E1848" s="1" t="n">
        <v>46321</v>
      </c>
      <c r="F1848" t="inlineStr">
        <is>
          <t>VÄSTERNORRLANDS LÄN</t>
        </is>
      </c>
      <c r="G1848" t="inlineStr">
        <is>
          <t>ÖRNSKÖLDSVIK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41855-2026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46303</v>
      </c>
      <c r="E1849" s="1" t="n">
        <v>46321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35188-2026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46260</v>
      </c>
      <c r="E1850" s="1" t="n">
        <v>46321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13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37194-2025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45875</v>
      </c>
      <c r="E1851" s="1" t="n">
        <v>46321</v>
      </c>
      <c r="F1851" t="inlineStr">
        <is>
          <t>VÄSTERNORRLANDS LÄN</t>
        </is>
      </c>
      <c r="G1851" t="inlineStr">
        <is>
          <t>ÖRNSKÖLDSVIK</t>
        </is>
      </c>
      <c r="I1851" t="n">
        <v>2.8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37227-2025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45876</v>
      </c>
      <c r="E1852" s="1" t="n">
        <v>46321</v>
      </c>
      <c r="F1852" t="inlineStr">
        <is>
          <t>VÄSTERNORRLANDS LÄN</t>
        </is>
      </c>
      <c r="G1852" t="inlineStr">
        <is>
          <t>ÖRNSKÖLDSVIK</t>
        </is>
      </c>
      <c r="I1852" t="n">
        <v>9.699999999999999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18953-2026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46127</v>
      </c>
      <c r="E1853" s="1" t="n">
        <v>46321</v>
      </c>
      <c r="F1853" t="inlineStr">
        <is>
          <t>VÄSTERNORRLANDS LÄN</t>
        </is>
      </c>
      <c r="G1853" t="inlineStr">
        <is>
          <t>ÖRNSKÖLDSVIK</t>
        </is>
      </c>
      <c r="I1853" t="n">
        <v>13.4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41819-2026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46303</v>
      </c>
      <c r="E1854" s="1" t="n">
        <v>46321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3.5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18933-2026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46129</v>
      </c>
      <c r="E1855" s="1" t="n">
        <v>46321</v>
      </c>
      <c r="F1855" t="inlineStr">
        <is>
          <t>VÄSTERNORRLANDS LÄN</t>
        </is>
      </c>
      <c r="G1855" t="inlineStr">
        <is>
          <t>ÖRNSKÖLDSVIK</t>
        </is>
      </c>
      <c r="I1855" t="n">
        <v>23.2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41828-2026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46303</v>
      </c>
      <c r="E1856" s="1" t="n">
        <v>46321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8.800000000000001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42138-2026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46304</v>
      </c>
      <c r="E1857" s="1" t="n">
        <v>46321</v>
      </c>
      <c r="F1857" t="inlineStr">
        <is>
          <t>VÄSTERNORRLANDS LÄN</t>
        </is>
      </c>
      <c r="G1857" t="inlineStr">
        <is>
          <t>ÖRNSKÖLDSVIK</t>
        </is>
      </c>
      <c r="I1857" t="n">
        <v>5.5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37234-2025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45876</v>
      </c>
      <c r="E1858" s="1" t="n">
        <v>46321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37467-2025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45877</v>
      </c>
      <c r="E1859" s="1" t="n">
        <v>46321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3.1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37579-2025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45880</v>
      </c>
      <c r="E1860" s="1" t="n">
        <v>46321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42273-2026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46307</v>
      </c>
      <c r="E1861" s="1" t="n">
        <v>46321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4.6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37761-2025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45880</v>
      </c>
      <c r="E1862" s="1" t="n">
        <v>46321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2.8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18641-2026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46128</v>
      </c>
      <c r="E1863" s="1" t="n">
        <v>46321</v>
      </c>
      <c r="F1863" t="inlineStr">
        <is>
          <t>VÄSTERNORRLANDS LÄN</t>
        </is>
      </c>
      <c r="G1863" t="inlineStr">
        <is>
          <t>ÖRNSKÖLDSVIK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18630-2026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46127</v>
      </c>
      <c r="E1864" s="1" t="n">
        <v>46321</v>
      </c>
      <c r="F1864" t="inlineStr">
        <is>
          <t>VÄSTERNORRLANDS LÄN</t>
        </is>
      </c>
      <c r="G1864" t="inlineStr">
        <is>
          <t>ÖRNSKÖLDSVIK</t>
        </is>
      </c>
      <c r="I1864" t="n">
        <v>5.8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35690-2026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46265</v>
      </c>
      <c r="E1865" s="1" t="n">
        <v>46321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1.8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21022-2025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45777</v>
      </c>
      <c r="E1866" s="1" t="n">
        <v>46321</v>
      </c>
      <c r="F1866" t="inlineStr">
        <is>
          <t>VÄSTERNORRLANDS LÄN</t>
        </is>
      </c>
      <c r="G1866" t="inlineStr">
        <is>
          <t>ÖRNSKÖLDSVIK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35753-2026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46265</v>
      </c>
      <c r="E1867" s="1" t="n">
        <v>46321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3.4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18860-2026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46129</v>
      </c>
      <c r="E1868" s="1" t="n">
        <v>46321</v>
      </c>
      <c r="F1868" t="inlineStr">
        <is>
          <t>VÄSTERNORRLANDS LÄN</t>
        </is>
      </c>
      <c r="G1868" t="inlineStr">
        <is>
          <t>ÖRNSKÖLDSVIK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18906-2026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46129</v>
      </c>
      <c r="E1869" s="1" t="n">
        <v>46321</v>
      </c>
      <c r="F1869" t="inlineStr">
        <is>
          <t>VÄSTERNORRLANDS LÄN</t>
        </is>
      </c>
      <c r="G1869" t="inlineStr">
        <is>
          <t>ÖRNSKÖLDSVIK</t>
        </is>
      </c>
      <c r="I1869" t="n">
        <v>2.1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37480-2025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45877</v>
      </c>
      <c r="E1870" s="1" t="n">
        <v>46321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6.2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37600-2025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45880</v>
      </c>
      <c r="E1871" s="1" t="n">
        <v>46321</v>
      </c>
      <c r="F1871" t="inlineStr">
        <is>
          <t>VÄSTERNORRLANDS LÄN</t>
        </is>
      </c>
      <c r="G1871" t="inlineStr">
        <is>
          <t>ÖRNSKÖLDSVIK</t>
        </is>
      </c>
      <c r="I1871" t="n">
        <v>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35759-2026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46265</v>
      </c>
      <c r="E1872" s="1" t="n">
        <v>46321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3.1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35768-2026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46265</v>
      </c>
      <c r="E1873" s="1" t="n">
        <v>46321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2.8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42237-2026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46307</v>
      </c>
      <c r="E1874" s="1" t="n">
        <v>46321</v>
      </c>
      <c r="F1874" t="inlineStr">
        <is>
          <t>VÄSTERNORRLANDS LÄN</t>
        </is>
      </c>
      <c r="G1874" t="inlineStr">
        <is>
          <t>ÖRNSKÖLDSVIK</t>
        </is>
      </c>
      <c r="I1874" t="n">
        <v>3.1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42238-2026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46307</v>
      </c>
      <c r="E1875" s="1" t="n">
        <v>46321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4.6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37885-2025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45881</v>
      </c>
      <c r="E1876" s="1" t="n">
        <v>46321</v>
      </c>
      <c r="F1876" t="inlineStr">
        <is>
          <t>VÄSTERNORRLANDS LÄN</t>
        </is>
      </c>
      <c r="G1876" t="inlineStr">
        <is>
          <t>ÖRNSKÖLDSVIK</t>
        </is>
      </c>
      <c r="I1876" t="n">
        <v>2.6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35766-2026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46265</v>
      </c>
      <c r="E1877" s="1" t="n">
        <v>46321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3.6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18862-2026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46129</v>
      </c>
      <c r="E1878" s="1" t="n">
        <v>46321</v>
      </c>
      <c r="F1878" t="inlineStr">
        <is>
          <t>VÄSTERNORRLANDS LÄN</t>
        </is>
      </c>
      <c r="G1878" t="inlineStr">
        <is>
          <t>ÖRNSKÖLDSVIK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38039-2025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45882</v>
      </c>
      <c r="E1879" s="1" t="n">
        <v>46321</v>
      </c>
      <c r="F1879" t="inlineStr">
        <is>
          <t>VÄSTERNORRLANDS LÄN</t>
        </is>
      </c>
      <c r="G1879" t="inlineStr">
        <is>
          <t>ÖRNSKÖLDSVIK</t>
        </is>
      </c>
      <c r="I1879" t="n">
        <v>1.4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35542-2026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46262</v>
      </c>
      <c r="E1880" s="1" t="n">
        <v>46321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6.4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37861-2025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45881</v>
      </c>
      <c r="E1881" s="1" t="n">
        <v>46321</v>
      </c>
      <c r="F1881" t="inlineStr">
        <is>
          <t>VÄSTERNORRLANDS LÄN</t>
        </is>
      </c>
      <c r="G1881" t="inlineStr">
        <is>
          <t>ÖRNSKÖLDSVIK</t>
        </is>
      </c>
      <c r="I1881" t="n">
        <v>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45288-2024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45576</v>
      </c>
      <c r="E1882" s="1" t="n">
        <v>46321</v>
      </c>
      <c r="F1882" t="inlineStr">
        <is>
          <t>VÄSTERNORRLANDS LÄN</t>
        </is>
      </c>
      <c r="G1882" t="inlineStr">
        <is>
          <t>ÖRNSKÖLDSVIK</t>
        </is>
      </c>
      <c r="I1882" t="n">
        <v>1.9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18861-2026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46129</v>
      </c>
      <c r="E1883" s="1" t="n">
        <v>46321</v>
      </c>
      <c r="F1883" t="inlineStr">
        <is>
          <t>VÄSTERNORRLANDS LÄN</t>
        </is>
      </c>
      <c r="G1883" t="inlineStr">
        <is>
          <t>ÖRNSKÖLDSVIK</t>
        </is>
      </c>
      <c r="I1883" t="n">
        <v>3.5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37799-2025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45881</v>
      </c>
      <c r="E1884" s="1" t="n">
        <v>46321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28716-2025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45820</v>
      </c>
      <c r="E1885" s="1" t="n">
        <v>46321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2.6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37883-2025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45881</v>
      </c>
      <c r="E1886" s="1" t="n">
        <v>46321</v>
      </c>
      <c r="F1886" t="inlineStr">
        <is>
          <t>VÄSTERNORRLANDS LÄN</t>
        </is>
      </c>
      <c r="G1886" t="inlineStr">
        <is>
          <t>ÖRNSKÖLDSVIK</t>
        </is>
      </c>
      <c r="I1886" t="n">
        <v>6.7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38150-2025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45882</v>
      </c>
      <c r="E1887" s="1" t="n">
        <v>46321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SCA</t>
        </is>
      </c>
      <c r="I1887" t="n">
        <v>0.9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37986-2025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45881</v>
      </c>
      <c r="E1888" s="1" t="n">
        <v>46321</v>
      </c>
      <c r="F1888" t="inlineStr">
        <is>
          <t>VÄSTERNORRLANDS LÄN</t>
        </is>
      </c>
      <c r="G1888" t="inlineStr">
        <is>
          <t>ÖRNSKÖLDSVIK</t>
        </is>
      </c>
      <c r="I1888" t="n">
        <v>2.8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42360-2026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46307</v>
      </c>
      <c r="E1889" s="1" t="n">
        <v>46321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10.3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52065-2022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44873</v>
      </c>
      <c r="E1890" s="1" t="n">
        <v>46321</v>
      </c>
      <c r="F1890" t="inlineStr">
        <is>
          <t>VÄSTERNORRLANDS LÄN</t>
        </is>
      </c>
      <c r="G1890" t="inlineStr">
        <is>
          <t>ÖRNSKÖLDSVIK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35792-2026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46265</v>
      </c>
      <c r="E1891" s="1" t="n">
        <v>46321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0.8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33191-2024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45518</v>
      </c>
      <c r="E1892" s="1" t="n">
        <v>46321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0.8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34132-2024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45524</v>
      </c>
      <c r="E1893" s="1" t="n">
        <v>46321</v>
      </c>
      <c r="F1893" t="inlineStr">
        <is>
          <t>VÄSTERNORRLANDS LÄN</t>
        </is>
      </c>
      <c r="G1893" t="inlineStr">
        <is>
          <t>ÖRNSKÖLDSVIK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35610-2026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46264</v>
      </c>
      <c r="E1894" s="1" t="n">
        <v>46321</v>
      </c>
      <c r="F1894" t="inlineStr">
        <is>
          <t>VÄSTERNORRLANDS LÄN</t>
        </is>
      </c>
      <c r="G1894" t="inlineStr">
        <is>
          <t>ÖRNSKÖLDSVIK</t>
        </is>
      </c>
      <c r="I1894" t="n">
        <v>2.2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34152-2024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45524</v>
      </c>
      <c r="E1895" s="1" t="n">
        <v>46321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3.3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36524-2024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45537</v>
      </c>
      <c r="E1896" s="1" t="n">
        <v>46321</v>
      </c>
      <c r="F1896" t="inlineStr">
        <is>
          <t>VÄSTERNORRLANDS LÄN</t>
        </is>
      </c>
      <c r="G1896" t="inlineStr">
        <is>
          <t>ÖRNSKÖLDSVIK</t>
        </is>
      </c>
      <c r="I1896" t="n">
        <v>0.4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62357-2022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44923</v>
      </c>
      <c r="E1897" s="1" t="n">
        <v>46321</v>
      </c>
      <c r="F1897" t="inlineStr">
        <is>
          <t>VÄSTERNORRLANDS LÄN</t>
        </is>
      </c>
      <c r="G1897" t="inlineStr">
        <is>
          <t>ÖRNSKÖLDSVIK</t>
        </is>
      </c>
      <c r="I1897" t="n">
        <v>3.4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61085-2022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44915</v>
      </c>
      <c r="E1898" s="1" t="n">
        <v>46321</v>
      </c>
      <c r="F1898" t="inlineStr">
        <is>
          <t>VÄSTERNORRLANDS LÄN</t>
        </is>
      </c>
      <c r="G1898" t="inlineStr">
        <is>
          <t>ÖRNSKÖLDSVIK</t>
        </is>
      </c>
      <c r="I1898" t="n">
        <v>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61090-2022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44915</v>
      </c>
      <c r="E1899" s="1" t="n">
        <v>46321</v>
      </c>
      <c r="F1899" t="inlineStr">
        <is>
          <t>VÄSTERNORRLANDS LÄN</t>
        </is>
      </c>
      <c r="G1899" t="inlineStr">
        <is>
          <t>ÖRNSKÖLDSVIK</t>
        </is>
      </c>
      <c r="I1899" t="n">
        <v>0.3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19492-2026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46134</v>
      </c>
      <c r="E1900" s="1" t="n">
        <v>46321</v>
      </c>
      <c r="F1900" t="inlineStr">
        <is>
          <t>VÄSTERNORRLANDS LÄN</t>
        </is>
      </c>
      <c r="G1900" t="inlineStr">
        <is>
          <t>ÖRNSKÖLDSVIK</t>
        </is>
      </c>
      <c r="I1900" t="n">
        <v>1.8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19493-2026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46134</v>
      </c>
      <c r="E1901" s="1" t="n">
        <v>46321</v>
      </c>
      <c r="F1901" t="inlineStr">
        <is>
          <t>VÄSTERNORRLANDS LÄN</t>
        </is>
      </c>
      <c r="G1901" t="inlineStr">
        <is>
          <t>ÖRNSKÖLDSVIK</t>
        </is>
      </c>
      <c r="I1901" t="n">
        <v>0.8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19657-2026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46134</v>
      </c>
      <c r="E1902" s="1" t="n">
        <v>46321</v>
      </c>
      <c r="F1902" t="inlineStr">
        <is>
          <t>VÄSTERNORRLANDS LÄN</t>
        </is>
      </c>
      <c r="G1902" t="inlineStr">
        <is>
          <t>ÖRNSKÖLDSVIK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19660-2026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46134</v>
      </c>
      <c r="E1903" s="1" t="n">
        <v>46321</v>
      </c>
      <c r="F1903" t="inlineStr">
        <is>
          <t>VÄSTERNORRLANDS LÄN</t>
        </is>
      </c>
      <c r="G1903" t="inlineStr">
        <is>
          <t>ÖRNSKÖLDSVIK</t>
        </is>
      </c>
      <c r="I1903" t="n">
        <v>1.6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42491-2026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46308</v>
      </c>
      <c r="E1904" s="1" t="n">
        <v>46321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62001-2022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44914</v>
      </c>
      <c r="E1905" s="1" t="n">
        <v>46321</v>
      </c>
      <c r="F1905" t="inlineStr">
        <is>
          <t>VÄSTERNORRLANDS LÄN</t>
        </is>
      </c>
      <c r="G1905" t="inlineStr">
        <is>
          <t>ÖRNSKÖLDSVIK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19655-2026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46134</v>
      </c>
      <c r="E1906" s="1" t="n">
        <v>46321</v>
      </c>
      <c r="F1906" t="inlineStr">
        <is>
          <t>VÄSTERNORRLANDS LÄN</t>
        </is>
      </c>
      <c r="G1906" t="inlineStr">
        <is>
          <t>ÖRNSKÖLDSVIK</t>
        </is>
      </c>
      <c r="I1906" t="n">
        <v>0.8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49843-2024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45597</v>
      </c>
      <c r="E1907" s="1" t="n">
        <v>46321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27800-2024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45475</v>
      </c>
      <c r="E1908" s="1" t="n">
        <v>46321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0.6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29501-2023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45106</v>
      </c>
      <c r="E1909" s="1" t="n">
        <v>46321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42535-2026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46308</v>
      </c>
      <c r="E1910" s="1" t="n">
        <v>46321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19658-2026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46134</v>
      </c>
      <c r="E1911" s="1" t="n">
        <v>46321</v>
      </c>
      <c r="F1911" t="inlineStr">
        <is>
          <t>VÄSTERNORRLANDS LÄN</t>
        </is>
      </c>
      <c r="G1911" t="inlineStr">
        <is>
          <t>ÖRNSKÖLDSVIK</t>
        </is>
      </c>
      <c r="I1911" t="n">
        <v>1.6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19651-2026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46134</v>
      </c>
      <c r="E1912" s="1" t="n">
        <v>46321</v>
      </c>
      <c r="F1912" t="inlineStr">
        <is>
          <t>VÄSTERNORRLANDS LÄN</t>
        </is>
      </c>
      <c r="G1912" t="inlineStr">
        <is>
          <t>ÖRNSKÖLDSVIK</t>
        </is>
      </c>
      <c r="I1912" t="n">
        <v>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35449-2026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46262</v>
      </c>
      <c r="E1913" s="1" t="n">
        <v>46321</v>
      </c>
      <c r="F1913" t="inlineStr">
        <is>
          <t>VÄSTERNORRLANDS LÄN</t>
        </is>
      </c>
      <c r="G1913" t="inlineStr">
        <is>
          <t>ÖRNSKÖLDSVIK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35741-2026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46265</v>
      </c>
      <c r="E1914" s="1" t="n">
        <v>46321</v>
      </c>
      <c r="F1914" t="inlineStr">
        <is>
          <t>VÄSTERNORRLANDS LÄN</t>
        </is>
      </c>
      <c r="G1914" t="inlineStr">
        <is>
          <t>ÖRNSKÖLDSVIK</t>
        </is>
      </c>
      <c r="I1914" t="n">
        <v>4.8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27010-2024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45471</v>
      </c>
      <c r="E1915" s="1" t="n">
        <v>46321</v>
      </c>
      <c r="F1915" t="inlineStr">
        <is>
          <t>VÄSTERNORRLANDS LÄN</t>
        </is>
      </c>
      <c r="G1915" t="inlineStr">
        <is>
          <t>ÖRNSKÖLDSVIK</t>
        </is>
      </c>
      <c r="I1915" t="n">
        <v>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35609-2026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46264</v>
      </c>
      <c r="E1916" s="1" t="n">
        <v>46321</v>
      </c>
      <c r="F1916" t="inlineStr">
        <is>
          <t>VÄSTERNORRLANDS LÄN</t>
        </is>
      </c>
      <c r="G1916" t="inlineStr">
        <is>
          <t>ÖRNSKÖLDSVIK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35750-2026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46265</v>
      </c>
      <c r="E1917" s="1" t="n">
        <v>46321</v>
      </c>
      <c r="F1917" t="inlineStr">
        <is>
          <t>VÄSTERNORRLANDS LÄN</t>
        </is>
      </c>
      <c r="G1917" t="inlineStr">
        <is>
          <t>ÖRNSKÖLDSVIK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20571-2025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45775</v>
      </c>
      <c r="E1918" s="1" t="n">
        <v>46321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18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19490-2026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46134</v>
      </c>
      <c r="E1919" s="1" t="n">
        <v>46321</v>
      </c>
      <c r="F1919" t="inlineStr">
        <is>
          <t>VÄSTERNORRLANDS LÄN</t>
        </is>
      </c>
      <c r="G1919" t="inlineStr">
        <is>
          <t>ÖRNSKÖLDSVIK</t>
        </is>
      </c>
      <c r="I1919" t="n">
        <v>1.5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33187-2024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45518</v>
      </c>
      <c r="E1920" s="1" t="n">
        <v>46321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0.8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8115-2024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45351</v>
      </c>
      <c r="E1921" s="1" t="n">
        <v>46321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0.3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23346-2024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45453</v>
      </c>
      <c r="E1922" s="1" t="n">
        <v>46321</v>
      </c>
      <c r="F1922" t="inlineStr">
        <is>
          <t>VÄSTERNORRLANDS LÄN</t>
        </is>
      </c>
      <c r="G1922" t="inlineStr">
        <is>
          <t>ÖRNSKÖLDSVIK</t>
        </is>
      </c>
      <c r="I1922" t="n">
        <v>1.7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287-2023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44928</v>
      </c>
      <c r="E1923" s="1" t="n">
        <v>46321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SCA</t>
        </is>
      </c>
      <c r="I1923" t="n">
        <v>0.2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35802-2026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46265</v>
      </c>
      <c r="E1924" s="1" t="n">
        <v>46321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5.1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45671-2025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45923</v>
      </c>
      <c r="E1925" s="1" t="n">
        <v>46321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3.7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35691-2026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46265</v>
      </c>
      <c r="E1926" s="1" t="n">
        <v>46321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12.2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61445-2022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44916</v>
      </c>
      <c r="E1927" s="1" t="n">
        <v>46321</v>
      </c>
      <c r="F1927" t="inlineStr">
        <is>
          <t>VÄSTERNORRLANDS LÄN</t>
        </is>
      </c>
      <c r="G1927" t="inlineStr">
        <is>
          <t>ÖRNSKÖLDSVIK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42287-2026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46307</v>
      </c>
      <c r="E1928" s="1" t="n">
        <v>46321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38981-2025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45888</v>
      </c>
      <c r="E1929" s="1" t="n">
        <v>46321</v>
      </c>
      <c r="F1929" t="inlineStr">
        <is>
          <t>VÄSTERNORRLANDS LÄN</t>
        </is>
      </c>
      <c r="G1929" t="inlineStr">
        <is>
          <t>ÖRNSKÖLDSVIK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42364-2026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46307</v>
      </c>
      <c r="E1930" s="1" t="n">
        <v>46321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4.9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42419-2026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46308</v>
      </c>
      <c r="E1931" s="1" t="n">
        <v>46321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35618-2024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45531</v>
      </c>
      <c r="E1932" s="1" t="n">
        <v>46321</v>
      </c>
      <c r="F1932" t="inlineStr">
        <is>
          <t>VÄSTERNORRLANDS LÄN</t>
        </is>
      </c>
      <c r="G1932" t="inlineStr">
        <is>
          <t>ÖRNSKÖLDSVIK</t>
        </is>
      </c>
      <c r="I1932" t="n">
        <v>13.1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27468-2023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45097</v>
      </c>
      <c r="E1933" s="1" t="n">
        <v>46321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2.1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42528-2026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46308</v>
      </c>
      <c r="E1934" s="1" t="n">
        <v>46321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Kommuner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42292-2026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46307</v>
      </c>
      <c r="E1935" s="1" t="n">
        <v>46321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1.9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42293-2026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46307</v>
      </c>
      <c r="E1936" s="1" t="n">
        <v>46321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1.1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42441-2026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46308</v>
      </c>
      <c r="E1937" s="1" t="n">
        <v>46321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3.8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48441-2023</t>
        </is>
      </c>
      <c r="B1938" t="inlineStr">
        <is>
          <t>avverkningsanmälan</t>
        </is>
      </c>
      <c r="C1938" t="inlineStr">
        <is>
          <t>Avverkning för annat ändamål</t>
        </is>
      </c>
      <c r="D1938" s="1" t="n">
        <v>45205</v>
      </c>
      <c r="E1938" s="1" t="n">
        <v>46321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SCA</t>
        </is>
      </c>
      <c r="I1938" t="n">
        <v>7.7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48529-2023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45208</v>
      </c>
      <c r="E1939" s="1" t="n">
        <v>46321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11984-2022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44635</v>
      </c>
      <c r="E1940" s="1" t="n">
        <v>46321</v>
      </c>
      <c r="F1940" t="inlineStr">
        <is>
          <t>VÄSTERNORRLANDS LÄN</t>
        </is>
      </c>
      <c r="G1940" t="inlineStr">
        <is>
          <t>ÖRNSKÖLDSVIK</t>
        </is>
      </c>
      <c r="I1940" t="n">
        <v>1.2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42458-2026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46308</v>
      </c>
      <c r="E1941" s="1" t="n">
        <v>46321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3.4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60647-2024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45644</v>
      </c>
      <c r="E1942" s="1" t="n">
        <v>46321</v>
      </c>
      <c r="F1942" t="inlineStr">
        <is>
          <t>VÄSTERNORRLANDS LÄN</t>
        </is>
      </c>
      <c r="G1942" t="inlineStr">
        <is>
          <t>ÖRNSKÖLDSVIK</t>
        </is>
      </c>
      <c r="I1942" t="n">
        <v>6.9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35784-2026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46265</v>
      </c>
      <c r="E1943" s="1" t="n">
        <v>46321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2.1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30460-2024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45491</v>
      </c>
      <c r="E1944" s="1" t="n">
        <v>46321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SCA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42398-2026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46307</v>
      </c>
      <c r="E1945" s="1" t="n">
        <v>46321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3.1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42432-2026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46308</v>
      </c>
      <c r="E1946" s="1" t="n">
        <v>46321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42451-2026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46308</v>
      </c>
      <c r="E1947" s="1" t="n">
        <v>46321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2.6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15196-2024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45400</v>
      </c>
      <c r="E1948" s="1" t="n">
        <v>46321</v>
      </c>
      <c r="F1948" t="inlineStr">
        <is>
          <t>VÄSTERNORRLANDS LÄN</t>
        </is>
      </c>
      <c r="G1948" t="inlineStr">
        <is>
          <t>ÖRNSKÖLDSVIK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42698-2026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46309</v>
      </c>
      <c r="E1949" s="1" t="n">
        <v>46321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30894-2024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45498</v>
      </c>
      <c r="E1950" s="1" t="n">
        <v>46321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55937-2022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44889</v>
      </c>
      <c r="E1951" s="1" t="n">
        <v>46321</v>
      </c>
      <c r="F1951" t="inlineStr">
        <is>
          <t>VÄSTERNORRLANDS LÄN</t>
        </is>
      </c>
      <c r="G1951" t="inlineStr">
        <is>
          <t>ÖRNSKÖLDSVIK</t>
        </is>
      </c>
      <c r="I1951" t="n">
        <v>2.5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42609-2026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46309</v>
      </c>
      <c r="E1952" s="1" t="n">
        <v>46321</v>
      </c>
      <c r="F1952" t="inlineStr">
        <is>
          <t>VÄSTERNORRLANDS LÄN</t>
        </is>
      </c>
      <c r="G1952" t="inlineStr">
        <is>
          <t>ÖRNSKÖLDSVIK</t>
        </is>
      </c>
      <c r="I1952" t="n">
        <v>0.5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42764-2026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46309</v>
      </c>
      <c r="E1953" s="1" t="n">
        <v>46321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36028-2026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46267</v>
      </c>
      <c r="E1954" s="1" t="n">
        <v>46321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0.5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42620-2026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46309</v>
      </c>
      <c r="E1955" s="1" t="n">
        <v>46321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5.5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35991-2026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46266</v>
      </c>
      <c r="E1956" s="1" t="n">
        <v>46321</v>
      </c>
      <c r="F1956" t="inlineStr">
        <is>
          <t>VÄSTERNORRLANDS LÄN</t>
        </is>
      </c>
      <c r="G1956" t="inlineStr">
        <is>
          <t>ÖRNSKÖLDSVIK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42663-2026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46308</v>
      </c>
      <c r="E1957" s="1" t="n">
        <v>46321</v>
      </c>
      <c r="F1957" t="inlineStr">
        <is>
          <t>VÄSTERNORRLANDS LÄN</t>
        </is>
      </c>
      <c r="G1957" t="inlineStr">
        <is>
          <t>ÖRNSKÖLDSVIK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69820-2021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44532</v>
      </c>
      <c r="E1958" s="1" t="n">
        <v>46321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11.5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35958-2026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46266</v>
      </c>
      <c r="E1959" s="1" t="n">
        <v>46321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4.9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42706-2026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46309</v>
      </c>
      <c r="E1960" s="1" t="n">
        <v>46321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2.4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42707-2026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46309</v>
      </c>
      <c r="E1961" s="1" t="n">
        <v>46321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1.4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42805-2026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46309</v>
      </c>
      <c r="E1962" s="1" t="n">
        <v>46321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4050-2022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44588</v>
      </c>
      <c r="E1963" s="1" t="n">
        <v>46321</v>
      </c>
      <c r="F1963" t="inlineStr">
        <is>
          <t>VÄSTERNORRLANDS LÄN</t>
        </is>
      </c>
      <c r="G1963" t="inlineStr">
        <is>
          <t>ÖRNSKÖLDSVIK</t>
        </is>
      </c>
      <c r="I1963" t="n">
        <v>1.9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42897-2026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46310</v>
      </c>
      <c r="E1964" s="1" t="n">
        <v>46321</v>
      </c>
      <c r="F1964" t="inlineStr">
        <is>
          <t>VÄSTERNORRLANDS LÄN</t>
        </is>
      </c>
      <c r="G1964" t="inlineStr">
        <is>
          <t>ÖRNSKÖLDSVIK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42928-2026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46310</v>
      </c>
      <c r="E1965" s="1" t="n">
        <v>46321</v>
      </c>
      <c r="F1965" t="inlineStr">
        <is>
          <t>VÄSTERNORRLANDS LÄN</t>
        </is>
      </c>
      <c r="G1965" t="inlineStr">
        <is>
          <t>ÖRNSKÖLDSVIK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36199-2026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46267</v>
      </c>
      <c r="E1966" s="1" t="n">
        <v>46321</v>
      </c>
      <c r="F1966" t="inlineStr">
        <is>
          <t>VÄSTERNORRLANDS LÄN</t>
        </is>
      </c>
      <c r="G1966" t="inlineStr">
        <is>
          <t>ÖRNSKÖLDSVIK</t>
        </is>
      </c>
      <c r="I1966" t="n">
        <v>8.9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36202-2026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46267</v>
      </c>
      <c r="E1967" s="1" t="n">
        <v>46321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36192-2026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46267</v>
      </c>
      <c r="E1968" s="1" t="n">
        <v>46321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8.9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42694-2026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46309</v>
      </c>
      <c r="E1969" s="1" t="n">
        <v>46321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5.7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42757-2026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46309</v>
      </c>
      <c r="E1970" s="1" t="n">
        <v>46321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5.5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35894-2026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46266</v>
      </c>
      <c r="E1971" s="1" t="n">
        <v>46321</v>
      </c>
      <c r="F1971" t="inlineStr">
        <is>
          <t>VÄSTERNORRLANDS LÄN</t>
        </is>
      </c>
      <c r="G1971" t="inlineStr">
        <is>
          <t>ÖRNSKÖLDSVIK</t>
        </is>
      </c>
      <c r="I1971" t="n">
        <v>6.2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2809-2026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46038</v>
      </c>
      <c r="E1972" s="1" t="n">
        <v>46321</v>
      </c>
      <c r="F1972" t="inlineStr">
        <is>
          <t>VÄSTERNORRLANDS LÄN</t>
        </is>
      </c>
      <c r="G1972" t="inlineStr">
        <is>
          <t>ÖRNSKÖLDSVIK</t>
        </is>
      </c>
      <c r="I1972" t="n">
        <v>1.4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42795-2026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46309</v>
      </c>
      <c r="E1973" s="1" t="n">
        <v>46321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3.2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35913-2026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46266</v>
      </c>
      <c r="E1974" s="1" t="n">
        <v>46321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6.6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5637-2023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44960</v>
      </c>
      <c r="E1975" s="1" t="n">
        <v>46321</v>
      </c>
      <c r="F1975" t="inlineStr">
        <is>
          <t>VÄSTERNORRLANDS LÄN</t>
        </is>
      </c>
      <c r="G1975" t="inlineStr">
        <is>
          <t>ÖRNSKÖLDSVIK</t>
        </is>
      </c>
      <c r="I1975" t="n">
        <v>1.1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36154-2026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46267</v>
      </c>
      <c r="E1976" s="1" t="n">
        <v>46321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3.6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35907-2026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46266</v>
      </c>
      <c r="E1977" s="1" t="n">
        <v>46321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4.5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40990-2025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45898</v>
      </c>
      <c r="E1978" s="1" t="n">
        <v>46321</v>
      </c>
      <c r="F1978" t="inlineStr">
        <is>
          <t>VÄSTERNORRLANDS LÄN</t>
        </is>
      </c>
      <c r="G1978" t="inlineStr">
        <is>
          <t>ÖRNSKÖLDSVIK</t>
        </is>
      </c>
      <c r="I1978" t="n">
        <v>1.5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35939-2026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46266</v>
      </c>
      <c r="E1979" s="1" t="n">
        <v>46321</v>
      </c>
      <c r="F1979" t="inlineStr">
        <is>
          <t>VÄSTERNORRLANDS LÄN</t>
        </is>
      </c>
      <c r="G1979" t="inlineStr">
        <is>
          <t>ÖRNSKÖLDSVIK</t>
        </is>
      </c>
      <c r="I1979" t="n">
        <v>25.5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36203-2026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46267</v>
      </c>
      <c r="E1980" s="1" t="n">
        <v>46321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0.7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54841-2024</t>
        </is>
      </c>
      <c r="B1981" t="inlineStr">
        <is>
          <t>avverkningsanmälan</t>
        </is>
      </c>
      <c r="C1981" t="inlineStr">
        <is>
          <t>Avverkning för annat ändamål</t>
        </is>
      </c>
      <c r="D1981" s="1" t="n">
        <v>45618</v>
      </c>
      <c r="E1981" s="1" t="n">
        <v>46321</v>
      </c>
      <c r="F1981" t="inlineStr">
        <is>
          <t>VÄSTERNORRLANDS LÄN</t>
        </is>
      </c>
      <c r="G1981" t="inlineStr">
        <is>
          <t>ÖRNSKÖLDSVIK</t>
        </is>
      </c>
      <c r="I1981" t="n">
        <v>2.8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36051-2026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46267</v>
      </c>
      <c r="E1982" s="1" t="n">
        <v>46321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4.2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54622-2024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45617</v>
      </c>
      <c r="E1983" s="1" t="n">
        <v>46321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1790-2025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45670</v>
      </c>
      <c r="E1984" s="1" t="n">
        <v>46321</v>
      </c>
      <c r="F1984" t="inlineStr">
        <is>
          <t>VÄSTERNORRLANDS LÄN</t>
        </is>
      </c>
      <c r="G1984" t="inlineStr">
        <is>
          <t>ÖRNSKÖLDSVIK</t>
        </is>
      </c>
      <c r="I1984" t="n">
        <v>8.1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40172-2024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45554</v>
      </c>
      <c r="E1985" s="1" t="n">
        <v>46321</v>
      </c>
      <c r="F1985" t="inlineStr">
        <is>
          <t>VÄSTERNORRLANDS LÄN</t>
        </is>
      </c>
      <c r="G1985" t="inlineStr">
        <is>
          <t>ÖRNSKÖLDSVIK</t>
        </is>
      </c>
      <c r="I1985" t="n">
        <v>6.1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35903-2026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46266</v>
      </c>
      <c r="E1986" s="1" t="n">
        <v>46321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42649-2026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46309</v>
      </c>
      <c r="E1987" s="1" t="n">
        <v>46321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5.4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42655-2026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46309</v>
      </c>
      <c r="E1988" s="1" t="n">
        <v>46321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4.7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36207-2026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46267</v>
      </c>
      <c r="E1989" s="1" t="n">
        <v>46321</v>
      </c>
      <c r="F1989" t="inlineStr">
        <is>
          <t>VÄSTERNORRLANDS LÄN</t>
        </is>
      </c>
      <c r="G1989" t="inlineStr">
        <is>
          <t>ÖRNSKÖLDSVIK</t>
        </is>
      </c>
      <c r="I1989" t="n">
        <v>3.8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34406-2024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45525</v>
      </c>
      <c r="E1990" s="1" t="n">
        <v>46321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3.7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35858-2026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46266</v>
      </c>
      <c r="E1991" s="1" t="n">
        <v>46321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36166-2026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46267</v>
      </c>
      <c r="E1992" s="1" t="n">
        <v>46321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9.199999999999999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36477-2026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46269</v>
      </c>
      <c r="E1993" s="1" t="n">
        <v>46321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9.300000000000001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43038-2026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46311</v>
      </c>
      <c r="E1994" s="1" t="n">
        <v>46321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2.4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42522-2023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45181</v>
      </c>
      <c r="E1995" s="1" t="n">
        <v>46321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39379-2024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45551</v>
      </c>
      <c r="E1996" s="1" t="n">
        <v>46321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36536-2026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46269</v>
      </c>
      <c r="E1997" s="1" t="n">
        <v>46321</v>
      </c>
      <c r="F1997" t="inlineStr">
        <is>
          <t>VÄSTERNORRLANDS LÄN</t>
        </is>
      </c>
      <c r="G1997" t="inlineStr">
        <is>
          <t>ÖRNSKÖLDSVIK</t>
        </is>
      </c>
      <c r="I1997" t="n">
        <v>3.5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36545-2026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46269</v>
      </c>
      <c r="E1998" s="1" t="n">
        <v>46321</v>
      </c>
      <c r="F1998" t="inlineStr">
        <is>
          <t>VÄSTERNORRLANDS LÄN</t>
        </is>
      </c>
      <c r="G1998" t="inlineStr">
        <is>
          <t>ÖRNSKÖLDSVIK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36553-2026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46269</v>
      </c>
      <c r="E1999" s="1" t="n">
        <v>46321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21890-2023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45068</v>
      </c>
      <c r="E2000" s="1" t="n">
        <v>46321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Kyrkan</t>
        </is>
      </c>
      <c r="I2000" t="n">
        <v>1.5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36373-2026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46268</v>
      </c>
      <c r="E2001" s="1" t="n">
        <v>46321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11051-2023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44991</v>
      </c>
      <c r="E2002" s="1" t="n">
        <v>46321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SCA</t>
        </is>
      </c>
      <c r="I2002" t="n">
        <v>2.7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43034-2026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46311</v>
      </c>
      <c r="E2003" s="1" t="n">
        <v>46321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52467-2022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44874</v>
      </c>
      <c r="E2004" s="1" t="n">
        <v>46321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4.5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43064-2026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46311</v>
      </c>
      <c r="E2005" s="1" t="n">
        <v>46321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8.1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43132-2026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46311</v>
      </c>
      <c r="E2006" s="1" t="n">
        <v>46321</v>
      </c>
      <c r="F2006" t="inlineStr">
        <is>
          <t>VÄSTERNORRLANDS LÄN</t>
        </is>
      </c>
      <c r="G2006" t="inlineStr">
        <is>
          <t>ÖRNSKÖLDSVIK</t>
        </is>
      </c>
      <c r="I2006" t="n">
        <v>2.5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43019-2026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46311</v>
      </c>
      <c r="E2007" s="1" t="n">
        <v>46321</v>
      </c>
      <c r="F2007" t="inlineStr">
        <is>
          <t>VÄSTERNORRLANDS LÄN</t>
        </is>
      </c>
      <c r="G2007" t="inlineStr">
        <is>
          <t>ÖRNSKÖLDSVIK</t>
        </is>
      </c>
      <c r="I2007" t="n">
        <v>2.2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43025-2026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46311</v>
      </c>
      <c r="E2008" s="1" t="n">
        <v>46321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36524-2026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46269</v>
      </c>
      <c r="E2009" s="1" t="n">
        <v>46321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1.6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44961-2025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45918</v>
      </c>
      <c r="E2010" s="1" t="n">
        <v>46321</v>
      </c>
      <c r="F2010" t="inlineStr">
        <is>
          <t>VÄSTERNORRLANDS LÄN</t>
        </is>
      </c>
      <c r="G2010" t="inlineStr">
        <is>
          <t>ÖRNSKÖLDSVIK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18465-2025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45762</v>
      </c>
      <c r="E2011" s="1" t="n">
        <v>46321</v>
      </c>
      <c r="F2011" t="inlineStr">
        <is>
          <t>VÄSTERNORRLANDS LÄN</t>
        </is>
      </c>
      <c r="G2011" t="inlineStr">
        <is>
          <t>ÖRNSKÖLDSVIK</t>
        </is>
      </c>
      <c r="I2011" t="n">
        <v>6.2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36484-2026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46269</v>
      </c>
      <c r="E2012" s="1" t="n">
        <v>46321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2.7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43008-2026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46311</v>
      </c>
      <c r="E2013" s="1" t="n">
        <v>46321</v>
      </c>
      <c r="F2013" t="inlineStr">
        <is>
          <t>VÄSTERNORRLANDS LÄN</t>
        </is>
      </c>
      <c r="G2013" t="inlineStr">
        <is>
          <t>ÖRNSKÖLDSVIK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43013-2026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46311</v>
      </c>
      <c r="E2014" s="1" t="n">
        <v>46321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1.8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43211-2026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46314</v>
      </c>
      <c r="E2015" s="1" t="n">
        <v>46321</v>
      </c>
      <c r="F2015" t="inlineStr">
        <is>
          <t>VÄSTERNORRLANDS LÄN</t>
        </is>
      </c>
      <c r="G2015" t="inlineStr">
        <is>
          <t>ÖRNSKÖLDSVIK</t>
        </is>
      </c>
      <c r="I2015" t="n">
        <v>0.6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43222-2026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46314</v>
      </c>
      <c r="E2016" s="1" t="n">
        <v>46321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43017-2026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46311</v>
      </c>
      <c r="E2017" s="1" t="n">
        <v>46321</v>
      </c>
      <c r="F2017" t="inlineStr">
        <is>
          <t>VÄSTERNORRLANDS LÄN</t>
        </is>
      </c>
      <c r="G2017" t="inlineStr">
        <is>
          <t>ÖRNSKÖLDSVIK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43415-2026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46314</v>
      </c>
      <c r="E2018" s="1" t="n">
        <v>46321</v>
      </c>
      <c r="F2018" t="inlineStr">
        <is>
          <t>VÄSTERNORRLANDS LÄN</t>
        </is>
      </c>
      <c r="G2018" t="inlineStr">
        <is>
          <t>ÖRNSKÖLDSVIK</t>
        </is>
      </c>
      <c r="I2018" t="n">
        <v>0.7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43426-2026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46310</v>
      </c>
      <c r="E2019" s="1" t="n">
        <v>46321</v>
      </c>
      <c r="F2019" t="inlineStr">
        <is>
          <t>VÄSTERNORRLANDS LÄN</t>
        </is>
      </c>
      <c r="G2019" t="inlineStr">
        <is>
          <t>ÖRNSKÖLDSVIK</t>
        </is>
      </c>
      <c r="I2019" t="n">
        <v>0.8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37871-2024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45544</v>
      </c>
      <c r="E2020" s="1" t="n">
        <v>46321</v>
      </c>
      <c r="F2020" t="inlineStr">
        <is>
          <t>VÄSTERNORRLANDS LÄN</t>
        </is>
      </c>
      <c r="G2020" t="inlineStr">
        <is>
          <t>ÖRNSKÖLDSVIK</t>
        </is>
      </c>
      <c r="I2020" t="n">
        <v>2.5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38750-2024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45547</v>
      </c>
      <c r="E2021" s="1" t="n">
        <v>46321</v>
      </c>
      <c r="F2021" t="inlineStr">
        <is>
          <t>VÄSTERNORRLANDS LÄN</t>
        </is>
      </c>
      <c r="G2021" t="inlineStr">
        <is>
          <t>ÖRNSKÖLDSVIK</t>
        </is>
      </c>
      <c r="I2021" t="n">
        <v>1.6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38753-2024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45547</v>
      </c>
      <c r="E2022" s="1" t="n">
        <v>46321</v>
      </c>
      <c r="F2022" t="inlineStr">
        <is>
          <t>VÄSTERNORRLANDS LÄN</t>
        </is>
      </c>
      <c r="G2022" t="inlineStr">
        <is>
          <t>ÖRNSKÖLDSVIK</t>
        </is>
      </c>
      <c r="I2022" t="n">
        <v>0.3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20325-2026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46139</v>
      </c>
      <c r="E2023" s="1" t="n">
        <v>46321</v>
      </c>
      <c r="F2023" t="inlineStr">
        <is>
          <t>VÄSTERNORRLANDS LÄN</t>
        </is>
      </c>
      <c r="G2023" t="inlineStr">
        <is>
          <t>ÖRNSKÖLDSVIK</t>
        </is>
      </c>
      <c r="I2023" t="n">
        <v>3.5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36539-2026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46269</v>
      </c>
      <c r="E2024" s="1" t="n">
        <v>46321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2.6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43263-2026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46314</v>
      </c>
      <c r="E2025" s="1" t="n">
        <v>46321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2.2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35956-2026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46266</v>
      </c>
      <c r="E2026" s="1" t="n">
        <v>46321</v>
      </c>
      <c r="F2026" t="inlineStr">
        <is>
          <t>VÄSTERNORRLANDS LÄN</t>
        </is>
      </c>
      <c r="G2026" t="inlineStr">
        <is>
          <t>ÖRNSKÖLDSVIK</t>
        </is>
      </c>
      <c r="I2026" t="n">
        <v>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36044-2026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46267</v>
      </c>
      <c r="E2027" s="1" t="n">
        <v>46321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36429-2026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46269</v>
      </c>
      <c r="E2028" s="1" t="n">
        <v>46321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12.4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26066-2025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45805</v>
      </c>
      <c r="E2029" s="1" t="n">
        <v>46321</v>
      </c>
      <c r="F2029" t="inlineStr">
        <is>
          <t>VÄSTERNORRLANDS LÄN</t>
        </is>
      </c>
      <c r="G2029" t="inlineStr">
        <is>
          <t>ÖRNSKÖLDSVIK</t>
        </is>
      </c>
      <c r="I2029" t="n">
        <v>4.1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36466-2026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46269</v>
      </c>
      <c r="E2030" s="1" t="n">
        <v>46321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3.4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43274-2026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46314</v>
      </c>
      <c r="E2031" s="1" t="n">
        <v>46321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11.4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33233-2023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45114</v>
      </c>
      <c r="E2032" s="1" t="n">
        <v>46321</v>
      </c>
      <c r="F2032" t="inlineStr">
        <is>
          <t>VÄSTERNORRLANDS LÄN</t>
        </is>
      </c>
      <c r="G2032" t="inlineStr">
        <is>
          <t>ÖRNSKÖLDSVIK</t>
        </is>
      </c>
      <c r="I2032" t="n">
        <v>0.7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43203-2026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46314</v>
      </c>
      <c r="E2033" s="1" t="n">
        <v>46321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60600-2024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45644</v>
      </c>
      <c r="E2034" s="1" t="n">
        <v>46321</v>
      </c>
      <c r="F2034" t="inlineStr">
        <is>
          <t>VÄSTERNORRLANDS LÄN</t>
        </is>
      </c>
      <c r="G2034" t="inlineStr">
        <is>
          <t>ÖRNSKÖLDSVIK</t>
        </is>
      </c>
      <c r="I2034" t="n">
        <v>1.4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14298-2025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45740</v>
      </c>
      <c r="E2035" s="1" t="n">
        <v>46321</v>
      </c>
      <c r="F2035" t="inlineStr">
        <is>
          <t>VÄSTERNORRLANDS LÄN</t>
        </is>
      </c>
      <c r="G2035" t="inlineStr">
        <is>
          <t>ÖRNSKÖLDSVIK</t>
        </is>
      </c>
      <c r="I2035" t="n">
        <v>0.6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36444-2026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46269</v>
      </c>
      <c r="E2036" s="1" t="n">
        <v>46321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0.5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46519-2023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45197</v>
      </c>
      <c r="E2037" s="1" t="n">
        <v>46321</v>
      </c>
      <c r="F2037" t="inlineStr">
        <is>
          <t>VÄSTERNORRLANDS LÄN</t>
        </is>
      </c>
      <c r="G2037" t="inlineStr">
        <is>
          <t>ÖRNSKÖLDSVIK</t>
        </is>
      </c>
      <c r="I2037" t="n">
        <v>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43100-2023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45182</v>
      </c>
      <c r="E2038" s="1" t="n">
        <v>46321</v>
      </c>
      <c r="F2038" t="inlineStr">
        <is>
          <t>VÄSTERNORRLANDS LÄN</t>
        </is>
      </c>
      <c r="G2038" t="inlineStr">
        <is>
          <t>ÖRNSKÖLDSVIK</t>
        </is>
      </c>
      <c r="I2038" t="n">
        <v>12.9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26865-2025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45810</v>
      </c>
      <c r="E2039" s="1" t="n">
        <v>46321</v>
      </c>
      <c r="F2039" t="inlineStr">
        <is>
          <t>VÄSTERNORRLANDS LÄN</t>
        </is>
      </c>
      <c r="G2039" t="inlineStr">
        <is>
          <t>ÖRNSKÖLDSVIK</t>
        </is>
      </c>
      <c r="I2039" t="n">
        <v>4.1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20378-2026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46139</v>
      </c>
      <c r="E2040" s="1" t="n">
        <v>46321</v>
      </c>
      <c r="F2040" t="inlineStr">
        <is>
          <t>VÄSTERNORRLANDS LÄN</t>
        </is>
      </c>
      <c r="G2040" t="inlineStr">
        <is>
          <t>ÖRNSKÖLDSVIK</t>
        </is>
      </c>
      <c r="I2040" t="n">
        <v>4.4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20380-2026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46139</v>
      </c>
      <c r="E2041" s="1" t="n">
        <v>46321</v>
      </c>
      <c r="F2041" t="inlineStr">
        <is>
          <t>VÄSTERNORRLANDS LÄN</t>
        </is>
      </c>
      <c r="G2041" t="inlineStr">
        <is>
          <t>ÖRNSKÖLDSVIK</t>
        </is>
      </c>
      <c r="I2041" t="n">
        <v>0.6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20386-2026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46139</v>
      </c>
      <c r="E2042" s="1" t="n">
        <v>46321</v>
      </c>
      <c r="F2042" t="inlineStr">
        <is>
          <t>VÄSTERNORRLANDS LÄN</t>
        </is>
      </c>
      <c r="G2042" t="inlineStr">
        <is>
          <t>ÖRNSKÖLDSVIK</t>
        </is>
      </c>
      <c r="I2042" t="n">
        <v>2.7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43325-2026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46314</v>
      </c>
      <c r="E2043" s="1" t="n">
        <v>46321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46215-2024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45581</v>
      </c>
      <c r="E2044" s="1" t="n">
        <v>46321</v>
      </c>
      <c r="F2044" t="inlineStr">
        <is>
          <t>VÄSTERNORRLANDS LÄN</t>
        </is>
      </c>
      <c r="G2044" t="inlineStr">
        <is>
          <t>ÖRNSKÖLDSVIK</t>
        </is>
      </c>
      <c r="I2044" t="n">
        <v>0.5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55670-2024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45622</v>
      </c>
      <c r="E2045" s="1" t="n">
        <v>46321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43044-2026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46311</v>
      </c>
      <c r="E2046" s="1" t="n">
        <v>46321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43177-2026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46312</v>
      </c>
      <c r="E2047" s="1" t="n">
        <v>46321</v>
      </c>
      <c r="F2047" t="inlineStr">
        <is>
          <t>VÄSTERNORRLANDS LÄN</t>
        </is>
      </c>
      <c r="G2047" t="inlineStr">
        <is>
          <t>ÖRNSKÖLDSVIK</t>
        </is>
      </c>
      <c r="I2047" t="n">
        <v>2.8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36450-2026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46269</v>
      </c>
      <c r="E2048" s="1" t="n">
        <v>46321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36481-2026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46269</v>
      </c>
      <c r="E2049" s="1" t="n">
        <v>46321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36527-2026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46269</v>
      </c>
      <c r="E2050" s="1" t="n">
        <v>46321</v>
      </c>
      <c r="F2050" t="inlineStr">
        <is>
          <t>VÄSTERNORRLANDS LÄN</t>
        </is>
      </c>
      <c r="G2050" t="inlineStr">
        <is>
          <t>ÖRNSKÖLDSVIK</t>
        </is>
      </c>
      <c r="I2050" t="n">
        <v>1.5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20925-2026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46142</v>
      </c>
      <c r="E2051" s="1" t="n">
        <v>46321</v>
      </c>
      <c r="F2051" t="inlineStr">
        <is>
          <t>VÄSTERNORRLANDS LÄN</t>
        </is>
      </c>
      <c r="G2051" t="inlineStr">
        <is>
          <t>ÖRNSKÖLDSVIK</t>
        </is>
      </c>
      <c r="I2051" t="n">
        <v>1.5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36382-2026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46268</v>
      </c>
      <c r="E2052" s="1" t="n">
        <v>46321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3.2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36304-2026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46268</v>
      </c>
      <c r="E2053" s="1" t="n">
        <v>46321</v>
      </c>
      <c r="F2053" t="inlineStr">
        <is>
          <t>VÄSTERNORRLANDS LÄN</t>
        </is>
      </c>
      <c r="G2053" t="inlineStr">
        <is>
          <t>ÖRNSKÖLDSVIK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61342-2023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45264</v>
      </c>
      <c r="E2054" s="1" t="n">
        <v>46321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Övriga Aktiebolag</t>
        </is>
      </c>
      <c r="I2054" t="n">
        <v>4.9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31410-2024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45505</v>
      </c>
      <c r="E2055" s="1" t="n">
        <v>46321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0.7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32515-2024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45513</v>
      </c>
      <c r="E2056" s="1" t="n">
        <v>46321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1.8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56584-2023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45238</v>
      </c>
      <c r="E2057" s="1" t="n">
        <v>46321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Kyrkan</t>
        </is>
      </c>
      <c r="I2057" t="n">
        <v>7.8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57505-2022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44896</v>
      </c>
      <c r="E2058" s="1" t="n">
        <v>46321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36797-2026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46272</v>
      </c>
      <c r="E2059" s="1" t="n">
        <v>46321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2.4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37055-2026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46273</v>
      </c>
      <c r="E2060" s="1" t="n">
        <v>46321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4.9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37160-2026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46274</v>
      </c>
      <c r="E2061" s="1" t="n">
        <v>46321</v>
      </c>
      <c r="F2061" t="inlineStr">
        <is>
          <t>VÄSTERNORRLANDS LÄN</t>
        </is>
      </c>
      <c r="G2061" t="inlineStr">
        <is>
          <t>ÖRNSKÖLDSVIK</t>
        </is>
      </c>
      <c r="I2061" t="n">
        <v>3.1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20347-2026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46139</v>
      </c>
      <c r="E2062" s="1" t="n">
        <v>46321</v>
      </c>
      <c r="F2062" t="inlineStr">
        <is>
          <t>VÄSTERNORRLANDS LÄN</t>
        </is>
      </c>
      <c r="G2062" t="inlineStr">
        <is>
          <t>ÖRNSKÖLDSVIK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18198-2023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45041</v>
      </c>
      <c r="E2063" s="1" t="n">
        <v>46321</v>
      </c>
      <c r="F2063" t="inlineStr">
        <is>
          <t>VÄSTERNORRLANDS LÄN</t>
        </is>
      </c>
      <c r="G2063" t="inlineStr">
        <is>
          <t>ÖRNSKÖLDSVIK</t>
        </is>
      </c>
      <c r="I2063" t="n">
        <v>1.1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18203-2023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45041</v>
      </c>
      <c r="E2064" s="1" t="n">
        <v>46321</v>
      </c>
      <c r="F2064" t="inlineStr">
        <is>
          <t>VÄSTERNORRLANDS LÄN</t>
        </is>
      </c>
      <c r="G2064" t="inlineStr">
        <is>
          <t>ÖRNSKÖLDSVIK</t>
        </is>
      </c>
      <c r="I2064" t="n">
        <v>2.5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36315-2026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46268</v>
      </c>
      <c r="E2065" s="1" t="n">
        <v>46321</v>
      </c>
      <c r="F2065" t="inlineStr">
        <is>
          <t>VÄSTERNORRLANDS LÄN</t>
        </is>
      </c>
      <c r="G2065" t="inlineStr">
        <is>
          <t>ÖRNSKÖLDSVIK</t>
        </is>
      </c>
      <c r="I2065" t="n">
        <v>0.6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37063-2026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46273</v>
      </c>
      <c r="E2066" s="1" t="n">
        <v>46321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45772-2025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45923</v>
      </c>
      <c r="E2067" s="1" t="n">
        <v>46321</v>
      </c>
      <c r="F2067" t="inlineStr">
        <is>
          <t>VÄSTERNORRLANDS LÄN</t>
        </is>
      </c>
      <c r="G2067" t="inlineStr">
        <is>
          <t>ÖRNSKÖLDSVIK</t>
        </is>
      </c>
      <c r="I2067" t="n">
        <v>4.3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18178-2024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45420</v>
      </c>
      <c r="E2068" s="1" t="n">
        <v>46321</v>
      </c>
      <c r="F2068" t="inlineStr">
        <is>
          <t>VÄSTERNORRLANDS LÄN</t>
        </is>
      </c>
      <c r="G2068" t="inlineStr">
        <is>
          <t>ÖRNSKÖLDSVIK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60938-2025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45996</v>
      </c>
      <c r="E2069" s="1" t="n">
        <v>46321</v>
      </c>
      <c r="F2069" t="inlineStr">
        <is>
          <t>VÄSTERNORRLANDS LÄN</t>
        </is>
      </c>
      <c r="G2069" t="inlineStr">
        <is>
          <t>ÖRNSKÖLDSVIK</t>
        </is>
      </c>
      <c r="I2069" t="n">
        <v>2.5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36778-2026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46272</v>
      </c>
      <c r="E2070" s="1" t="n">
        <v>46321</v>
      </c>
      <c r="F2070" t="inlineStr">
        <is>
          <t>VÄSTERNORRLANDS LÄN</t>
        </is>
      </c>
      <c r="G2070" t="inlineStr">
        <is>
          <t>ÖRNSKÖLDSVIK</t>
        </is>
      </c>
      <c r="I2070" t="n">
        <v>2.1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4808-2025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45688</v>
      </c>
      <c r="E2071" s="1" t="n">
        <v>46321</v>
      </c>
      <c r="F2071" t="inlineStr">
        <is>
          <t>VÄSTERNORRLANDS LÄN</t>
        </is>
      </c>
      <c r="G2071" t="inlineStr">
        <is>
          <t>ÖRNSKÖLDSVIK</t>
        </is>
      </c>
      <c r="I2071" t="n">
        <v>1.1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42512-2024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45565</v>
      </c>
      <c r="E2072" s="1" t="n">
        <v>46321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2.8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36787-2026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46272</v>
      </c>
      <c r="E2073" s="1" t="n">
        <v>46321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1.4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36791-2026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46272</v>
      </c>
      <c r="E2074" s="1" t="n">
        <v>46321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5.8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59393-2024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45637</v>
      </c>
      <c r="E2075" s="1" t="n">
        <v>46321</v>
      </c>
      <c r="F2075" t="inlineStr">
        <is>
          <t>VÄSTERNORRLANDS LÄN</t>
        </is>
      </c>
      <c r="G2075" t="inlineStr">
        <is>
          <t>ÖRNSKÖLDSVIK</t>
        </is>
      </c>
      <c r="I2075" t="n">
        <v>2.5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36874-2026</t>
        </is>
      </c>
      <c r="B2076" t="inlineStr">
        <is>
          <t>avverkningsanmälan</t>
        </is>
      </c>
      <c r="C2076" t="inlineStr">
        <is>
          <t>Avverkning för annat ändamål</t>
        </is>
      </c>
      <c r="D2076" s="1" t="n">
        <v>46273</v>
      </c>
      <c r="E2076" s="1" t="n">
        <v>46321</v>
      </c>
      <c r="F2076" t="inlineStr">
        <is>
          <t>VÄSTERNORRLANDS LÄN</t>
        </is>
      </c>
      <c r="G2076" t="inlineStr">
        <is>
          <t>ÖRNSKÖLDSVIK</t>
        </is>
      </c>
      <c r="I2076" t="n">
        <v>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43592-2026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46315</v>
      </c>
      <c r="E2077" s="1" t="n">
        <v>46321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5.1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7739-2025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45706</v>
      </c>
      <c r="E2078" s="1" t="n">
        <v>46321</v>
      </c>
      <c r="F2078" t="inlineStr">
        <is>
          <t>VÄSTERNORRLANDS LÄN</t>
        </is>
      </c>
      <c r="G2078" t="inlineStr">
        <is>
          <t>ÖRNSKÖLDSVIK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43470-2026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46315</v>
      </c>
      <c r="E2079" s="1" t="n">
        <v>46321</v>
      </c>
      <c r="F2079" t="inlineStr">
        <is>
          <t>VÄSTERNORRLANDS LÄN</t>
        </is>
      </c>
      <c r="G2079" t="inlineStr">
        <is>
          <t>ÖRNSKÖLDSVIK</t>
        </is>
      </c>
      <c r="I2079" t="n">
        <v>1.2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43484-2026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46315</v>
      </c>
      <c r="E2080" s="1" t="n">
        <v>46321</v>
      </c>
      <c r="F2080" t="inlineStr">
        <is>
          <t>VÄSTERNORRLANDS LÄN</t>
        </is>
      </c>
      <c r="G2080" t="inlineStr">
        <is>
          <t>ÖRNSKÖLDSVIK</t>
        </is>
      </c>
      <c r="I2080" t="n">
        <v>1.2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28371-2025</t>
        </is>
      </c>
      <c r="B2081" t="inlineStr">
        <is>
          <t>avverkningsanmälan</t>
        </is>
      </c>
      <c r="C2081" t="inlineStr">
        <is>
          <t>Avverkning för annat ändamål</t>
        </is>
      </c>
      <c r="D2081" s="1" t="n">
        <v>45818</v>
      </c>
      <c r="E2081" s="1" t="n">
        <v>46321</v>
      </c>
      <c r="F2081" t="inlineStr">
        <is>
          <t>VÄSTERNORRLANDS LÄN</t>
        </is>
      </c>
      <c r="G2081" t="inlineStr">
        <is>
          <t>ÖRNSKÖLDSVIK</t>
        </is>
      </c>
      <c r="I2081" t="n">
        <v>1.2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102-2025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45649</v>
      </c>
      <c r="E2082" s="1" t="n">
        <v>46321</v>
      </c>
      <c r="F2082" t="inlineStr">
        <is>
          <t>VÄSTERNORRLANDS LÄN</t>
        </is>
      </c>
      <c r="G2082" t="inlineStr">
        <is>
          <t>ÖRNSKÖLDSVIK</t>
        </is>
      </c>
      <c r="I2082" t="n">
        <v>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42357-2024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45562</v>
      </c>
      <c r="E2083" s="1" t="n">
        <v>46321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39635-2024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45552</v>
      </c>
      <c r="E2084" s="1" t="n">
        <v>46321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SCA</t>
        </is>
      </c>
      <c r="I2084" t="n">
        <v>1.8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60344-2022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44910</v>
      </c>
      <c r="E2085" s="1" t="n">
        <v>46321</v>
      </c>
      <c r="F2085" t="inlineStr">
        <is>
          <t>VÄSTERNORRLANDS LÄN</t>
        </is>
      </c>
      <c r="G2085" t="inlineStr">
        <is>
          <t>ÖRNSKÖLDSVIK</t>
        </is>
      </c>
      <c r="I2085" t="n">
        <v>2.1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1191-2026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46031</v>
      </c>
      <c r="E2086" s="1" t="n">
        <v>46321</v>
      </c>
      <c r="F2086" t="inlineStr">
        <is>
          <t>VÄSTERNORRLANDS LÄN</t>
        </is>
      </c>
      <c r="G2086" t="inlineStr">
        <is>
          <t>ÖRNSKÖLDSVIK</t>
        </is>
      </c>
      <c r="I2086" t="n">
        <v>3.9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43515-2026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46315</v>
      </c>
      <c r="E2087" s="1" t="n">
        <v>46321</v>
      </c>
      <c r="F2087" t="inlineStr">
        <is>
          <t>VÄSTERNORRLANDS LÄN</t>
        </is>
      </c>
      <c r="G2087" t="inlineStr">
        <is>
          <t>ÖRNSKÖLDSVIK</t>
        </is>
      </c>
      <c r="I2087" t="n">
        <v>2.2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44345-2024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45573</v>
      </c>
      <c r="E2088" s="1" t="n">
        <v>46321</v>
      </c>
      <c r="F2088" t="inlineStr">
        <is>
          <t>VÄSTERNORRLANDS LÄN</t>
        </is>
      </c>
      <c r="G2088" t="inlineStr">
        <is>
          <t>ÖRNSKÖLDSVIK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36697-2026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46272</v>
      </c>
      <c r="E2089" s="1" t="n">
        <v>46321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3.7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43464-2026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46315</v>
      </c>
      <c r="E2090" s="1" t="n">
        <v>46321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2.2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43570-2026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46315</v>
      </c>
      <c r="E2091" s="1" t="n">
        <v>46321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43606-2026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46315</v>
      </c>
      <c r="E2092" s="1" t="n">
        <v>46321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43616-2026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46314</v>
      </c>
      <c r="E2093" s="1" t="n">
        <v>46321</v>
      </c>
      <c r="F2093" t="inlineStr">
        <is>
          <t>VÄSTERNORRLANDS LÄN</t>
        </is>
      </c>
      <c r="G2093" t="inlineStr">
        <is>
          <t>ÖRNSKÖLDSVIK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42035-2025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45903</v>
      </c>
      <c r="E2094" s="1" t="n">
        <v>46321</v>
      </c>
      <c r="F2094" t="inlineStr">
        <is>
          <t>VÄSTERNORRLANDS LÄN</t>
        </is>
      </c>
      <c r="G2094" t="inlineStr">
        <is>
          <t>ÖRNSKÖLDSVIK</t>
        </is>
      </c>
      <c r="I2094" t="n">
        <v>6.8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36918-2026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46273</v>
      </c>
      <c r="E2095" s="1" t="n">
        <v>46321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8217-2023</t>
        </is>
      </c>
      <c r="B2096" t="inlineStr">
        <is>
          <t>avverkningsanmälan</t>
        </is>
      </c>
      <c r="C2096" t="inlineStr">
        <is>
          <t>Avverkning för att bevara och utveckla /försöksver</t>
        </is>
      </c>
      <c r="D2096" s="1" t="n">
        <v>44971</v>
      </c>
      <c r="E2096" s="1" t="n">
        <v>46321</v>
      </c>
      <c r="F2096" t="inlineStr">
        <is>
          <t>VÄSTERNORRLANDS LÄN</t>
        </is>
      </c>
      <c r="G2096" t="inlineStr">
        <is>
          <t>ÖRNSKÖLDSVIK</t>
        </is>
      </c>
      <c r="I2096" t="n">
        <v>4.2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42186-2026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46304</v>
      </c>
      <c r="E2097" s="1" t="n">
        <v>46321</v>
      </c>
      <c r="F2097" t="inlineStr">
        <is>
          <t>VÄSTERNORRLANDS LÄN</t>
        </is>
      </c>
      <c r="G2097" t="inlineStr">
        <is>
          <t>ÖRNSKÖLDSVIK</t>
        </is>
      </c>
      <c r="I2097" t="n">
        <v>2.5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42792-2026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46309</v>
      </c>
      <c r="E2098" s="1" t="n">
        <v>46321</v>
      </c>
      <c r="F2098" t="inlineStr">
        <is>
          <t>VÄSTERNORRLANDS LÄN</t>
        </is>
      </c>
      <c r="G2098" t="inlineStr">
        <is>
          <t>ÖRNSKÖLDSVIK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37048-2026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46273</v>
      </c>
      <c r="E2099" s="1" t="n">
        <v>46321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0.5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37049-2026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46273</v>
      </c>
      <c r="E2100" s="1" t="n">
        <v>46321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2.7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43435-2026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46310</v>
      </c>
      <c r="E2101" s="1" t="n">
        <v>46321</v>
      </c>
      <c r="F2101" t="inlineStr">
        <is>
          <t>VÄSTERNORRLANDS LÄN</t>
        </is>
      </c>
      <c r="G2101" t="inlineStr">
        <is>
          <t>ÖRNSKÖLDSVIK</t>
        </is>
      </c>
      <c r="I2101" t="n">
        <v>0.7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45943-2023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45195</v>
      </c>
      <c r="E2102" s="1" t="n">
        <v>46321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SCA</t>
        </is>
      </c>
      <c r="I2102" t="n">
        <v>4.5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43620-2026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46315</v>
      </c>
      <c r="E2103" s="1" t="n">
        <v>46321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45944-2023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45195</v>
      </c>
      <c r="E2104" s="1" t="n">
        <v>46321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SCA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45945-2023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45195</v>
      </c>
      <c r="E2105" s="1" t="n">
        <v>46321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SCA</t>
        </is>
      </c>
      <c r="I2105" t="n">
        <v>4.9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15030-2022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44657</v>
      </c>
      <c r="E2106" s="1" t="n">
        <v>46321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0.5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48215-2025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45933</v>
      </c>
      <c r="E2107" s="1" t="n">
        <v>46321</v>
      </c>
      <c r="F2107" t="inlineStr">
        <is>
          <t>VÄSTERNORRLANDS LÄN</t>
        </is>
      </c>
      <c r="G2107" t="inlineStr">
        <is>
          <t>ÖRNSKÖLDSVIK</t>
        </is>
      </c>
      <c r="I2107" t="n">
        <v>2.9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51783-2024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45607</v>
      </c>
      <c r="E2108" s="1" t="n">
        <v>46321</v>
      </c>
      <c r="F2108" t="inlineStr">
        <is>
          <t>VÄSTERNORRLANDS LÄN</t>
        </is>
      </c>
      <c r="G2108" t="inlineStr">
        <is>
          <t>ÖRNSKÖLDSVIK</t>
        </is>
      </c>
      <c r="I2108" t="n">
        <v>3.6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43549-2026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46311</v>
      </c>
      <c r="E2109" s="1" t="n">
        <v>46321</v>
      </c>
      <c r="F2109" t="inlineStr">
        <is>
          <t>VÄSTERNORRLANDS LÄN</t>
        </is>
      </c>
      <c r="G2109" t="inlineStr">
        <is>
          <t>ÖRNSKÖLDSVIK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36432-2023</t>
        </is>
      </c>
      <c r="B2110" t="inlineStr">
        <is>
          <t>avverkningsanmälan</t>
        </is>
      </c>
      <c r="C2110" t="inlineStr">
        <is>
          <t>Avverkning för annat ändamål</t>
        </is>
      </c>
      <c r="D2110" s="1" t="n">
        <v>45152</v>
      </c>
      <c r="E2110" s="1" t="n">
        <v>46321</v>
      </c>
      <c r="F2110" t="inlineStr">
        <is>
          <t>VÄSTERNORRLANDS LÄN</t>
        </is>
      </c>
      <c r="G2110" t="inlineStr">
        <is>
          <t>ÖRNSKÖLDSVIK</t>
        </is>
      </c>
      <c r="I2110" t="n">
        <v>1.4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20294-2026</t>
        </is>
      </c>
      <c r="B2111" t="inlineStr">
        <is>
          <t>avverkningsanmälan</t>
        </is>
      </c>
      <c r="C2111" t="inlineStr">
        <is>
          <t>Avverkning för att bevara och utveckla /försöksver</t>
        </is>
      </c>
      <c r="D2111" s="1" t="n">
        <v>46139</v>
      </c>
      <c r="E2111" s="1" t="n">
        <v>46321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0.8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37324-2026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46274</v>
      </c>
      <c r="E2112" s="1" t="n">
        <v>46321</v>
      </c>
      <c r="F2112" t="inlineStr">
        <is>
          <t>VÄSTERNORRLANDS LÄN</t>
        </is>
      </c>
      <c r="G2112" t="inlineStr">
        <is>
          <t>ÖRNSKÖLDSVIK</t>
        </is>
      </c>
      <c r="I2112" t="n">
        <v>4.1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37360-2026</t>
        </is>
      </c>
      <c r="B2113" t="inlineStr">
        <is>
          <t>avverkningsanmälan</t>
        </is>
      </c>
      <c r="C2113" t="inlineStr">
        <is>
          <t>Avverkning för annat ändamål</t>
        </is>
      </c>
      <c r="D2113" s="1" t="n">
        <v>46275</v>
      </c>
      <c r="E2113" s="1" t="n">
        <v>46321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108-2025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45649</v>
      </c>
      <c r="E2114" s="1" t="n">
        <v>46321</v>
      </c>
      <c r="F2114" t="inlineStr">
        <is>
          <t>VÄSTERNORRLANDS LÄN</t>
        </is>
      </c>
      <c r="G2114" t="inlineStr">
        <is>
          <t>ÖRNSKÖLDSVIK</t>
        </is>
      </c>
      <c r="I2114" t="n">
        <v>13.6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44130-2026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46318</v>
      </c>
      <c r="E2115" s="1" t="n">
        <v>46321</v>
      </c>
      <c r="F2115" t="inlineStr">
        <is>
          <t>VÄSTERNORRLANDS LÄN</t>
        </is>
      </c>
      <c r="G2115" t="inlineStr">
        <is>
          <t>ÖRNSKÖLDSVIK</t>
        </is>
      </c>
      <c r="I2115" t="n">
        <v>1.3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44134-2026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46318</v>
      </c>
      <c r="E2116" s="1" t="n">
        <v>46321</v>
      </c>
      <c r="F2116" t="inlineStr">
        <is>
          <t>VÄSTERNORRLANDS LÄN</t>
        </is>
      </c>
      <c r="G2116" t="inlineStr">
        <is>
          <t>ÖRNSKÖLDSVIK</t>
        </is>
      </c>
      <c r="I2116" t="n">
        <v>1.4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33976-2026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46252</v>
      </c>
      <c r="E2117" s="1" t="n">
        <v>46321</v>
      </c>
      <c r="F2117" t="inlineStr">
        <is>
          <t>VÄSTERNORRLANDS LÄN</t>
        </is>
      </c>
      <c r="G2117" t="inlineStr">
        <is>
          <t>ÖRNSKÖLDSVIK</t>
        </is>
      </c>
      <c r="I2117" t="n">
        <v>1.7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62865-2025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46008</v>
      </c>
      <c r="E2118" s="1" t="n">
        <v>46321</v>
      </c>
      <c r="F2118" t="inlineStr">
        <is>
          <t>VÄSTERNORRLANDS LÄN</t>
        </is>
      </c>
      <c r="G2118" t="inlineStr">
        <is>
          <t>ÖRNSKÖLDSVIK</t>
        </is>
      </c>
      <c r="I2118" t="n">
        <v>11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44157-2026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46318</v>
      </c>
      <c r="E2119" s="1" t="n">
        <v>46321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37506-2026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46275</v>
      </c>
      <c r="E2120" s="1" t="n">
        <v>46321</v>
      </c>
      <c r="F2120" t="inlineStr">
        <is>
          <t>VÄSTERNORRLANDS LÄN</t>
        </is>
      </c>
      <c r="G2120" t="inlineStr">
        <is>
          <t>ÖRNSKÖLDSVIK</t>
        </is>
      </c>
      <c r="I2120" t="n">
        <v>1.6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34625-2024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45526</v>
      </c>
      <c r="E2121" s="1" t="n">
        <v>46321</v>
      </c>
      <c r="F2121" t="inlineStr">
        <is>
          <t>VÄSTERNORRLANDS LÄN</t>
        </is>
      </c>
      <c r="G2121" t="inlineStr">
        <is>
          <t>ÖRNSKÖLDSVIK</t>
        </is>
      </c>
      <c r="I2121" t="n">
        <v>1.3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37274-2026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46274</v>
      </c>
      <c r="E2122" s="1" t="n">
        <v>46321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38032-2026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46280</v>
      </c>
      <c r="E2123" s="1" t="n">
        <v>46321</v>
      </c>
      <c r="F2123" t="inlineStr">
        <is>
          <t>VÄSTERNORRLANDS LÄN</t>
        </is>
      </c>
      <c r="G2123" t="inlineStr">
        <is>
          <t>ÖRNSKÖLDSVIK</t>
        </is>
      </c>
      <c r="I2123" t="n">
        <v>0.6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44192-2026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46318</v>
      </c>
      <c r="E2124" s="1" t="n">
        <v>46321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62091-2022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44919</v>
      </c>
      <c r="E2125" s="1" t="n">
        <v>46321</v>
      </c>
      <c r="F2125" t="inlineStr">
        <is>
          <t>VÄSTERNORRLANDS LÄN</t>
        </is>
      </c>
      <c r="G2125" t="inlineStr">
        <is>
          <t>ÖRNSKÖLDSVIK</t>
        </is>
      </c>
      <c r="I2125" t="n">
        <v>44.3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36255-2024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45534</v>
      </c>
      <c r="E2126" s="1" t="n">
        <v>46321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43947-2026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46317</v>
      </c>
      <c r="E2127" s="1" t="n">
        <v>46321</v>
      </c>
      <c r="F2127" t="inlineStr">
        <is>
          <t>VÄSTERNORRLANDS LÄN</t>
        </is>
      </c>
      <c r="G2127" t="inlineStr">
        <is>
          <t>ÖRNSKÖLDSVIK</t>
        </is>
      </c>
      <c r="I2127" t="n">
        <v>3.1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9853-2025</t>
        </is>
      </c>
      <c r="B2128" t="inlineStr">
        <is>
          <t>avverkningsanmälan</t>
        </is>
      </c>
      <c r="C2128" t="inlineStr">
        <is>
          <t>Avverkning för annat ändamål</t>
        </is>
      </c>
      <c r="D2128" s="1" t="n">
        <v>45716</v>
      </c>
      <c r="E2128" s="1" t="n">
        <v>46321</v>
      </c>
      <c r="F2128" t="inlineStr">
        <is>
          <t>VÄSTERNORRLANDS LÄN</t>
        </is>
      </c>
      <c r="G2128" t="inlineStr">
        <is>
          <t>ÖRNSKÖLDSVIK</t>
        </is>
      </c>
      <c r="I2128" t="n">
        <v>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38933-2025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45887</v>
      </c>
      <c r="E2129" s="1" t="n">
        <v>46321</v>
      </c>
      <c r="F2129" t="inlineStr">
        <is>
          <t>VÄSTERNORRLANDS LÄN</t>
        </is>
      </c>
      <c r="G2129" t="inlineStr">
        <is>
          <t>ÖRNSKÖLDSVIK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10485-2025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45721</v>
      </c>
      <c r="E2130" s="1" t="n">
        <v>46321</v>
      </c>
      <c r="F2130" t="inlineStr">
        <is>
          <t>VÄSTERNORRLANDS LÄN</t>
        </is>
      </c>
      <c r="G2130" t="inlineStr">
        <is>
          <t>ÖRNSKÖLDSVIK</t>
        </is>
      </c>
      <c r="I2130" t="n">
        <v>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37574-2026</t>
        </is>
      </c>
      <c r="B2131" t="inlineStr">
        <is>
          <t>avverkningsanmälan</t>
        </is>
      </c>
      <c r="C2131" t="inlineStr">
        <is>
          <t>Avverkning för annat ändamål</t>
        </is>
      </c>
      <c r="D2131" s="1" t="n">
        <v>46276</v>
      </c>
      <c r="E2131" s="1" t="n">
        <v>46321</v>
      </c>
      <c r="F2131" t="inlineStr">
        <is>
          <t>VÄSTERNORRLANDS LÄN</t>
        </is>
      </c>
      <c r="G2131" t="inlineStr">
        <is>
          <t>ÖRNSKÖLDSVIK</t>
        </is>
      </c>
      <c r="I2131" t="n">
        <v>0.8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37580-2026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46276</v>
      </c>
      <c r="E2132" s="1" t="n">
        <v>46321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3.6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15809-2024</t>
        </is>
      </c>
      <c r="B2133" t="inlineStr">
        <is>
          <t>avverkningsanmälan</t>
        </is>
      </c>
      <c r="C2133" t="inlineStr">
        <is>
          <t>Avverkning för annat ändamål</t>
        </is>
      </c>
      <c r="D2133" s="1" t="n">
        <v>45404</v>
      </c>
      <c r="E2133" s="1" t="n">
        <v>46321</v>
      </c>
      <c r="F2133" t="inlineStr">
        <is>
          <t>VÄSTERNORRLANDS LÄN</t>
        </is>
      </c>
      <c r="G2133" t="inlineStr">
        <is>
          <t>ÖRNSKÖLDSVIK</t>
        </is>
      </c>
      <c r="I2133" t="n">
        <v>0.5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33960-2026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46252</v>
      </c>
      <c r="E2134" s="1" t="n">
        <v>46321</v>
      </c>
      <c r="F2134" t="inlineStr">
        <is>
          <t>VÄSTERNORRLANDS LÄN</t>
        </is>
      </c>
      <c r="G2134" t="inlineStr">
        <is>
          <t>ÖRNSKÖLDSVIK</t>
        </is>
      </c>
      <c r="I2134" t="n">
        <v>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36169-2023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45149</v>
      </c>
      <c r="E2135" s="1" t="n">
        <v>46321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0.6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44135-2026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46315</v>
      </c>
      <c r="E2136" s="1" t="n">
        <v>46321</v>
      </c>
      <c r="F2136" t="inlineStr">
        <is>
          <t>VÄSTERNORRLANDS LÄN</t>
        </is>
      </c>
      <c r="G2136" t="inlineStr">
        <is>
          <t>ÖRNSKÖLDSVIK</t>
        </is>
      </c>
      <c r="I2136" t="n">
        <v>6.5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17357-2022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44678</v>
      </c>
      <c r="E2137" s="1" t="n">
        <v>46321</v>
      </c>
      <c r="F2137" t="inlineStr">
        <is>
          <t>VÄSTERNORRLANDS LÄN</t>
        </is>
      </c>
      <c r="G2137" t="inlineStr">
        <is>
          <t>ÖRNSKÖLDSVIK</t>
        </is>
      </c>
      <c r="I2137" t="n">
        <v>3.5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37111-2026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46274</v>
      </c>
      <c r="E2138" s="1" t="n">
        <v>46321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21908-2025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45784</v>
      </c>
      <c r="E2139" s="1" t="n">
        <v>46321</v>
      </c>
      <c r="F2139" t="inlineStr">
        <is>
          <t>VÄSTERNORRLANDS LÄN</t>
        </is>
      </c>
      <c r="G2139" t="inlineStr">
        <is>
          <t>ÖRNSKÖLDSVIK</t>
        </is>
      </c>
      <c r="I2139" t="n">
        <v>1.7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14562-2026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46100</v>
      </c>
      <c r="E2140" s="1" t="n">
        <v>46321</v>
      </c>
      <c r="F2140" t="inlineStr">
        <is>
          <t>VÄSTERNORRLANDS LÄN</t>
        </is>
      </c>
      <c r="G2140" t="inlineStr">
        <is>
          <t>ÖRNSKÖLDSVIK</t>
        </is>
      </c>
      <c r="I2140" t="n">
        <v>3.6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42419-2025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45905</v>
      </c>
      <c r="E2141" s="1" t="n">
        <v>46321</v>
      </c>
      <c r="F2141" t="inlineStr">
        <is>
          <t>VÄSTERNORRLANDS LÄN</t>
        </is>
      </c>
      <c r="G2141" t="inlineStr">
        <is>
          <t>ÖRNSKÖLDSVIK</t>
        </is>
      </c>
      <c r="I2141" t="n">
        <v>2.6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7292-2026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46058</v>
      </c>
      <c r="E2142" s="1" t="n">
        <v>46321</v>
      </c>
      <c r="F2142" t="inlineStr">
        <is>
          <t>VÄSTERNORRLANDS LÄN</t>
        </is>
      </c>
      <c r="G2142" t="inlineStr">
        <is>
          <t>ÖRNSKÖLDSVIK</t>
        </is>
      </c>
      <c r="I2142" t="n">
        <v>7.8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44099-2026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46318</v>
      </c>
      <c r="E2143" s="1" t="n">
        <v>46321</v>
      </c>
      <c r="F2143" t="inlineStr">
        <is>
          <t>VÄSTERNORRLANDS LÄN</t>
        </is>
      </c>
      <c r="G2143" t="inlineStr">
        <is>
          <t>ÖRNSKÖLDSVIK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37524-2026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46276</v>
      </c>
      <c r="E2144" s="1" t="n">
        <v>46321</v>
      </c>
      <c r="F2144" t="inlineStr">
        <is>
          <t>VÄSTERNORRLANDS LÄN</t>
        </is>
      </c>
      <c r="G2144" t="inlineStr">
        <is>
          <t>ÖRNSKÖLDSVIK</t>
        </is>
      </c>
      <c r="I2144" t="n">
        <v>11.9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44052-2026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46317</v>
      </c>
      <c r="E2145" s="1" t="n">
        <v>46321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2.1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34905-2024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45527</v>
      </c>
      <c r="E2146" s="1" t="n">
        <v>46321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3.7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38714-2024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45547</v>
      </c>
      <c r="E2147" s="1" t="n">
        <v>46321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31098-2025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45832</v>
      </c>
      <c r="E2148" s="1" t="n">
        <v>46321</v>
      </c>
      <c r="F2148" t="inlineStr">
        <is>
          <t>VÄSTERNORRLANDS LÄN</t>
        </is>
      </c>
      <c r="G2148" t="inlineStr">
        <is>
          <t>ÖRNSKÖLDSVIK</t>
        </is>
      </c>
      <c r="I2148" t="n">
        <v>5.5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40424-2025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45895</v>
      </c>
      <c r="E2149" s="1" t="n">
        <v>46321</v>
      </c>
      <c r="F2149" t="inlineStr">
        <is>
          <t>VÄSTERNORRLANDS LÄN</t>
        </is>
      </c>
      <c r="G2149" t="inlineStr">
        <is>
          <t>ÖRNSKÖLDSVIK</t>
        </is>
      </c>
      <c r="I2149" t="n">
        <v>10.1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48189-2023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45205</v>
      </c>
      <c r="E2150" s="1" t="n">
        <v>46321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3.8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44116-2026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46318</v>
      </c>
      <c r="E2151" s="1" t="n">
        <v>46321</v>
      </c>
      <c r="F2151" t="inlineStr">
        <is>
          <t>VÄSTERNORRLANDS LÄN</t>
        </is>
      </c>
      <c r="G2151" t="inlineStr">
        <is>
          <t>ÖRNSKÖLDSVIK</t>
        </is>
      </c>
      <c r="I2151" t="n">
        <v>2.4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44126-2026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46318</v>
      </c>
      <c r="E2152" s="1" t="n">
        <v>46321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SCA</t>
        </is>
      </c>
      <c r="I2152" t="n">
        <v>1.1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69183-2021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44531</v>
      </c>
      <c r="E2153" s="1" t="n">
        <v>46321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2.6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44161-2026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46315</v>
      </c>
      <c r="E2154" s="1" t="n">
        <v>46321</v>
      </c>
      <c r="F2154" t="inlineStr">
        <is>
          <t>VÄSTERNORRLANDS LÄN</t>
        </is>
      </c>
      <c r="G2154" t="inlineStr">
        <is>
          <t>ÖRNSKÖLDSVIK</t>
        </is>
      </c>
      <c r="I2154" t="n">
        <v>4.8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44164-2026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46318</v>
      </c>
      <c r="E2155" s="1" t="n">
        <v>46321</v>
      </c>
      <c r="F2155" t="inlineStr">
        <is>
          <t>VÄSTERNORRLANDS LÄN</t>
        </is>
      </c>
      <c r="G2155" t="inlineStr">
        <is>
          <t>ÖRNSKÖLDSVIK</t>
        </is>
      </c>
      <c r="I2155" t="n">
        <v>0.8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54696-2025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45966</v>
      </c>
      <c r="E2156" s="1" t="n">
        <v>46321</v>
      </c>
      <c r="F2156" t="inlineStr">
        <is>
          <t>VÄSTERNORRLANDS LÄN</t>
        </is>
      </c>
      <c r="G2156" t="inlineStr">
        <is>
          <t>ÖRNSKÖLDSVIK</t>
        </is>
      </c>
      <c r="I2156" t="n">
        <v>2.2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61144-2023</t>
        </is>
      </c>
      <c r="B2157" t="inlineStr">
        <is>
          <t>avverkningsanmälan</t>
        </is>
      </c>
      <c r="C2157" t="inlineStr">
        <is>
          <t>Avverkning för att bevara och utveckla /försöksver</t>
        </is>
      </c>
      <c r="D2157" s="1" t="n">
        <v>45261</v>
      </c>
      <c r="E2157" s="1" t="n">
        <v>46321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SCA</t>
        </is>
      </c>
      <c r="I2157" t="n">
        <v>10.5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43905-2026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46317</v>
      </c>
      <c r="E2158" s="1" t="n">
        <v>46321</v>
      </c>
      <c r="F2158" t="inlineStr">
        <is>
          <t>VÄSTERNORRLANDS LÄN</t>
        </is>
      </c>
      <c r="G2158" t="inlineStr">
        <is>
          <t>ÖRNSKÖLDSVIK</t>
        </is>
      </c>
      <c r="I2158" t="n">
        <v>15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43930-2026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46317</v>
      </c>
      <c r="E2159" s="1" t="n">
        <v>46321</v>
      </c>
      <c r="F2159" t="inlineStr">
        <is>
          <t>VÄSTERNORRLANDS LÄN</t>
        </is>
      </c>
      <c r="G2159" t="inlineStr">
        <is>
          <t>ÖRNSKÖLDSVIK</t>
        </is>
      </c>
      <c r="I2159" t="n">
        <v>10.5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49260-2023</t>
        </is>
      </c>
      <c r="B2160" t="inlineStr">
        <is>
          <t>avverkningsanmälan</t>
        </is>
      </c>
      <c r="C2160" t="inlineStr">
        <is>
          <t>Avverkning för att bevara och utveckla /försöksver</t>
        </is>
      </c>
      <c r="D2160" s="1" t="n">
        <v>45210</v>
      </c>
      <c r="E2160" s="1" t="n">
        <v>46321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54853-2023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45236</v>
      </c>
      <c r="E2161" s="1" t="n">
        <v>46321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37363-2026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46275</v>
      </c>
      <c r="E2162" s="1" t="n">
        <v>46321</v>
      </c>
      <c r="F2162" t="inlineStr">
        <is>
          <t>VÄSTERNORRLANDS LÄN</t>
        </is>
      </c>
      <c r="G2162" t="inlineStr">
        <is>
          <t>ÖRNSKÖLDSVIK</t>
        </is>
      </c>
      <c r="I2162" t="n">
        <v>1.7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22532-2023</t>
        </is>
      </c>
      <c r="B2163" t="inlineStr">
        <is>
          <t>avverkningsanmälan</t>
        </is>
      </c>
      <c r="C2163" t="inlineStr">
        <is>
          <t>Avverkning för annat ändamål</t>
        </is>
      </c>
      <c r="D2163" s="1" t="n">
        <v>45069</v>
      </c>
      <c r="E2163" s="1" t="n">
        <v>46321</v>
      </c>
      <c r="F2163" t="inlineStr">
        <is>
          <t>VÄSTERNORRLANDS LÄN</t>
        </is>
      </c>
      <c r="G2163" t="inlineStr">
        <is>
          <t>ÖRNSKÖLDSVIK</t>
        </is>
      </c>
      <c r="I2163" t="n">
        <v>1.3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8250-2025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45708</v>
      </c>
      <c r="E2164" s="1" t="n">
        <v>46321</v>
      </c>
      <c r="F2164" t="inlineStr">
        <is>
          <t>VÄSTERNORRLANDS LÄN</t>
        </is>
      </c>
      <c r="G2164" t="inlineStr">
        <is>
          <t>ÖRNSKÖLDSVIK</t>
        </is>
      </c>
      <c r="I2164" t="n">
        <v>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20687-2026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46141</v>
      </c>
      <c r="E2165" s="1" t="n">
        <v>46321</v>
      </c>
      <c r="F2165" t="inlineStr">
        <is>
          <t>VÄSTERNORRLANDS LÄN</t>
        </is>
      </c>
      <c r="G2165" t="inlineStr">
        <is>
          <t>ÖRNSKÖLDSVIK</t>
        </is>
      </c>
      <c r="I2165" t="n">
        <v>1.3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37245-2026</t>
        </is>
      </c>
      <c r="B2166" t="inlineStr">
        <is>
          <t>avverkningsanmälan</t>
        </is>
      </c>
      <c r="C2166" t="inlineStr">
        <is>
          <t>Avverkning för annat ändamål</t>
        </is>
      </c>
      <c r="D2166" s="1" t="n">
        <v>46274</v>
      </c>
      <c r="E2166" s="1" t="n">
        <v>46321</v>
      </c>
      <c r="F2166" t="inlineStr">
        <is>
          <t>VÄSTERNORRLANDS LÄN</t>
        </is>
      </c>
      <c r="G2166" t="inlineStr">
        <is>
          <t>ÖRNSKÖLDSVIK</t>
        </is>
      </c>
      <c r="I2166" t="n">
        <v>1.9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46826-2024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45583</v>
      </c>
      <c r="E2167" s="1" t="n">
        <v>46321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0.8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35043-2025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45852</v>
      </c>
      <c r="E2168" s="1" t="n">
        <v>46321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SCA</t>
        </is>
      </c>
      <c r="I2168" t="n">
        <v>1.3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33968-2026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46252</v>
      </c>
      <c r="E2169" s="1" t="n">
        <v>46321</v>
      </c>
      <c r="F2169" t="inlineStr">
        <is>
          <t>VÄSTERNORRLANDS LÄN</t>
        </is>
      </c>
      <c r="G2169" t="inlineStr">
        <is>
          <t>ÖRNSKÖLDSVIK</t>
        </is>
      </c>
      <c r="I2169" t="n">
        <v>4.2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63846-2025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46020</v>
      </c>
      <c r="E2170" s="1" t="n">
        <v>46321</v>
      </c>
      <c r="F2170" t="inlineStr">
        <is>
          <t>VÄSTERNORRLANDS LÄN</t>
        </is>
      </c>
      <c r="G2170" t="inlineStr">
        <is>
          <t>ÖRNSKÖLDSVIK</t>
        </is>
      </c>
      <c r="I2170" t="n">
        <v>3.9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62342-2022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44916</v>
      </c>
      <c r="E2171" s="1" t="n">
        <v>46321</v>
      </c>
      <c r="F2171" t="inlineStr">
        <is>
          <t>VÄSTERNORRLANDS LÄN</t>
        </is>
      </c>
      <c r="G2171" t="inlineStr">
        <is>
          <t>ÖRNSKÖLDSVIK</t>
        </is>
      </c>
      <c r="I2171" t="n">
        <v>3.5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42764-2023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45181</v>
      </c>
      <c r="E2172" s="1" t="n">
        <v>46321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0.6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37362-2026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46275</v>
      </c>
      <c r="E2173" s="1" t="n">
        <v>46321</v>
      </c>
      <c r="F2173" t="inlineStr">
        <is>
          <t>VÄSTERNORRLANDS LÄN</t>
        </is>
      </c>
      <c r="G2173" t="inlineStr">
        <is>
          <t>ÖRNSKÖLDSVIK</t>
        </is>
      </c>
      <c r="I2173" t="n">
        <v>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37371-2026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46275</v>
      </c>
      <c r="E2174" s="1" t="n">
        <v>46321</v>
      </c>
      <c r="F2174" t="inlineStr">
        <is>
          <t>VÄSTERNORRLANDS LÄN</t>
        </is>
      </c>
      <c r="G2174" t="inlineStr">
        <is>
          <t>ÖRNSKÖLDSVIK</t>
        </is>
      </c>
      <c r="I2174" t="n">
        <v>6.8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44119-2026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46318</v>
      </c>
      <c r="E2175" s="1" t="n">
        <v>46321</v>
      </c>
      <c r="F2175" t="inlineStr">
        <is>
          <t>VÄSTERNORRLANDS LÄN</t>
        </is>
      </c>
      <c r="G2175" t="inlineStr">
        <is>
          <t>ÖRNSKÖLDSVIK</t>
        </is>
      </c>
      <c r="I2175" t="n">
        <v>1.6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39079-2023</t>
        </is>
      </c>
      <c r="B2176" t="inlineStr">
        <is>
          <t>avverkningsanmälan</t>
        </is>
      </c>
      <c r="C2176" t="inlineStr">
        <is>
          <t>Avverkning för att bevara och utveckla /försöksver</t>
        </is>
      </c>
      <c r="D2176" s="1" t="n">
        <v>45163</v>
      </c>
      <c r="E2176" s="1" t="n">
        <v>46321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SCA</t>
        </is>
      </c>
      <c r="I2176" t="n">
        <v>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17462-2025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45757</v>
      </c>
      <c r="E2177" s="1" t="n">
        <v>46321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33971-2026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46252</v>
      </c>
      <c r="E2178" s="1" t="n">
        <v>46321</v>
      </c>
      <c r="F2178" t="inlineStr">
        <is>
          <t>VÄSTERNORRLANDS LÄN</t>
        </is>
      </c>
      <c r="G2178" t="inlineStr">
        <is>
          <t>ÖRNSKÖLDSVIK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21175-2026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46146</v>
      </c>
      <c r="E2179" s="1" t="n">
        <v>46321</v>
      </c>
      <c r="F2179" t="inlineStr">
        <is>
          <t>VÄSTERNORRLANDS LÄN</t>
        </is>
      </c>
      <c r="G2179" t="inlineStr">
        <is>
          <t>ÖRNSKÖLDSVIK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3139-2026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46041</v>
      </c>
      <c r="E2180" s="1" t="n">
        <v>46321</v>
      </c>
      <c r="F2180" t="inlineStr">
        <is>
          <t>VÄSTERNORRLANDS LÄN</t>
        </is>
      </c>
      <c r="G2180" t="inlineStr">
        <is>
          <t>ÖRNSKÖLDSVIK</t>
        </is>
      </c>
      <c r="I2180" t="n">
        <v>2.2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21224-2026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46146</v>
      </c>
      <c r="E2181" s="1" t="n">
        <v>46321</v>
      </c>
      <c r="F2181" t="inlineStr">
        <is>
          <t>VÄSTERNORRLANDS LÄN</t>
        </is>
      </c>
      <c r="G2181" t="inlineStr">
        <is>
          <t>ÖRNSKÖLDSVIK</t>
        </is>
      </c>
      <c r="I2181" t="n">
        <v>1.4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37526-2026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46276</v>
      </c>
      <c r="E2182" s="1" t="n">
        <v>46321</v>
      </c>
      <c r="F2182" t="inlineStr">
        <is>
          <t>VÄSTERNORRLANDS LÄN</t>
        </is>
      </c>
      <c r="G2182" t="inlineStr">
        <is>
          <t>ÖRNSKÖLDSVIK</t>
        </is>
      </c>
      <c r="I2182" t="n">
        <v>1.3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37531-2026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46276</v>
      </c>
      <c r="E2183" s="1" t="n">
        <v>46321</v>
      </c>
      <c r="F2183" t="inlineStr">
        <is>
          <t>VÄSTERNORRLANDS LÄN</t>
        </is>
      </c>
      <c r="G2183" t="inlineStr">
        <is>
          <t>ÖRNSKÖLDSVIK</t>
        </is>
      </c>
      <c r="I2183" t="n">
        <v>2.4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37548-2026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46276</v>
      </c>
      <c r="E2184" s="1" t="n">
        <v>46321</v>
      </c>
      <c r="F2184" t="inlineStr">
        <is>
          <t>VÄSTERNORRLANDS LÄN</t>
        </is>
      </c>
      <c r="G2184" t="inlineStr">
        <is>
          <t>ÖRNSKÖLDSVIK</t>
        </is>
      </c>
      <c r="I2184" t="n">
        <v>6.4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21025-2026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46145</v>
      </c>
      <c r="E2185" s="1" t="n">
        <v>46321</v>
      </c>
      <c r="F2185" t="inlineStr">
        <is>
          <t>VÄSTERNORRLANDS LÄN</t>
        </is>
      </c>
      <c r="G2185" t="inlineStr">
        <is>
          <t>ÖRNSKÖLDSVIK</t>
        </is>
      </c>
      <c r="I2185" t="n">
        <v>2.1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37452-2026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46275</v>
      </c>
      <c r="E2186" s="1" t="n">
        <v>46321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1.5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39277-2026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46288</v>
      </c>
      <c r="E2187" s="1" t="n">
        <v>46321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12739-2025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45733</v>
      </c>
      <c r="E2188" s="1" t="n">
        <v>46321</v>
      </c>
      <c r="F2188" t="inlineStr">
        <is>
          <t>VÄSTERNORRLANDS LÄN</t>
        </is>
      </c>
      <c r="G2188" t="inlineStr">
        <is>
          <t>ÖRNSKÖLDSVIK</t>
        </is>
      </c>
      <c r="I2188" t="n">
        <v>8.300000000000001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38284-2025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45883</v>
      </c>
      <c r="E2189" s="1" t="n">
        <v>46321</v>
      </c>
      <c r="F2189" t="inlineStr">
        <is>
          <t>VÄSTERNORRLANDS LÄN</t>
        </is>
      </c>
      <c r="G2189" t="inlineStr">
        <is>
          <t>ÖRNSKÖLDSVIK</t>
        </is>
      </c>
      <c r="I2189" t="n">
        <v>4.8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42583-2024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45565</v>
      </c>
      <c r="E2190" s="1" t="n">
        <v>46321</v>
      </c>
      <c r="F2190" t="inlineStr">
        <is>
          <t>VÄSTERNORRLANDS LÄN</t>
        </is>
      </c>
      <c r="G2190" t="inlineStr">
        <is>
          <t>ÖRNSKÖLDSVIK</t>
        </is>
      </c>
      <c r="I2190" t="n">
        <v>11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37380-2026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46275</v>
      </c>
      <c r="E2191" s="1" t="n">
        <v>46321</v>
      </c>
      <c r="F2191" t="inlineStr">
        <is>
          <t>VÄSTERNORRLANDS LÄN</t>
        </is>
      </c>
      <c r="G2191" t="inlineStr">
        <is>
          <t>ÖRNSKÖLDSVIK</t>
        </is>
      </c>
      <c r="I2191" t="n">
        <v>2.6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5102-2022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44593</v>
      </c>
      <c r="E2192" s="1" t="n">
        <v>46321</v>
      </c>
      <c r="F2192" t="inlineStr">
        <is>
          <t>VÄSTERNORRLANDS LÄN</t>
        </is>
      </c>
      <c r="G2192" t="inlineStr">
        <is>
          <t>ÖRNSKÖLDSVIK</t>
        </is>
      </c>
      <c r="I2192" t="n">
        <v>16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37381-2026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46275</v>
      </c>
      <c r="E2193" s="1" t="n">
        <v>46321</v>
      </c>
      <c r="F2193" t="inlineStr">
        <is>
          <t>VÄSTERNORRLANDS LÄN</t>
        </is>
      </c>
      <c r="G2193" t="inlineStr">
        <is>
          <t>ÖRNSKÖLDSVIK</t>
        </is>
      </c>
      <c r="I2193" t="n">
        <v>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46204-2024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45581</v>
      </c>
      <c r="E2194" s="1" t="n">
        <v>46321</v>
      </c>
      <c r="F2194" t="inlineStr">
        <is>
          <t>VÄSTERNORRLANDS LÄN</t>
        </is>
      </c>
      <c r="G2194" t="inlineStr">
        <is>
          <t>ÖRNSKÖLDSVIK</t>
        </is>
      </c>
      <c r="I2194" t="n">
        <v>0.2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21408-2026</t>
        </is>
      </c>
      <c r="B2195" t="inlineStr">
        <is>
          <t>avverkningsanmälan</t>
        </is>
      </c>
      <c r="C2195" t="inlineStr">
        <is>
          <t>Avverkning för att bevara och utveckla /försöksver</t>
        </is>
      </c>
      <c r="D2195" s="1" t="n">
        <v>46148</v>
      </c>
      <c r="E2195" s="1" t="n">
        <v>46321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SCA</t>
        </is>
      </c>
      <c r="I2195" t="n">
        <v>2.3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20488-2023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45057</v>
      </c>
      <c r="E2196" s="1" t="n">
        <v>46321</v>
      </c>
      <c r="F2196" t="inlineStr">
        <is>
          <t>VÄSTERNORRLANDS LÄN</t>
        </is>
      </c>
      <c r="G2196" t="inlineStr">
        <is>
          <t>ÖRNSKÖLDSVIK</t>
        </is>
      </c>
      <c r="I2196" t="n">
        <v>8.800000000000001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21445-2026</t>
        </is>
      </c>
      <c r="B2197" t="inlineStr">
        <is>
          <t>avverkningsanmälan</t>
        </is>
      </c>
      <c r="C2197" t="inlineStr">
        <is>
          <t>Avverkning för att bevara och utveckla /försöksver</t>
        </is>
      </c>
      <c r="D2197" s="1" t="n">
        <v>46148</v>
      </c>
      <c r="E2197" s="1" t="n">
        <v>46321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SCA</t>
        </is>
      </c>
      <c r="I2197" t="n">
        <v>2.2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21513-2026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46148</v>
      </c>
      <c r="E2198" s="1" t="n">
        <v>46321</v>
      </c>
      <c r="F2198" t="inlineStr">
        <is>
          <t>VÄSTERNORRLANDS LÄN</t>
        </is>
      </c>
      <c r="G2198" t="inlineStr">
        <is>
          <t>ÖRNSKÖLDSVIK</t>
        </is>
      </c>
      <c r="I2198" t="n">
        <v>4.3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21239-2026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46147</v>
      </c>
      <c r="E2199" s="1" t="n">
        <v>46321</v>
      </c>
      <c r="F2199" t="inlineStr">
        <is>
          <t>VÄSTERNORRLANDS LÄN</t>
        </is>
      </c>
      <c r="G2199" t="inlineStr">
        <is>
          <t>ÖRNSKÖLDSVIK</t>
        </is>
      </c>
      <c r="I2199" t="n">
        <v>4.9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7582-2025</t>
        </is>
      </c>
      <c r="B2200" t="inlineStr">
        <is>
          <t>avverkningsanmälan</t>
        </is>
      </c>
      <c r="C2200" t="inlineStr">
        <is>
          <t>Avverkning för annat ändamål</t>
        </is>
      </c>
      <c r="D2200" s="1" t="n">
        <v>45705</v>
      </c>
      <c r="E2200" s="1" t="n">
        <v>46321</v>
      </c>
      <c r="F2200" t="inlineStr">
        <is>
          <t>VÄSTERNORRLANDS LÄN</t>
        </is>
      </c>
      <c r="G2200" t="inlineStr">
        <is>
          <t>ÖRNSKÖLDSVIK</t>
        </is>
      </c>
      <c r="I2200" t="n">
        <v>0.8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21327-2026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46147</v>
      </c>
      <c r="E2201" s="1" t="n">
        <v>46321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29795-2022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44755</v>
      </c>
      <c r="E2202" s="1" t="n">
        <v>46321</v>
      </c>
      <c r="F2202" t="inlineStr">
        <is>
          <t>VÄSTERNORRLANDS LÄN</t>
        </is>
      </c>
      <c r="G2202" t="inlineStr">
        <is>
          <t>ÖRNSKÖLDSVIK</t>
        </is>
      </c>
      <c r="I2202" t="n">
        <v>1.7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32850-2022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44784</v>
      </c>
      <c r="E2203" s="1" t="n">
        <v>46321</v>
      </c>
      <c r="F2203" t="inlineStr">
        <is>
          <t>VÄSTERNORRLANDS LÄN</t>
        </is>
      </c>
      <c r="G2203" t="inlineStr">
        <is>
          <t>ÖRNSKÖLDSVIK</t>
        </is>
      </c>
      <c r="I2203" t="n">
        <v>5.5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62467-2023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45267</v>
      </c>
      <c r="E2204" s="1" t="n">
        <v>46321</v>
      </c>
      <c r="F2204" t="inlineStr">
        <is>
          <t>VÄSTERNORRLANDS LÄN</t>
        </is>
      </c>
      <c r="G2204" t="inlineStr">
        <is>
          <t>ÖRNSKÖLDSVIK</t>
        </is>
      </c>
      <c r="I2204" t="n">
        <v>0.6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21593-2026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46149</v>
      </c>
      <c r="E2205" s="1" t="n">
        <v>46321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13815-2023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45007</v>
      </c>
      <c r="E2206" s="1" t="n">
        <v>46321</v>
      </c>
      <c r="F2206" t="inlineStr">
        <is>
          <t>VÄSTERNORRLANDS LÄN</t>
        </is>
      </c>
      <c r="G2206" t="inlineStr">
        <is>
          <t>ÖRNSKÖLDSVIK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21906-2026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46150</v>
      </c>
      <c r="E2207" s="1" t="n">
        <v>46321</v>
      </c>
      <c r="F2207" t="inlineStr">
        <is>
          <t>VÄSTERNORRLANDS LÄN</t>
        </is>
      </c>
      <c r="G2207" t="inlineStr">
        <is>
          <t>ÖRNSKÖLDSVIK</t>
        </is>
      </c>
      <c r="I2207" t="n">
        <v>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40764-2024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45558</v>
      </c>
      <c r="E2208" s="1" t="n">
        <v>46321</v>
      </c>
      <c r="F2208" t="inlineStr">
        <is>
          <t>VÄSTERNORRLANDS LÄN</t>
        </is>
      </c>
      <c r="G2208" t="inlineStr">
        <is>
          <t>ÖRNSKÖLDSVIK</t>
        </is>
      </c>
      <c r="I2208" t="n">
        <v>5.5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21654-2026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46149</v>
      </c>
      <c r="E2209" s="1" t="n">
        <v>46321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3.3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48218-2023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45205</v>
      </c>
      <c r="E2210" s="1" t="n">
        <v>46321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0.8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52626-2024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45609</v>
      </c>
      <c r="E2211" s="1" t="n">
        <v>46321</v>
      </c>
      <c r="F2211" t="inlineStr">
        <is>
          <t>VÄSTERNORRLANDS LÄN</t>
        </is>
      </c>
      <c r="G2211" t="inlineStr">
        <is>
          <t>ÖRNSKÖLDSVIK</t>
        </is>
      </c>
      <c r="I2211" t="n">
        <v>1.4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21708-2026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46149</v>
      </c>
      <c r="E2212" s="1" t="n">
        <v>46321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22079-2026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46153</v>
      </c>
      <c r="E2213" s="1" t="n">
        <v>46321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7.4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23097-2023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45075</v>
      </c>
      <c r="E2214" s="1" t="n">
        <v>46321</v>
      </c>
      <c r="F2214" t="inlineStr">
        <is>
          <t>VÄSTERNORRLANDS LÄN</t>
        </is>
      </c>
      <c r="G2214" t="inlineStr">
        <is>
          <t>ÖRNSKÖLDSVIK</t>
        </is>
      </c>
      <c r="I2214" t="n">
        <v>1.8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26521-2022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44739</v>
      </c>
      <c r="E2215" s="1" t="n">
        <v>46321</v>
      </c>
      <c r="F2215" t="inlineStr">
        <is>
          <t>VÄSTERNORRLANDS LÄN</t>
        </is>
      </c>
      <c r="G2215" t="inlineStr">
        <is>
          <t>ÖRNSKÖLDSVIK</t>
        </is>
      </c>
      <c r="I2215" t="n">
        <v>0.7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22349-2026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46154</v>
      </c>
      <c r="E2216" s="1" t="n">
        <v>46321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14808-2025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45743</v>
      </c>
      <c r="E2217" s="1" t="n">
        <v>46321</v>
      </c>
      <c r="F2217" t="inlineStr">
        <is>
          <t>VÄSTERNORRLANDS LÄN</t>
        </is>
      </c>
      <c r="G2217" t="inlineStr">
        <is>
          <t>ÖRNSKÖLDSVIK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61869-2025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46003</v>
      </c>
      <c r="E2218" s="1" t="n">
        <v>46321</v>
      </c>
      <c r="F2218" t="inlineStr">
        <is>
          <t>VÄSTERNORRLANDS LÄN</t>
        </is>
      </c>
      <c r="G2218" t="inlineStr">
        <is>
          <t>ÖRNSKÖLDSVIK</t>
        </is>
      </c>
      <c r="I2218" t="n">
        <v>10.9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13494-2023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45005</v>
      </c>
      <c r="E2219" s="1" t="n">
        <v>46321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SCA</t>
        </is>
      </c>
      <c r="I2219" t="n">
        <v>1.8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24324-2024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45457</v>
      </c>
      <c r="E2220" s="1" t="n">
        <v>46321</v>
      </c>
      <c r="F2220" t="inlineStr">
        <is>
          <t>VÄSTERNORRLANDS LÄN</t>
        </is>
      </c>
      <c r="G2220" t="inlineStr">
        <is>
          <t>ÖRNSKÖLDSVIK</t>
        </is>
      </c>
      <c r="I2220" t="n">
        <v>6.9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8983-2025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45713</v>
      </c>
      <c r="E2221" s="1" t="n">
        <v>46321</v>
      </c>
      <c r="F2221" t="inlineStr">
        <is>
          <t>VÄSTERNORRLANDS LÄN</t>
        </is>
      </c>
      <c r="G2221" t="inlineStr">
        <is>
          <t>ÖRNSKÖLDSVIK</t>
        </is>
      </c>
      <c r="I2221" t="n">
        <v>3.6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36323-2023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45152</v>
      </c>
      <c r="E2222" s="1" t="n">
        <v>46321</v>
      </c>
      <c r="F2222" t="inlineStr">
        <is>
          <t>VÄSTERNORRLANDS LÄN</t>
        </is>
      </c>
      <c r="G2222" t="inlineStr">
        <is>
          <t>ÖRNSKÖLDSVIK</t>
        </is>
      </c>
      <c r="I2222" t="n">
        <v>0.8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36326-2023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45152</v>
      </c>
      <c r="E2223" s="1" t="n">
        <v>46321</v>
      </c>
      <c r="F2223" t="inlineStr">
        <is>
          <t>VÄSTERNORRLANDS LÄN</t>
        </is>
      </c>
      <c r="G2223" t="inlineStr">
        <is>
          <t>ÖRNSKÖLDSVIK</t>
        </is>
      </c>
      <c r="I2223" t="n">
        <v>2.4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25278-2024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45462</v>
      </c>
      <c r="E2224" s="1" t="n">
        <v>46321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22362-2026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46154</v>
      </c>
      <c r="E2225" s="1" t="n">
        <v>46321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3.9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22459-2026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46153</v>
      </c>
      <c r="E2226" s="1" t="n">
        <v>46321</v>
      </c>
      <c r="F2226" t="inlineStr">
        <is>
          <t>VÄSTERNORRLANDS LÄN</t>
        </is>
      </c>
      <c r="G2226" t="inlineStr">
        <is>
          <t>ÖRNSKÖLDSVIK</t>
        </is>
      </c>
      <c r="I2226" t="n">
        <v>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22326-2026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46154</v>
      </c>
      <c r="E2227" s="1" t="n">
        <v>46321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22078-2026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46153</v>
      </c>
      <c r="E2228" s="1" t="n">
        <v>46321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17219-2022</t>
        </is>
      </c>
      <c r="B2229" t="inlineStr">
        <is>
          <t>avverkningsanmälan</t>
        </is>
      </c>
      <c r="C2229" t="inlineStr">
        <is>
          <t>Avverkning för att bevara och utveckla /försöksver</t>
        </is>
      </c>
      <c r="D2229" s="1" t="n">
        <v>44677</v>
      </c>
      <c r="E2229" s="1" t="n">
        <v>46321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SCA</t>
        </is>
      </c>
      <c r="I2229" t="n">
        <v>8.6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20097-2022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44698</v>
      </c>
      <c r="E2230" s="1" t="n">
        <v>46321</v>
      </c>
      <c r="F2230" t="inlineStr">
        <is>
          <t>VÄSTERNORRLANDS LÄN</t>
        </is>
      </c>
      <c r="G2230" t="inlineStr">
        <is>
          <t>ÖRNSKÖLDSVIK</t>
        </is>
      </c>
      <c r="I2230" t="n">
        <v>2.9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22145-2026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46153</v>
      </c>
      <c r="E2231" s="1" t="n">
        <v>46321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24996-2024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45461</v>
      </c>
      <c r="E2232" s="1" t="n">
        <v>46321</v>
      </c>
      <c r="F2232" t="inlineStr">
        <is>
          <t>VÄSTERNORRLANDS LÄN</t>
        </is>
      </c>
      <c r="G2232" t="inlineStr">
        <is>
          <t>ÖRNSKÖLDSVIK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51717-2024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45607</v>
      </c>
      <c r="E2233" s="1" t="n">
        <v>46321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39317-2024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45551</v>
      </c>
      <c r="E2234" s="1" t="n">
        <v>46321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7.4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22376-2026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46154</v>
      </c>
      <c r="E2235" s="1" t="n">
        <v>46321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29671-2023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45107</v>
      </c>
      <c r="E2236" s="1" t="n">
        <v>46321</v>
      </c>
      <c r="F2236" t="inlineStr">
        <is>
          <t>VÄSTERNORRLANDS LÄN</t>
        </is>
      </c>
      <c r="G2236" t="inlineStr">
        <is>
          <t>ÖRNSKÖLDSVIK</t>
        </is>
      </c>
      <c r="I2236" t="n">
        <v>7.9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31346-2024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45504</v>
      </c>
      <c r="E2237" s="1" t="n">
        <v>46321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1.6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7574-2023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44972</v>
      </c>
      <c r="E2238" s="1" t="n">
        <v>46321</v>
      </c>
      <c r="F2238" t="inlineStr">
        <is>
          <t>VÄSTERNORRLANDS LÄN</t>
        </is>
      </c>
      <c r="G2238" t="inlineStr">
        <is>
          <t>ÖRNSKÖLDSVIK</t>
        </is>
      </c>
      <c r="I2238" t="n">
        <v>2.1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22487-2026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46155</v>
      </c>
      <c r="E2239" s="1" t="n">
        <v>46321</v>
      </c>
      <c r="F2239" t="inlineStr">
        <is>
          <t>VÄSTERNORRLANDS LÄN</t>
        </is>
      </c>
      <c r="G2239" t="inlineStr">
        <is>
          <t>ÖRNSKÖLDSVIK</t>
        </is>
      </c>
      <c r="I2239" t="n">
        <v>1.9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27874-2023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45098</v>
      </c>
      <c r="E2240" s="1" t="n">
        <v>46321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1.5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51755-2024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45607</v>
      </c>
      <c r="E2241" s="1" t="n">
        <v>46321</v>
      </c>
      <c r="F2241" t="inlineStr">
        <is>
          <t>VÄSTERNORRLANDS LÄN</t>
        </is>
      </c>
      <c r="G2241" t="inlineStr">
        <is>
          <t>ÖRNSKÖLDSVIK</t>
        </is>
      </c>
      <c r="I2241" t="n">
        <v>1.3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9455-2025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45715</v>
      </c>
      <c r="E2242" s="1" t="n">
        <v>46321</v>
      </c>
      <c r="F2242" t="inlineStr">
        <is>
          <t>VÄSTERNORRLANDS LÄN</t>
        </is>
      </c>
      <c r="G2242" t="inlineStr">
        <is>
          <t>ÖRNSKÖLDSVIK</t>
        </is>
      </c>
      <c r="I2242" t="n">
        <v>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22075-2024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45443</v>
      </c>
      <c r="E2243" s="1" t="n">
        <v>46321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20153-2025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45772</v>
      </c>
      <c r="E2244" s="1" t="n">
        <v>46321</v>
      </c>
      <c r="F2244" t="inlineStr">
        <is>
          <t>VÄSTERNORRLANDS LÄN</t>
        </is>
      </c>
      <c r="G2244" t="inlineStr">
        <is>
          <t>ÖRNSKÖLDSVIK</t>
        </is>
      </c>
      <c r="I2244" t="n">
        <v>1.7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60457-2025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45995</v>
      </c>
      <c r="E2245" s="1" t="n">
        <v>46321</v>
      </c>
      <c r="F2245" t="inlineStr">
        <is>
          <t>VÄSTERNORRLANDS LÄN</t>
        </is>
      </c>
      <c r="G2245" t="inlineStr">
        <is>
          <t>ÖRNSKÖLDSVIK</t>
        </is>
      </c>
      <c r="I2245" t="n">
        <v>1.6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44187-2025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45915</v>
      </c>
      <c r="E2246" s="1" t="n">
        <v>46321</v>
      </c>
      <c r="F2246" t="inlineStr">
        <is>
          <t>VÄSTERNORRLANDS LÄN</t>
        </is>
      </c>
      <c r="G2246" t="inlineStr">
        <is>
          <t>ÖRNSKÖLDSVIK</t>
        </is>
      </c>
      <c r="I2246" t="n">
        <v>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22456-2026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46155</v>
      </c>
      <c r="E2247" s="1" t="n">
        <v>46321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2.6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33129-2022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44785</v>
      </c>
      <c r="E2248" s="1" t="n">
        <v>46321</v>
      </c>
      <c r="F2248" t="inlineStr">
        <is>
          <t>VÄSTERNORRLANDS LÄN</t>
        </is>
      </c>
      <c r="G2248" t="inlineStr">
        <is>
          <t>ÖRNSKÖLDSVIK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9379-2025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45715</v>
      </c>
      <c r="E2249" s="1" t="n">
        <v>46321</v>
      </c>
      <c r="F2249" t="inlineStr">
        <is>
          <t>VÄSTERNORRLANDS LÄN</t>
        </is>
      </c>
      <c r="G2249" t="inlineStr">
        <is>
          <t>ÖRNSKÖLDSVIK</t>
        </is>
      </c>
      <c r="I2249" t="n">
        <v>2.1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22998-2026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46160</v>
      </c>
      <c r="E2250" s="1" t="n">
        <v>46321</v>
      </c>
      <c r="F2250" t="inlineStr">
        <is>
          <t>VÄSTERNORRLANDS LÄN</t>
        </is>
      </c>
      <c r="G2250" t="inlineStr">
        <is>
          <t>ÖRNSKÖLDSVIK</t>
        </is>
      </c>
      <c r="I2250" t="n">
        <v>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5248-2023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44959</v>
      </c>
      <c r="E2251" s="1" t="n">
        <v>46321</v>
      </c>
      <c r="F2251" t="inlineStr">
        <is>
          <t>VÄSTERNORRLANDS LÄN</t>
        </is>
      </c>
      <c r="G2251" t="inlineStr">
        <is>
          <t>ÖRNSKÖLDSVIK</t>
        </is>
      </c>
      <c r="I2251" t="n">
        <v>2.2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56485-2022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44887</v>
      </c>
      <c r="E2252" s="1" t="n">
        <v>46321</v>
      </c>
      <c r="F2252" t="inlineStr">
        <is>
          <t>VÄSTERNORRLANDS LÄN</t>
        </is>
      </c>
      <c r="G2252" t="inlineStr">
        <is>
          <t>ÖRNSKÖLDSVIK</t>
        </is>
      </c>
      <c r="I2252" t="n">
        <v>4.5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22818-2026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46160</v>
      </c>
      <c r="E2253" s="1" t="n">
        <v>46321</v>
      </c>
      <c r="F2253" t="inlineStr">
        <is>
          <t>VÄSTERNORRLANDS LÄN</t>
        </is>
      </c>
      <c r="G2253" t="inlineStr">
        <is>
          <t>ÖRNSKÖLDSVIK</t>
        </is>
      </c>
      <c r="I2253" t="n">
        <v>0.9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9556-2024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45360</v>
      </c>
      <c r="E2254" s="1" t="n">
        <v>46321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SCA</t>
        </is>
      </c>
      <c r="I2254" t="n">
        <v>0.4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59287-2024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45637</v>
      </c>
      <c r="E2255" s="1" t="n">
        <v>46321</v>
      </c>
      <c r="F2255" t="inlineStr">
        <is>
          <t>VÄSTERNORRLANDS LÄN</t>
        </is>
      </c>
      <c r="G2255" t="inlineStr">
        <is>
          <t>ÖRNSKÖLDSVIK</t>
        </is>
      </c>
      <c r="I2255" t="n">
        <v>3.7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54688-2024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45618</v>
      </c>
      <c r="E2256" s="1" t="n">
        <v>46321</v>
      </c>
      <c r="F2256" t="inlineStr">
        <is>
          <t>VÄSTERNORRLANDS LÄN</t>
        </is>
      </c>
      <c r="G2256" t="inlineStr">
        <is>
          <t>ÖRNSKÖLDSVIK</t>
        </is>
      </c>
      <c r="I2256" t="n">
        <v>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54798-2024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45618</v>
      </c>
      <c r="E2257" s="1" t="n">
        <v>46321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2.8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3966-2023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44952</v>
      </c>
      <c r="E2258" s="1" t="n">
        <v>46321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1.1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52376-2024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45609</v>
      </c>
      <c r="E2259" s="1" t="n">
        <v>46321</v>
      </c>
      <c r="F2259" t="inlineStr">
        <is>
          <t>VÄSTERNORRLANDS LÄN</t>
        </is>
      </c>
      <c r="G2259" t="inlineStr">
        <is>
          <t>ÖRNSKÖLDSVIK</t>
        </is>
      </c>
      <c r="I2259" t="n">
        <v>0.5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51437-2024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45604</v>
      </c>
      <c r="E2260" s="1" t="n">
        <v>46321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34462-2024</t>
        </is>
      </c>
      <c r="B2261" t="inlineStr">
        <is>
          <t>avverkningsanmälan</t>
        </is>
      </c>
      <c r="C2261" t="inlineStr">
        <is>
          <t>Avverkning för annat ändamål</t>
        </is>
      </c>
      <c r="D2261" s="1" t="n">
        <v>45525</v>
      </c>
      <c r="E2261" s="1" t="n">
        <v>46321</v>
      </c>
      <c r="F2261" t="inlineStr">
        <is>
          <t>VÄSTERNORRLANDS LÄN</t>
        </is>
      </c>
      <c r="G2261" t="inlineStr">
        <is>
          <t>ÖRNSKÖLDSVIK</t>
        </is>
      </c>
      <c r="I2261" t="n">
        <v>1.6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58775-2022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44903</v>
      </c>
      <c r="E2262" s="1" t="n">
        <v>46321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2.8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33368-2024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45519</v>
      </c>
      <c r="E2263" s="1" t="n">
        <v>46321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7820-2025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45706</v>
      </c>
      <c r="E2264" s="1" t="n">
        <v>46321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SCA</t>
        </is>
      </c>
      <c r="I2264" t="n">
        <v>2.4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1795-2025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45670</v>
      </c>
      <c r="E2265" s="1" t="n">
        <v>46321</v>
      </c>
      <c r="F2265" t="inlineStr">
        <is>
          <t>VÄSTERNORRLANDS LÄN</t>
        </is>
      </c>
      <c r="G2265" t="inlineStr">
        <is>
          <t>ÖRNSKÖLDSVIK</t>
        </is>
      </c>
      <c r="I2265" t="n">
        <v>2.1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61255-2024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45644</v>
      </c>
      <c r="E2266" s="1" t="n">
        <v>46321</v>
      </c>
      <c r="F2266" t="inlineStr">
        <is>
          <t>VÄSTERNORRLANDS LÄN</t>
        </is>
      </c>
      <c r="G2266" t="inlineStr">
        <is>
          <t>ÖRNSKÖLDSVIK</t>
        </is>
      </c>
      <c r="I2266" t="n">
        <v>2.8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50796-2024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45602</v>
      </c>
      <c r="E2267" s="1" t="n">
        <v>46321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0.8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13225-2023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45002</v>
      </c>
      <c r="E2268" s="1" t="n">
        <v>46321</v>
      </c>
      <c r="F2268" t="inlineStr">
        <is>
          <t>VÄSTERNORRLANDS LÄN</t>
        </is>
      </c>
      <c r="G2268" t="inlineStr">
        <is>
          <t>ÖRNSKÖLDSVIK</t>
        </is>
      </c>
      <c r="I2268" t="n">
        <v>2.7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13226-2023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45002</v>
      </c>
      <c r="E2269" s="1" t="n">
        <v>46321</v>
      </c>
      <c r="F2269" t="inlineStr">
        <is>
          <t>VÄSTERNORRLANDS LÄN</t>
        </is>
      </c>
      <c r="G2269" t="inlineStr">
        <is>
          <t>ÖRNSKÖLDSVIK</t>
        </is>
      </c>
      <c r="I2269" t="n">
        <v>0.6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60494-2024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45643</v>
      </c>
      <c r="E2270" s="1" t="n">
        <v>46321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SCA</t>
        </is>
      </c>
      <c r="I2270" t="n">
        <v>3.1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11050-2023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44991</v>
      </c>
      <c r="E2271" s="1" t="n">
        <v>46321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SCA</t>
        </is>
      </c>
      <c r="I2271" t="n">
        <v>2.6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250-2024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45294</v>
      </c>
      <c r="E2272" s="1" t="n">
        <v>46321</v>
      </c>
      <c r="F2272" t="inlineStr">
        <is>
          <t>VÄSTERNORRLANDS LÄN</t>
        </is>
      </c>
      <c r="G2272" t="inlineStr">
        <is>
          <t>ÖRNSKÖLDSVIK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8707-2024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45356</v>
      </c>
      <c r="E2273" s="1" t="n">
        <v>46321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1001-2025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45666</v>
      </c>
      <c r="E2274" s="1" t="n">
        <v>46321</v>
      </c>
      <c r="F2274" t="inlineStr">
        <is>
          <t>VÄSTERNORRLANDS LÄN</t>
        </is>
      </c>
      <c r="G2274" t="inlineStr">
        <is>
          <t>ÖRNSKÖLDSVIK</t>
        </is>
      </c>
      <c r="I2274" t="n">
        <v>1.3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21136-2024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45440</v>
      </c>
      <c r="E2275" s="1" t="n">
        <v>46321</v>
      </c>
      <c r="F2275" t="inlineStr">
        <is>
          <t>VÄSTERNORRLANDS LÄN</t>
        </is>
      </c>
      <c r="G2275" t="inlineStr">
        <is>
          <t>ÖRNSKÖLDSVIK</t>
        </is>
      </c>
      <c r="I2275" t="n">
        <v>0.8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21138-2024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45440</v>
      </c>
      <c r="E2276" s="1" t="n">
        <v>46321</v>
      </c>
      <c r="F2276" t="inlineStr">
        <is>
          <t>VÄSTERNORRLANDS LÄN</t>
        </is>
      </c>
      <c r="G2276" t="inlineStr">
        <is>
          <t>ÖRNSKÖLDSVIK</t>
        </is>
      </c>
      <c r="I2276" t="n">
        <v>0.5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17514-2023</t>
        </is>
      </c>
      <c r="B2277" t="inlineStr">
        <is>
          <t>avverkningsanmälan</t>
        </is>
      </c>
      <c r="C2277" t="inlineStr">
        <is>
          <t>Avverkning för att bevara och utveckla /försöksver</t>
        </is>
      </c>
      <c r="D2277" s="1" t="n">
        <v>45034</v>
      </c>
      <c r="E2277" s="1" t="n">
        <v>46321</v>
      </c>
      <c r="F2277" t="inlineStr">
        <is>
          <t>VÄSTERNORRLANDS LÄN</t>
        </is>
      </c>
      <c r="G2277" t="inlineStr">
        <is>
          <t>ÖRNSKÖLDSVIK</t>
        </is>
      </c>
      <c r="I2277" t="n">
        <v>1.7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11252-2024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45371</v>
      </c>
      <c r="E2278" s="1" t="n">
        <v>46321</v>
      </c>
      <c r="F2278" t="inlineStr">
        <is>
          <t>VÄSTERNORRLANDS LÄN</t>
        </is>
      </c>
      <c r="G2278" t="inlineStr">
        <is>
          <t>ÖRNSKÖLDSVIK</t>
        </is>
      </c>
      <c r="I2278" t="n">
        <v>2.6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27092-2023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45096</v>
      </c>
      <c r="E2279" s="1" t="n">
        <v>46321</v>
      </c>
      <c r="F2279" t="inlineStr">
        <is>
          <t>VÄSTERNORRLANDS LÄN</t>
        </is>
      </c>
      <c r="G2279" t="inlineStr">
        <is>
          <t>ÖRNSKÖLDSVIK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52996-2024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45611</v>
      </c>
      <c r="E2280" s="1" t="n">
        <v>46321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SCA</t>
        </is>
      </c>
      <c r="I2280" t="n">
        <v>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40690-2024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45558</v>
      </c>
      <c r="E2281" s="1" t="n">
        <v>46321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0.4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37736-2023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45159</v>
      </c>
      <c r="E2282" s="1" t="n">
        <v>46321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3.2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61121-2024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45645</v>
      </c>
      <c r="E2283" s="1" t="n">
        <v>46321</v>
      </c>
      <c r="F2283" t="inlineStr">
        <is>
          <t>VÄSTERNORRLANDS LÄN</t>
        </is>
      </c>
      <c r="G2283" t="inlineStr">
        <is>
          <t>ÖRNSKÖLDSVIK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58043-2024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45631</v>
      </c>
      <c r="E2284" s="1" t="n">
        <v>46321</v>
      </c>
      <c r="F2284" t="inlineStr">
        <is>
          <t>VÄSTERNORRLANDS LÄN</t>
        </is>
      </c>
      <c r="G2284" t="inlineStr">
        <is>
          <t>ÖRNSKÖLDSVIK</t>
        </is>
      </c>
      <c r="I2284" t="n">
        <v>5.2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61424-2024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45646</v>
      </c>
      <c r="E2285" s="1" t="n">
        <v>46321</v>
      </c>
      <c r="F2285" t="inlineStr">
        <is>
          <t>VÄSTERNORRLANDS LÄN</t>
        </is>
      </c>
      <c r="G2285" t="inlineStr">
        <is>
          <t>ÖRNSKÖLDSVIK</t>
        </is>
      </c>
      <c r="I2285" t="n">
        <v>1.3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2111-2025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45672</v>
      </c>
      <c r="E2286" s="1" t="n">
        <v>46321</v>
      </c>
      <c r="F2286" t="inlineStr">
        <is>
          <t>VÄSTERNORRLANDS LÄN</t>
        </is>
      </c>
      <c r="G2286" t="inlineStr">
        <is>
          <t>ÖRNSKÖLDSVIK</t>
        </is>
      </c>
      <c r="I2286" t="n">
        <v>13.7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53976-2024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45616</v>
      </c>
      <c r="E2287" s="1" t="n">
        <v>46321</v>
      </c>
      <c r="F2287" t="inlineStr">
        <is>
          <t>VÄSTERNORRLANDS LÄN</t>
        </is>
      </c>
      <c r="G2287" t="inlineStr">
        <is>
          <t>ÖRNSKÖLDSVIK</t>
        </is>
      </c>
      <c r="I2287" t="n">
        <v>2.3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23869-2024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45455</v>
      </c>
      <c r="E2288" s="1" t="n">
        <v>46321</v>
      </c>
      <c r="F2288" t="inlineStr">
        <is>
          <t>VÄSTERNORRLANDS LÄN</t>
        </is>
      </c>
      <c r="G2288" t="inlineStr">
        <is>
          <t>ÖRNSKÖLDSVIK</t>
        </is>
      </c>
      <c r="I2288" t="n">
        <v>1.1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62082-2023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45266</v>
      </c>
      <c r="E2289" s="1" t="n">
        <v>46321</v>
      </c>
      <c r="F2289" t="inlineStr">
        <is>
          <t>VÄSTERNORRLANDS LÄN</t>
        </is>
      </c>
      <c r="G2289" t="inlineStr">
        <is>
          <t>ÖRNSKÖLDSVIK</t>
        </is>
      </c>
      <c r="I2289" t="n">
        <v>4.6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18417-2023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45042</v>
      </c>
      <c r="E2290" s="1" t="n">
        <v>46321</v>
      </c>
      <c r="F2290" t="inlineStr">
        <is>
          <t>VÄSTERNORRLANDS LÄN</t>
        </is>
      </c>
      <c r="G2290" t="inlineStr">
        <is>
          <t>ÖRNSKÖLDSVIK</t>
        </is>
      </c>
      <c r="I2290" t="n">
        <v>0.7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58526-2024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45635</v>
      </c>
      <c r="E2291" s="1" t="n">
        <v>46321</v>
      </c>
      <c r="F2291" t="inlineStr">
        <is>
          <t>VÄSTERNORRLANDS LÄN</t>
        </is>
      </c>
      <c r="G2291" t="inlineStr">
        <is>
          <t>ÖRNSKÖLDSVIK</t>
        </is>
      </c>
      <c r="I2291" t="n">
        <v>0.9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44159-2024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45572</v>
      </c>
      <c r="E2292" s="1" t="n">
        <v>46321</v>
      </c>
      <c r="F2292" t="inlineStr">
        <is>
          <t>VÄSTERNORRLANDS LÄN</t>
        </is>
      </c>
      <c r="G2292" t="inlineStr">
        <is>
          <t>ÖRNSKÖLDSVIK</t>
        </is>
      </c>
      <c r="I2292" t="n">
        <v>2.5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28651-2023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45096</v>
      </c>
      <c r="E2293" s="1" t="n">
        <v>46321</v>
      </c>
      <c r="F2293" t="inlineStr">
        <is>
          <t>VÄSTERNORRLANDS LÄN</t>
        </is>
      </c>
      <c r="G2293" t="inlineStr">
        <is>
          <t>ÖRNSKÖLDSVIK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49312-2024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45595</v>
      </c>
      <c r="E2294" s="1" t="n">
        <v>46321</v>
      </c>
      <c r="F2294" t="inlineStr">
        <is>
          <t>VÄSTERNORRLANDS LÄN</t>
        </is>
      </c>
      <c r="G2294" t="inlineStr">
        <is>
          <t>ÖRNSKÖLDSVIK</t>
        </is>
      </c>
      <c r="I2294" t="n">
        <v>7.8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2488-2022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44579</v>
      </c>
      <c r="E2295" s="1" t="n">
        <v>46321</v>
      </c>
      <c r="F2295" t="inlineStr">
        <is>
          <t>VÄSTERNORRLANDS LÄN</t>
        </is>
      </c>
      <c r="G2295" t="inlineStr">
        <is>
          <t>ÖRNSKÖLDSVIK</t>
        </is>
      </c>
      <c r="I2295" t="n">
        <v>2.3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51303-2024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45604</v>
      </c>
      <c r="E2296" s="1" t="n">
        <v>46321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10872-2025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45722</v>
      </c>
      <c r="E2297" s="1" t="n">
        <v>46321</v>
      </c>
      <c r="F2297" t="inlineStr">
        <is>
          <t>VÄSTERNORRLANDS LÄN</t>
        </is>
      </c>
      <c r="G2297" t="inlineStr">
        <is>
          <t>ÖRNSKÖLDSVIK</t>
        </is>
      </c>
      <c r="I2297" t="n">
        <v>2.5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48611-2022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44859</v>
      </c>
      <c r="E2298" s="1" t="n">
        <v>46321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1.9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54613-2024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45617</v>
      </c>
      <c r="E2299" s="1" t="n">
        <v>46321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3.2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35624-2023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45147</v>
      </c>
      <c r="E2300" s="1" t="n">
        <v>46321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0.7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34342-2024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45525</v>
      </c>
      <c r="E2301" s="1" t="n">
        <v>46321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5.2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37914-2022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44811</v>
      </c>
      <c r="E2302" s="1" t="n">
        <v>46321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35250-2022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44798</v>
      </c>
      <c r="E2303" s="1" t="n">
        <v>46321</v>
      </c>
      <c r="F2303" t="inlineStr">
        <is>
          <t>VÄSTERNORRLANDS LÄN</t>
        </is>
      </c>
      <c r="G2303" t="inlineStr">
        <is>
          <t>ÖRNSKÖLDSVIK</t>
        </is>
      </c>
      <c r="I2303" t="n">
        <v>1.4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35266-2022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44798</v>
      </c>
      <c r="E2304" s="1" t="n">
        <v>46321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Kyrkan</t>
        </is>
      </c>
      <c r="I2304" t="n">
        <v>13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58481-2024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45635</v>
      </c>
      <c r="E2305" s="1" t="n">
        <v>46321</v>
      </c>
      <c r="F2305" t="inlineStr">
        <is>
          <t>VÄSTERNORRLANDS LÄN</t>
        </is>
      </c>
      <c r="G2305" t="inlineStr">
        <is>
          <t>ÖRNSKÖLDSVIK</t>
        </is>
      </c>
      <c r="I2305" t="n">
        <v>0.3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373-2025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45661</v>
      </c>
      <c r="E2306" s="1" t="n">
        <v>46321</v>
      </c>
      <c r="F2306" t="inlineStr">
        <is>
          <t>VÄSTERNORRLANDS LÄN</t>
        </is>
      </c>
      <c r="G2306" t="inlineStr">
        <is>
          <t>ÖRNSKÖLDSVIK</t>
        </is>
      </c>
      <c r="I2306" t="n">
        <v>0.3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16549-2023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45029</v>
      </c>
      <c r="E2307" s="1" t="n">
        <v>46321</v>
      </c>
      <c r="F2307" t="inlineStr">
        <is>
          <t>VÄSTERNORRLANDS LÄN</t>
        </is>
      </c>
      <c r="G2307" t="inlineStr">
        <is>
          <t>ÖRNSKÖLDSVIK</t>
        </is>
      </c>
      <c r="I2307" t="n">
        <v>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27509-2022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44742</v>
      </c>
      <c r="E2308" s="1" t="n">
        <v>46321</v>
      </c>
      <c r="F2308" t="inlineStr">
        <is>
          <t>VÄSTERNORRLANDS LÄN</t>
        </is>
      </c>
      <c r="G2308" t="inlineStr">
        <is>
          <t>ÖRNSKÖLDSVIK</t>
        </is>
      </c>
      <c r="I2308" t="n">
        <v>2.8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60720-2024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45638</v>
      </c>
      <c r="E2309" s="1" t="n">
        <v>46321</v>
      </c>
      <c r="F2309" t="inlineStr">
        <is>
          <t>VÄSTERNORRLANDS LÄN</t>
        </is>
      </c>
      <c r="G2309" t="inlineStr">
        <is>
          <t>ÖRNSKÖLDSVIK</t>
        </is>
      </c>
      <c r="I2309" t="n">
        <v>0.6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195-2025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45659</v>
      </c>
      <c r="E2310" s="1" t="n">
        <v>46321</v>
      </c>
      <c r="F2310" t="inlineStr">
        <is>
          <t>VÄSTERNORRLANDS LÄN</t>
        </is>
      </c>
      <c r="G2310" t="inlineStr">
        <is>
          <t>ÖRNSKÖLDSVIK</t>
        </is>
      </c>
      <c r="I2310" t="n">
        <v>0.7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10821-2025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45722</v>
      </c>
      <c r="E2311" s="1" t="n">
        <v>46321</v>
      </c>
      <c r="F2311" t="inlineStr">
        <is>
          <t>VÄSTERNORRLANDS LÄN</t>
        </is>
      </c>
      <c r="G2311" t="inlineStr">
        <is>
          <t>ÖRNSKÖLDSVIK</t>
        </is>
      </c>
      <c r="I2311" t="n">
        <v>0.9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5437-2025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45692</v>
      </c>
      <c r="E2312" s="1" t="n">
        <v>46321</v>
      </c>
      <c r="F2312" t="inlineStr">
        <is>
          <t>VÄSTERNORRLANDS LÄN</t>
        </is>
      </c>
      <c r="G2312" t="inlineStr">
        <is>
          <t>ÖRNSKÖLDSVIK</t>
        </is>
      </c>
      <c r="I2312" t="n">
        <v>0.7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48239-2023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45205</v>
      </c>
      <c r="E2313" s="1" t="n">
        <v>46321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48323-2023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45201</v>
      </c>
      <c r="E2314" s="1" t="n">
        <v>46321</v>
      </c>
      <c r="F2314" t="inlineStr">
        <is>
          <t>VÄSTERNORRLANDS LÄN</t>
        </is>
      </c>
      <c r="G2314" t="inlineStr">
        <is>
          <t>ÖRNSKÖLDSVIK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15692-2022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44663</v>
      </c>
      <c r="E2315" s="1" t="n">
        <v>46321</v>
      </c>
      <c r="F2315" t="inlineStr">
        <is>
          <t>VÄSTERNORRLANDS LÄN</t>
        </is>
      </c>
      <c r="G2315" t="inlineStr">
        <is>
          <t>ÖRNSKÖLDSVIK</t>
        </is>
      </c>
      <c r="I2315" t="n">
        <v>0.8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35602-2023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45147</v>
      </c>
      <c r="E2316" s="1" t="n">
        <v>46321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0.7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24867-2023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45085</v>
      </c>
      <c r="E2317" s="1" t="n">
        <v>46321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1268-2025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45667</v>
      </c>
      <c r="E2318" s="1" t="n">
        <v>46321</v>
      </c>
      <c r="F2318" t="inlineStr">
        <is>
          <t>VÄSTERNORRLANDS LÄN</t>
        </is>
      </c>
      <c r="G2318" t="inlineStr">
        <is>
          <t>ÖRNSKÖLDSVIK</t>
        </is>
      </c>
      <c r="I2318" t="n">
        <v>7.7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30226-2024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45489</v>
      </c>
      <c r="E2319" s="1" t="n">
        <v>46321</v>
      </c>
      <c r="F2319" t="inlineStr">
        <is>
          <t>VÄSTERNORRLANDS LÄN</t>
        </is>
      </c>
      <c r="G2319" t="inlineStr">
        <is>
          <t>ÖRNSKÖLDSVIK</t>
        </is>
      </c>
      <c r="I2319" t="n">
        <v>1.8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10369-2023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44980</v>
      </c>
      <c r="E2320" s="1" t="n">
        <v>46321</v>
      </c>
      <c r="F2320" t="inlineStr">
        <is>
          <t>VÄSTERNORRLANDS LÄN</t>
        </is>
      </c>
      <c r="G2320" t="inlineStr">
        <is>
          <t>ÖRNSKÖLDSVIK</t>
        </is>
      </c>
      <c r="I2320" t="n">
        <v>0.5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57469-2023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45240</v>
      </c>
      <c r="E2321" s="1" t="n">
        <v>46321</v>
      </c>
      <c r="F2321" t="inlineStr">
        <is>
          <t>VÄSTERNORRLANDS LÄN</t>
        </is>
      </c>
      <c r="G2321" t="inlineStr">
        <is>
          <t>ÖRNSKÖLDSVIK</t>
        </is>
      </c>
      <c r="I2321" t="n">
        <v>0.4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57480-2023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45240</v>
      </c>
      <c r="E2322" s="1" t="n">
        <v>46321</v>
      </c>
      <c r="F2322" t="inlineStr">
        <is>
          <t>VÄSTERNORRLANDS LÄN</t>
        </is>
      </c>
      <c r="G2322" t="inlineStr">
        <is>
          <t>ÖRNSKÖLDSVIK</t>
        </is>
      </c>
      <c r="I2322" t="n">
        <v>2.2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48612-2022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44854</v>
      </c>
      <c r="E2323" s="1" t="n">
        <v>46321</v>
      </c>
      <c r="F2323" t="inlineStr">
        <is>
          <t>VÄSTERNORRLANDS LÄN</t>
        </is>
      </c>
      <c r="G2323" t="inlineStr">
        <is>
          <t>ÖRNSKÖLDSVIK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58936-2024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45636</v>
      </c>
      <c r="E2324" s="1" t="n">
        <v>46321</v>
      </c>
      <c r="F2324" t="inlineStr">
        <is>
          <t>VÄSTERNORRLANDS LÄN</t>
        </is>
      </c>
      <c r="G2324" t="inlineStr">
        <is>
          <t>ÖRNSKÖLDSVIK</t>
        </is>
      </c>
      <c r="I2324" t="n">
        <v>7.3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14720-2025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45742</v>
      </c>
      <c r="E2325" s="1" t="n">
        <v>46321</v>
      </c>
      <c r="F2325" t="inlineStr">
        <is>
          <t>VÄSTERNORRLANDS LÄN</t>
        </is>
      </c>
      <c r="G2325" t="inlineStr">
        <is>
          <t>ÖRNSKÖLDSVIK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11976-2022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44635</v>
      </c>
      <c r="E2326" s="1" t="n">
        <v>46321</v>
      </c>
      <c r="F2326" t="inlineStr">
        <is>
          <t>VÄSTERNORRLANDS LÄN</t>
        </is>
      </c>
      <c r="G2326" t="inlineStr">
        <is>
          <t>ÖRNSKÖLDSVIK</t>
        </is>
      </c>
      <c r="I2326" t="n">
        <v>11.9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52416-2023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45225</v>
      </c>
      <c r="E2327" s="1" t="n">
        <v>46321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0.8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37851-2024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45544</v>
      </c>
      <c r="E2328" s="1" t="n">
        <v>46321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0.3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37873-2024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45544</v>
      </c>
      <c r="E2329" s="1" t="n">
        <v>46321</v>
      </c>
      <c r="F2329" t="inlineStr">
        <is>
          <t>VÄSTERNORRLANDS LÄN</t>
        </is>
      </c>
      <c r="G2329" t="inlineStr">
        <is>
          <t>ÖRNSKÖLDSVIK</t>
        </is>
      </c>
      <c r="I2329" t="n">
        <v>12.3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27703-2024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45475</v>
      </c>
      <c r="E2330" s="1" t="n">
        <v>46321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2.6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10463-2025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45720</v>
      </c>
      <c r="E2331" s="1" t="n">
        <v>46321</v>
      </c>
      <c r="F2331" t="inlineStr">
        <is>
          <t>VÄSTERNORRLANDS LÄN</t>
        </is>
      </c>
      <c r="G2331" t="inlineStr">
        <is>
          <t>ÖRNSKÖLDSVIK</t>
        </is>
      </c>
      <c r="I2331" t="n">
        <v>1.3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9146-2025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45714</v>
      </c>
      <c r="E2332" s="1" t="n">
        <v>46321</v>
      </c>
      <c r="F2332" t="inlineStr">
        <is>
          <t>VÄSTERNORRLANDS LÄN</t>
        </is>
      </c>
      <c r="G2332" t="inlineStr">
        <is>
          <t>ÖRNSKÖLDSVIK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8012-2025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45707</v>
      </c>
      <c r="E2333" s="1" t="n">
        <v>46321</v>
      </c>
      <c r="F2333" t="inlineStr">
        <is>
          <t>VÄSTERNORRLANDS LÄN</t>
        </is>
      </c>
      <c r="G2333" t="inlineStr">
        <is>
          <t>ÖRNSKÖLDSVIK</t>
        </is>
      </c>
      <c r="I2333" t="n">
        <v>0.4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12980-2023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45002</v>
      </c>
      <c r="E2334" s="1" t="n">
        <v>46321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SCA</t>
        </is>
      </c>
      <c r="I2334" t="n">
        <v>5.2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15612-2025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45747</v>
      </c>
      <c r="E2335" s="1" t="n">
        <v>46321</v>
      </c>
      <c r="F2335" t="inlineStr">
        <is>
          <t>VÄSTERNORRLANDS LÄN</t>
        </is>
      </c>
      <c r="G2335" t="inlineStr">
        <is>
          <t>ÖRNSKÖLDSVIK</t>
        </is>
      </c>
      <c r="I2335" t="n">
        <v>1.2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54982-2022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44886</v>
      </c>
      <c r="E2336" s="1" t="n">
        <v>46321</v>
      </c>
      <c r="F2336" t="inlineStr">
        <is>
          <t>VÄSTERNORRLANDS LÄN</t>
        </is>
      </c>
      <c r="G2336" t="inlineStr">
        <is>
          <t>ÖRNSKÖLDSVIK</t>
        </is>
      </c>
      <c r="I2336" t="n">
        <v>3.1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53259-2023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45229</v>
      </c>
      <c r="E2337" s="1" t="n">
        <v>46321</v>
      </c>
      <c r="F2337" t="inlineStr">
        <is>
          <t>VÄSTERNORRLANDS LÄN</t>
        </is>
      </c>
      <c r="G2337" t="inlineStr">
        <is>
          <t>ÖRNSKÖLDSVIK</t>
        </is>
      </c>
      <c r="I2337" t="n">
        <v>2.2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44083-2022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44839</v>
      </c>
      <c r="E2338" s="1" t="n">
        <v>46321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54582-2024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45617</v>
      </c>
      <c r="E2339" s="1" t="n">
        <v>46321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47330-2023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45196</v>
      </c>
      <c r="E2340" s="1" t="n">
        <v>46321</v>
      </c>
      <c r="F2340" t="inlineStr">
        <is>
          <t>VÄSTERNORRLANDS LÄN</t>
        </is>
      </c>
      <c r="G2340" t="inlineStr">
        <is>
          <t>ÖRNSKÖLDSVIK</t>
        </is>
      </c>
      <c r="I2340" t="n">
        <v>12.7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66636-2021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44519</v>
      </c>
      <c r="E2341" s="1" t="n">
        <v>46321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2.1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436-2024</t>
        </is>
      </c>
      <c r="B2342" t="inlineStr">
        <is>
          <t>avverkningsanmälan</t>
        </is>
      </c>
      <c r="C2342" t="inlineStr">
        <is>
          <t>Avverkning för att bevara och utveckla /försöksver</t>
        </is>
      </c>
      <c r="D2342" s="1" t="n">
        <v>45296</v>
      </c>
      <c r="E2342" s="1" t="n">
        <v>46321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4.1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40867-2023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45173</v>
      </c>
      <c r="E2343" s="1" t="n">
        <v>46321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0.4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63738-2023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45277</v>
      </c>
      <c r="E2344" s="1" t="n">
        <v>46321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Övriga Aktiebolag</t>
        </is>
      </c>
      <c r="I2344" t="n">
        <v>3.2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63744-2023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45277</v>
      </c>
      <c r="E2345" s="1" t="n">
        <v>46321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Övriga Aktiebolag</t>
        </is>
      </c>
      <c r="I2345" t="n">
        <v>2.9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68750-2021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44529</v>
      </c>
      <c r="E2346" s="1" t="n">
        <v>46321</v>
      </c>
      <c r="F2346" t="inlineStr">
        <is>
          <t>VÄSTERNORRLANDS LÄN</t>
        </is>
      </c>
      <c r="G2346" t="inlineStr">
        <is>
          <t>ÖRNSKÖLDSVIK</t>
        </is>
      </c>
      <c r="I2346" t="n">
        <v>2.4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49960-2023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45215</v>
      </c>
      <c r="E2347" s="1" t="n">
        <v>46321</v>
      </c>
      <c r="F2347" t="inlineStr">
        <is>
          <t>VÄSTERNORRLANDS LÄN</t>
        </is>
      </c>
      <c r="G2347" t="inlineStr">
        <is>
          <t>ÖRNSKÖLDSVIK</t>
        </is>
      </c>
      <c r="I2347" t="n">
        <v>0.7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32488-2024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45513</v>
      </c>
      <c r="E2348" s="1" t="n">
        <v>46321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19137-2023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45044</v>
      </c>
      <c r="E2349" s="1" t="n">
        <v>46321</v>
      </c>
      <c r="F2349" t="inlineStr">
        <is>
          <t>VÄSTERNORRLANDS LÄN</t>
        </is>
      </c>
      <c r="G2349" t="inlineStr">
        <is>
          <t>ÖRNSKÖLDSVIK</t>
        </is>
      </c>
      <c r="I2349" t="n">
        <v>1.2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63039-2021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44505</v>
      </c>
      <c r="E2350" s="1" t="n">
        <v>46321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21479-2023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45063</v>
      </c>
      <c r="E2351" s="1" t="n">
        <v>46321</v>
      </c>
      <c r="F2351" t="inlineStr">
        <is>
          <t>VÄSTERNORRLANDS LÄN</t>
        </is>
      </c>
      <c r="G2351" t="inlineStr">
        <is>
          <t>ÖRNSKÖLDSVIK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57994-2023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45247</v>
      </c>
      <c r="E2352" s="1" t="n">
        <v>46321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1.3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37133-2024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45539</v>
      </c>
      <c r="E2353" s="1" t="n">
        <v>46321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48010-2023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45204</v>
      </c>
      <c r="E2354" s="1" t="n">
        <v>46321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41710-2023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45173</v>
      </c>
      <c r="E2355" s="1" t="n">
        <v>46321</v>
      </c>
      <c r="F2355" t="inlineStr">
        <is>
          <t>VÄSTERNORRLANDS LÄN</t>
        </is>
      </c>
      <c r="G2355" t="inlineStr">
        <is>
          <t>ÖRNSKÖLDSVIK</t>
        </is>
      </c>
      <c r="I2355" t="n">
        <v>6.1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24277-2024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45457</v>
      </c>
      <c r="E2356" s="1" t="n">
        <v>46321</v>
      </c>
      <c r="F2356" t="inlineStr">
        <is>
          <t>VÄSTERNORRLANDS LÄN</t>
        </is>
      </c>
      <c r="G2356" t="inlineStr">
        <is>
          <t>ÖRNSKÖLDSVIK</t>
        </is>
      </c>
      <c r="I2356" t="n">
        <v>2.3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67448-2021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44524</v>
      </c>
      <c r="E2357" s="1" t="n">
        <v>46321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34917-2024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45527</v>
      </c>
      <c r="E2358" s="1" t="n">
        <v>46321</v>
      </c>
      <c r="F2358" t="inlineStr">
        <is>
          <t>VÄSTERNORRLANDS LÄN</t>
        </is>
      </c>
      <c r="G2358" t="inlineStr">
        <is>
          <t>ÖRNSKÖLDSVIK</t>
        </is>
      </c>
      <c r="I2358" t="n">
        <v>4.3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13733-2023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45006</v>
      </c>
      <c r="E2359" s="1" t="n">
        <v>46321</v>
      </c>
      <c r="F2359" t="inlineStr">
        <is>
          <t>VÄSTERNORRLANDS LÄN</t>
        </is>
      </c>
      <c r="G2359" t="inlineStr">
        <is>
          <t>ÖRNSKÖLDSVIK</t>
        </is>
      </c>
      <c r="I2359" t="n">
        <v>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10523-2025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45721</v>
      </c>
      <c r="E2360" s="1" t="n">
        <v>46321</v>
      </c>
      <c r="F2360" t="inlineStr">
        <is>
          <t>VÄSTERNORRLANDS LÄN</t>
        </is>
      </c>
      <c r="G2360" t="inlineStr">
        <is>
          <t>ÖRNSKÖLDSVIK</t>
        </is>
      </c>
      <c r="I2360" t="n">
        <v>5.3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34563-2024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45526</v>
      </c>
      <c r="E2361" s="1" t="n">
        <v>46321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47511-2023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45197</v>
      </c>
      <c r="E2362" s="1" t="n">
        <v>46321</v>
      </c>
      <c r="F2362" t="inlineStr">
        <is>
          <t>VÄSTERNORRLANDS LÄN</t>
        </is>
      </c>
      <c r="G2362" t="inlineStr">
        <is>
          <t>ÖRNSKÖLDSVIK</t>
        </is>
      </c>
      <c r="I2362" t="n">
        <v>1.7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47514-2023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45197</v>
      </c>
      <c r="E2363" s="1" t="n">
        <v>46321</v>
      </c>
      <c r="F2363" t="inlineStr">
        <is>
          <t>VÄSTERNORRLANDS LÄN</t>
        </is>
      </c>
      <c r="G2363" t="inlineStr">
        <is>
          <t>ÖRNSKÖLDSVIK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58530-2023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45251</v>
      </c>
      <c r="E2364" s="1" t="n">
        <v>46321</v>
      </c>
      <c r="F2364" t="inlineStr">
        <is>
          <t>VÄSTERNORRLANDS LÄN</t>
        </is>
      </c>
      <c r="G2364" t="inlineStr">
        <is>
          <t>ÖRNSKÖLDSVIK</t>
        </is>
      </c>
      <c r="I2364" t="n">
        <v>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34746-2024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45526</v>
      </c>
      <c r="E2365" s="1" t="n">
        <v>46321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3.2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61095-2022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44915</v>
      </c>
      <c r="E2366" s="1" t="n">
        <v>46321</v>
      </c>
      <c r="F2366" t="inlineStr">
        <is>
          <t>VÄSTERNORRLANDS LÄN</t>
        </is>
      </c>
      <c r="G2366" t="inlineStr">
        <is>
          <t>ÖRNSKÖLDSVIK</t>
        </is>
      </c>
      <c r="I2366" t="n">
        <v>1.2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61324-2023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45261</v>
      </c>
      <c r="E2367" s="1" t="n">
        <v>46321</v>
      </c>
      <c r="F2367" t="inlineStr">
        <is>
          <t>VÄSTERNORRLANDS LÄN</t>
        </is>
      </c>
      <c r="G2367" t="inlineStr">
        <is>
          <t>ÖRNSKÖLDSVIK</t>
        </is>
      </c>
      <c r="I2367" t="n">
        <v>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68934-2021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44529</v>
      </c>
      <c r="E2368" s="1" t="n">
        <v>46321</v>
      </c>
      <c r="F2368" t="inlineStr">
        <is>
          <t>VÄSTERNORRLANDS LÄN</t>
        </is>
      </c>
      <c r="G2368" t="inlineStr">
        <is>
          <t>ÖRNSKÖLDSVIK</t>
        </is>
      </c>
      <c r="I2368" t="n">
        <v>7.2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21640-2023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45063</v>
      </c>
      <c r="E2369" s="1" t="n">
        <v>46321</v>
      </c>
      <c r="F2369" t="inlineStr">
        <is>
          <t>VÄSTERNORRLANDS LÄN</t>
        </is>
      </c>
      <c r="G2369" t="inlineStr">
        <is>
          <t>ÖRNSKÖLDSVIK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47757-2023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45203</v>
      </c>
      <c r="E2370" s="1" t="n">
        <v>46321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0.9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30644-2023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45112</v>
      </c>
      <c r="E2371" s="1" t="n">
        <v>46321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0.5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20547-2023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45057</v>
      </c>
      <c r="E2372" s="1" t="n">
        <v>46321</v>
      </c>
      <c r="F2372" t="inlineStr">
        <is>
          <t>VÄSTERNORRLANDS LÄN</t>
        </is>
      </c>
      <c r="G2372" t="inlineStr">
        <is>
          <t>ÖRNSKÖLDSVIK</t>
        </is>
      </c>
      <c r="I2372" t="n">
        <v>0.7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20548-2023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45057</v>
      </c>
      <c r="E2373" s="1" t="n">
        <v>46321</v>
      </c>
      <c r="F2373" t="inlineStr">
        <is>
          <t>VÄSTERNORRLANDS LÄN</t>
        </is>
      </c>
      <c r="G2373" t="inlineStr">
        <is>
          <t>ÖRNSKÖLDSVIK</t>
        </is>
      </c>
      <c r="I2373" t="n">
        <v>1.3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30453-2023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45111</v>
      </c>
      <c r="E2374" s="1" t="n">
        <v>46321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30542-2024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45492</v>
      </c>
      <c r="E2375" s="1" t="n">
        <v>46321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30546-2024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45492</v>
      </c>
      <c r="E2376" s="1" t="n">
        <v>46321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0.7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33843-2024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45520</v>
      </c>
      <c r="E2377" s="1" t="n">
        <v>46321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2.1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47449-2022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44852</v>
      </c>
      <c r="E2378" s="1" t="n">
        <v>46321</v>
      </c>
      <c r="F2378" t="inlineStr">
        <is>
          <t>VÄSTERNORRLANDS LÄN</t>
        </is>
      </c>
      <c r="G2378" t="inlineStr">
        <is>
          <t>ÖRNSKÖLDSVIK</t>
        </is>
      </c>
      <c r="I2378" t="n">
        <v>5.8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62013-2021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44502</v>
      </c>
      <c r="E2379" s="1" t="n">
        <v>46321</v>
      </c>
      <c r="F2379" t="inlineStr">
        <is>
          <t>VÄSTERNORRLANDS LÄN</t>
        </is>
      </c>
      <c r="G2379" t="inlineStr">
        <is>
          <t>ÖRNSKÖLDSVIK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6510-2025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45699</v>
      </c>
      <c r="E2380" s="1" t="n">
        <v>46321</v>
      </c>
      <c r="F2380" t="inlineStr">
        <is>
          <t>VÄSTERNORRLANDS LÄN</t>
        </is>
      </c>
      <c r="G2380" t="inlineStr">
        <is>
          <t>ÖRNSKÖLDSVIK</t>
        </is>
      </c>
      <c r="I2380" t="n">
        <v>6.3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49056-2022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44860</v>
      </c>
      <c r="E2381" s="1" t="n">
        <v>46321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4.2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53223-2022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44876</v>
      </c>
      <c r="E2382" s="1" t="n">
        <v>46321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763-2023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44931</v>
      </c>
      <c r="E2383" s="1" t="n">
        <v>46321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3329-2022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44585</v>
      </c>
      <c r="E2384" s="1" t="n">
        <v>46321</v>
      </c>
      <c r="F2384" t="inlineStr">
        <is>
          <t>VÄSTERNORRLANDS LÄN</t>
        </is>
      </c>
      <c r="G2384" t="inlineStr">
        <is>
          <t>ÖRNSKÖLDSVIK</t>
        </is>
      </c>
      <c r="I2384" t="n">
        <v>7.9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51329-2022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44869</v>
      </c>
      <c r="E2385" s="1" t="n">
        <v>46321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7.5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10582-2025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45721</v>
      </c>
      <c r="E2386" s="1" t="n">
        <v>46321</v>
      </c>
      <c r="F2386" t="inlineStr">
        <is>
          <t>VÄSTERNORRLANDS LÄN</t>
        </is>
      </c>
      <c r="G2386" t="inlineStr">
        <is>
          <t>ÖRNSKÖLDSVIK</t>
        </is>
      </c>
      <c r="I2386" t="n">
        <v>0.8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37384-2024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45540</v>
      </c>
      <c r="E2387" s="1" t="n">
        <v>46321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0.5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62472-2021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44503</v>
      </c>
      <c r="E2388" s="1" t="n">
        <v>46321</v>
      </c>
      <c r="F2388" t="inlineStr">
        <is>
          <t>VÄSTERNORRLANDS LÄN</t>
        </is>
      </c>
      <c r="G2388" t="inlineStr">
        <is>
          <t>ÖRNSKÖLDSVIK</t>
        </is>
      </c>
      <c r="I2388" t="n">
        <v>13.6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25926-2024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45467</v>
      </c>
      <c r="E2389" s="1" t="n">
        <v>46321</v>
      </c>
      <c r="F2389" t="inlineStr">
        <is>
          <t>VÄSTERNORRLANDS LÄN</t>
        </is>
      </c>
      <c r="G2389" t="inlineStr">
        <is>
          <t>ÖRNSKÖLDSVIK</t>
        </is>
      </c>
      <c r="I2389" t="n">
        <v>1.1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31244-2023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45114</v>
      </c>
      <c r="E2390" s="1" t="n">
        <v>46321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29498-2023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45106</v>
      </c>
      <c r="E2391" s="1" t="n">
        <v>46321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36704-2024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45537</v>
      </c>
      <c r="E2392" s="1" t="n">
        <v>46321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0.8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34123-2023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45135</v>
      </c>
      <c r="E2393" s="1" t="n">
        <v>46321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0.3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39808-2024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45553</v>
      </c>
      <c r="E2394" s="1" t="n">
        <v>46321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53457-2023</t>
        </is>
      </c>
      <c r="B2395" t="inlineStr">
        <is>
          <t>avverkningsanmälan</t>
        </is>
      </c>
      <c r="C2395" t="inlineStr">
        <is>
          <t>Avverkning för att bevara och utveckla /försöksver</t>
        </is>
      </c>
      <c r="D2395" s="1" t="n">
        <v>45229</v>
      </c>
      <c r="E2395" s="1" t="n">
        <v>46321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SCA</t>
        </is>
      </c>
      <c r="I2395" t="n">
        <v>5.3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21258-2022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44706</v>
      </c>
      <c r="E2396" s="1" t="n">
        <v>46321</v>
      </c>
      <c r="F2396" t="inlineStr">
        <is>
          <t>VÄSTERNORRLANDS LÄN</t>
        </is>
      </c>
      <c r="G2396" t="inlineStr">
        <is>
          <t>ÖRNSKÖLDSVIK</t>
        </is>
      </c>
      <c r="I2396" t="n">
        <v>9.6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47667-2023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45203</v>
      </c>
      <c r="E2397" s="1" t="n">
        <v>46321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57309-2023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45240</v>
      </c>
      <c r="E2398" s="1" t="n">
        <v>46321</v>
      </c>
      <c r="F2398" t="inlineStr">
        <is>
          <t>VÄSTERNORRLANDS LÄN</t>
        </is>
      </c>
      <c r="G2398" t="inlineStr">
        <is>
          <t>ÖRNSKÖLDSVIK</t>
        </is>
      </c>
      <c r="I2398" t="n">
        <v>1.8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831-2024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45301</v>
      </c>
      <c r="E2399" s="1" t="n">
        <v>46321</v>
      </c>
      <c r="F2399" t="inlineStr">
        <is>
          <t>VÄSTERNORRLANDS LÄN</t>
        </is>
      </c>
      <c r="G2399" t="inlineStr">
        <is>
          <t>ÖRNSKÖLDSVIK</t>
        </is>
      </c>
      <c r="I2399" t="n">
        <v>1.2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23944-2023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45078</v>
      </c>
      <c r="E2400" s="1" t="n">
        <v>46321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3.6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40207-2024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45554</v>
      </c>
      <c r="E2401" s="1" t="n">
        <v>46321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0.6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60786-2021</t>
        </is>
      </c>
      <c r="B2402" t="inlineStr">
        <is>
          <t>avverkningsanmälan</t>
        </is>
      </c>
      <c r="C2402" t="inlineStr">
        <is>
          <t>Avverkning för att bevara och utveckla /försöksver</t>
        </is>
      </c>
      <c r="D2402" s="1" t="n">
        <v>44496</v>
      </c>
      <c r="E2402" s="1" t="n">
        <v>46321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SCA</t>
        </is>
      </c>
      <c r="I2402" t="n">
        <v>7.2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29184-2023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45105</v>
      </c>
      <c r="E2403" s="1" t="n">
        <v>46321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0.6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63091-2023</t>
        </is>
      </c>
      <c r="B2404" t="inlineStr">
        <is>
          <t>avverkningsanmälan</t>
        </is>
      </c>
      <c r="C2404" t="inlineStr">
        <is>
          <t>Avverkning för att bevara och utveckla /försöksver</t>
        </is>
      </c>
      <c r="D2404" s="1" t="n">
        <v>45273</v>
      </c>
      <c r="E2404" s="1" t="n">
        <v>46321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11774-2025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45727</v>
      </c>
      <c r="E2405" s="1" t="n">
        <v>46321</v>
      </c>
      <c r="F2405" t="inlineStr">
        <is>
          <t>VÄSTERNORRLANDS LÄN</t>
        </is>
      </c>
      <c r="G2405" t="inlineStr">
        <is>
          <t>ÖRNSKÖLDSVIK</t>
        </is>
      </c>
      <c r="I2405" t="n">
        <v>0.4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41520-2024</t>
        </is>
      </c>
      <c r="B2406" t="inlineStr">
        <is>
          <t>avverkningsanmälan</t>
        </is>
      </c>
      <c r="C2406" t="inlineStr">
        <is>
          <t>Avverkning för annat ändamål</t>
        </is>
      </c>
      <c r="D2406" s="1" t="n">
        <v>45560</v>
      </c>
      <c r="E2406" s="1" t="n">
        <v>46321</v>
      </c>
      <c r="F2406" t="inlineStr">
        <is>
          <t>VÄSTERNORRLANDS LÄN</t>
        </is>
      </c>
      <c r="G2406" t="inlineStr">
        <is>
          <t>ÖRNSKÖLDSVIK</t>
        </is>
      </c>
      <c r="I2406" t="n">
        <v>0.3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40134-2023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45169</v>
      </c>
      <c r="E2407" s="1" t="n">
        <v>46321</v>
      </c>
      <c r="F2407" t="inlineStr">
        <is>
          <t>VÄSTERNORRLANDS LÄN</t>
        </is>
      </c>
      <c r="G2407" t="inlineStr">
        <is>
          <t>ÖRNSKÖLDSVIK</t>
        </is>
      </c>
      <c r="I2407" t="n">
        <v>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53924-2023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45231</v>
      </c>
      <c r="E2408" s="1" t="n">
        <v>46321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4.1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42838-2024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45566</v>
      </c>
      <c r="E2409" s="1" t="n">
        <v>46321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0.4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2499-2024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45313</v>
      </c>
      <c r="E2410" s="1" t="n">
        <v>46321</v>
      </c>
      <c r="F2410" t="inlineStr">
        <is>
          <t>VÄSTERNORRLANDS LÄN</t>
        </is>
      </c>
      <c r="G2410" t="inlineStr">
        <is>
          <t>ÖRNSKÖLDSVIK</t>
        </is>
      </c>
      <c r="I2410" t="n">
        <v>2.1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2541-2024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45313</v>
      </c>
      <c r="E2411" s="1" t="n">
        <v>46321</v>
      </c>
      <c r="F2411" t="inlineStr">
        <is>
          <t>VÄSTERNORRLANDS LÄN</t>
        </is>
      </c>
      <c r="G2411" t="inlineStr">
        <is>
          <t>ÖRNSKÖLDSVIK</t>
        </is>
      </c>
      <c r="I2411" t="n">
        <v>1.2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19977-2023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45054</v>
      </c>
      <c r="E2412" s="1" t="n">
        <v>46321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0.4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20217-2023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45054</v>
      </c>
      <c r="E2413" s="1" t="n">
        <v>46321</v>
      </c>
      <c r="F2413" t="inlineStr">
        <is>
          <t>VÄSTERNORRLANDS LÄN</t>
        </is>
      </c>
      <c r="G2413" t="inlineStr">
        <is>
          <t>ÖRNSKÖLDSVIK</t>
        </is>
      </c>
      <c r="I2413" t="n">
        <v>0.4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12682-2024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45384</v>
      </c>
      <c r="E2414" s="1" t="n">
        <v>46321</v>
      </c>
      <c r="F2414" t="inlineStr">
        <is>
          <t>VÄSTERNORRLANDS LÄN</t>
        </is>
      </c>
      <c r="G2414" t="inlineStr">
        <is>
          <t>ÖRNSKÖLDSVIK</t>
        </is>
      </c>
      <c r="I2414" t="n">
        <v>1.3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33906-2023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45134</v>
      </c>
      <c r="E2415" s="1" t="n">
        <v>46321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4.3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44727-2023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45190</v>
      </c>
      <c r="E2416" s="1" t="n">
        <v>46321</v>
      </c>
      <c r="F2416" t="inlineStr">
        <is>
          <t>VÄSTERNORRLANDS LÄN</t>
        </is>
      </c>
      <c r="G2416" t="inlineStr">
        <is>
          <t>ÖRNSKÖLDSVIK</t>
        </is>
      </c>
      <c r="I2416" t="n">
        <v>2.8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47671-2022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44854</v>
      </c>
      <c r="E2417" s="1" t="n">
        <v>46321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3.2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49842-2024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45597</v>
      </c>
      <c r="E2418" s="1" t="n">
        <v>46321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2.1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28467-2023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45103</v>
      </c>
      <c r="E2419" s="1" t="n">
        <v>46321</v>
      </c>
      <c r="F2419" t="inlineStr">
        <is>
          <t>VÄSTERNORRLANDS LÄN</t>
        </is>
      </c>
      <c r="G2419" t="inlineStr">
        <is>
          <t>ÖRNSKÖLDSVIK</t>
        </is>
      </c>
      <c r="I2419" t="n">
        <v>8.1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62089-2022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44919</v>
      </c>
      <c r="E2420" s="1" t="n">
        <v>46321</v>
      </c>
      <c r="F2420" t="inlineStr">
        <is>
          <t>VÄSTERNORRLANDS LÄN</t>
        </is>
      </c>
      <c r="G2420" t="inlineStr">
        <is>
          <t>ÖRNSKÖLDSVIK</t>
        </is>
      </c>
      <c r="I2420" t="n">
        <v>24.7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62636-2021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44503</v>
      </c>
      <c r="E2421" s="1" t="n">
        <v>46321</v>
      </c>
      <c r="F2421" t="inlineStr">
        <is>
          <t>VÄSTERNORRLANDS LÄN</t>
        </is>
      </c>
      <c r="G2421" t="inlineStr">
        <is>
          <t>ÖRNSKÖLDSVIK</t>
        </is>
      </c>
      <c r="I2421" t="n">
        <v>1.9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63069-2023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45272</v>
      </c>
      <c r="E2422" s="1" t="n">
        <v>46321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Övriga Aktiebolag</t>
        </is>
      </c>
      <c r="I2422" t="n">
        <v>0.3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13816-2024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45390</v>
      </c>
      <c r="E2423" s="1" t="n">
        <v>46321</v>
      </c>
      <c r="F2423" t="inlineStr">
        <is>
          <t>VÄSTERNORRLANDS LÄN</t>
        </is>
      </c>
      <c r="G2423" t="inlineStr">
        <is>
          <t>ÖRNSKÖLDSVIK</t>
        </is>
      </c>
      <c r="I2423" t="n">
        <v>0.9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10100-2023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44985</v>
      </c>
      <c r="E2424" s="1" t="n">
        <v>46321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SCA</t>
        </is>
      </c>
      <c r="I2424" t="n">
        <v>2.6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61872-2021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44502</v>
      </c>
      <c r="E2425" s="1" t="n">
        <v>46321</v>
      </c>
      <c r="F2425" t="inlineStr">
        <is>
          <t>VÄSTERNORRLANDS LÄN</t>
        </is>
      </c>
      <c r="G2425" t="inlineStr">
        <is>
          <t>ÖRNSKÖLDSVIK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56128-2023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45240</v>
      </c>
      <c r="E2426" s="1" t="n">
        <v>46321</v>
      </c>
      <c r="F2426" t="inlineStr">
        <is>
          <t>VÄSTERNORRLANDS LÄN</t>
        </is>
      </c>
      <c r="G2426" t="inlineStr">
        <is>
          <t>ÖRNSKÖLDSVIK</t>
        </is>
      </c>
      <c r="I2426" t="n">
        <v>1.7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41045-2024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45559</v>
      </c>
      <c r="E2427" s="1" t="n">
        <v>46321</v>
      </c>
      <c r="F2427" t="inlineStr">
        <is>
          <t>VÄSTERNORRLANDS LÄN</t>
        </is>
      </c>
      <c r="G2427" t="inlineStr">
        <is>
          <t>ÖRNSKÖLDSVIK</t>
        </is>
      </c>
      <c r="I2427" t="n">
        <v>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61013-2024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45645</v>
      </c>
      <c r="E2428" s="1" t="n">
        <v>46321</v>
      </c>
      <c r="F2428" t="inlineStr">
        <is>
          <t>VÄSTERNORRLANDS LÄN</t>
        </is>
      </c>
      <c r="G2428" t="inlineStr">
        <is>
          <t>ÖRNSKÖLDSVIK</t>
        </is>
      </c>
      <c r="I2428" t="n">
        <v>0.7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25308-2023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45086</v>
      </c>
      <c r="E2429" s="1" t="n">
        <v>46321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SCA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52261-2024</t>
        </is>
      </c>
      <c r="B2430" t="inlineStr">
        <is>
          <t>avverkningsanmälan</t>
        </is>
      </c>
      <c r="C2430" t="inlineStr">
        <is>
          <t>Avverkning för annat ändamål</t>
        </is>
      </c>
      <c r="D2430" s="1" t="n">
        <v>45608</v>
      </c>
      <c r="E2430" s="1" t="n">
        <v>46321</v>
      </c>
      <c r="F2430" t="inlineStr">
        <is>
          <t>VÄSTERNORRLANDS LÄN</t>
        </is>
      </c>
      <c r="G2430" t="inlineStr">
        <is>
          <t>ÖRNSKÖLDSVIK</t>
        </is>
      </c>
      <c r="I2430" t="n">
        <v>0.3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44865-2024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45575</v>
      </c>
      <c r="E2431" s="1" t="n">
        <v>46321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14963-2023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45015</v>
      </c>
      <c r="E2432" s="1" t="n">
        <v>46321</v>
      </c>
      <c r="F2432" t="inlineStr">
        <is>
          <t>VÄSTERNORRLANDS LÄN</t>
        </is>
      </c>
      <c r="G2432" t="inlineStr">
        <is>
          <t>ÖRNSKÖLDSVIK</t>
        </is>
      </c>
      <c r="I2432" t="n">
        <v>4.9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62544-2021</t>
        </is>
      </c>
      <c r="B2433" t="inlineStr">
        <is>
          <t>avverkningsanmälan</t>
        </is>
      </c>
      <c r="C2433" t="inlineStr">
        <is>
          <t>Avverkning för att bevara och utveckla /försöksver</t>
        </is>
      </c>
      <c r="D2433" s="1" t="n">
        <v>44503</v>
      </c>
      <c r="E2433" s="1" t="n">
        <v>46321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11925-2024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45376</v>
      </c>
      <c r="E2434" s="1" t="n">
        <v>46321</v>
      </c>
      <c r="F2434" t="inlineStr">
        <is>
          <t>VÄSTERNORRLANDS LÄN</t>
        </is>
      </c>
      <c r="G2434" t="inlineStr">
        <is>
          <t>ÖRNSKÖLDSVIK</t>
        </is>
      </c>
      <c r="I2434" t="n">
        <v>2.1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28730-2023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45103</v>
      </c>
      <c r="E2435" s="1" t="n">
        <v>46321</v>
      </c>
      <c r="F2435" t="inlineStr">
        <is>
          <t>VÄSTERNORRLANDS LÄN</t>
        </is>
      </c>
      <c r="G2435" t="inlineStr">
        <is>
          <t>ÖRNSKÖLDSVIK</t>
        </is>
      </c>
      <c r="I2435" t="n">
        <v>1.7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51760-2024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45607</v>
      </c>
      <c r="E2436" s="1" t="n">
        <v>46321</v>
      </c>
      <c r="F2436" t="inlineStr">
        <is>
          <t>VÄSTERNORRLANDS LÄN</t>
        </is>
      </c>
      <c r="G2436" t="inlineStr">
        <is>
          <t>ÖRNSKÖLDSVIK</t>
        </is>
      </c>
      <c r="I2436" t="n">
        <v>2.6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36863-2023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45154</v>
      </c>
      <c r="E2437" s="1" t="n">
        <v>46321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0.4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34632-2023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45140</v>
      </c>
      <c r="E2438" s="1" t="n">
        <v>46321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4.7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32133-2023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45107</v>
      </c>
      <c r="E2439" s="1" t="n">
        <v>46321</v>
      </c>
      <c r="F2439" t="inlineStr">
        <is>
          <t>VÄSTERNORRLANDS LÄN</t>
        </is>
      </c>
      <c r="G2439" t="inlineStr">
        <is>
          <t>ÖRNSKÖLDSVIK</t>
        </is>
      </c>
      <c r="I2439" t="n">
        <v>0.7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30346-2023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45111</v>
      </c>
      <c r="E2440" s="1" t="n">
        <v>46321</v>
      </c>
      <c r="F2440" t="inlineStr">
        <is>
          <t>VÄSTERNORRLANDS LÄN</t>
        </is>
      </c>
      <c r="G2440" t="inlineStr">
        <is>
          <t>ÖRNSKÖLDSVIK</t>
        </is>
      </c>
      <c r="I2440" t="n">
        <v>1.7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30118-2024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45489</v>
      </c>
      <c r="E2441" s="1" t="n">
        <v>46321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0.8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38601-2023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45162</v>
      </c>
      <c r="E2442" s="1" t="n">
        <v>46321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3.8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28868-2023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45104</v>
      </c>
      <c r="E2443" s="1" t="n">
        <v>46321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67765-2021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44525</v>
      </c>
      <c r="E2444" s="1" t="n">
        <v>46321</v>
      </c>
      <c r="F2444" t="inlineStr">
        <is>
          <t>VÄSTERNORRLANDS LÄN</t>
        </is>
      </c>
      <c r="G2444" t="inlineStr">
        <is>
          <t>ÖRNSKÖLDSVIK</t>
        </is>
      </c>
      <c r="I2444" t="n">
        <v>5.4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49318-2024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45595</v>
      </c>
      <c r="E2445" s="1" t="n">
        <v>46321</v>
      </c>
      <c r="F2445" t="inlineStr">
        <is>
          <t>VÄSTERNORRLANDS LÄN</t>
        </is>
      </c>
      <c r="G2445" t="inlineStr">
        <is>
          <t>ÖRNSKÖLDSVIK</t>
        </is>
      </c>
      <c r="I2445" t="n">
        <v>2.6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32583-2024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45513</v>
      </c>
      <c r="E2446" s="1" t="n">
        <v>46321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4340-2024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45324</v>
      </c>
      <c r="E2447" s="1" t="n">
        <v>46321</v>
      </c>
      <c r="F2447" t="inlineStr">
        <is>
          <t>VÄSTERNORRLANDS LÄN</t>
        </is>
      </c>
      <c r="G2447" t="inlineStr">
        <is>
          <t>ÖRNSKÖLDSVIK</t>
        </is>
      </c>
      <c r="I2447" t="n">
        <v>3.4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41619-2024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45560</v>
      </c>
      <c r="E2448" s="1" t="n">
        <v>46321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1.6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26761-2024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45470</v>
      </c>
      <c r="E2449" s="1" t="n">
        <v>46321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10.5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26765-2024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45470</v>
      </c>
      <c r="E2450" s="1" t="n">
        <v>46321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3.4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23094-2024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45450</v>
      </c>
      <c r="E2451" s="1" t="n">
        <v>46321</v>
      </c>
      <c r="F2451" t="inlineStr">
        <is>
          <t>VÄSTERNORRLANDS LÄN</t>
        </is>
      </c>
      <c r="G2451" t="inlineStr">
        <is>
          <t>ÖRNSKÖLDSVIK</t>
        </is>
      </c>
      <c r="I2451" t="n">
        <v>1.9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23097-2024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45450</v>
      </c>
      <c r="E2452" s="1" t="n">
        <v>46321</v>
      </c>
      <c r="F2452" t="inlineStr">
        <is>
          <t>VÄSTERNORRLANDS LÄN</t>
        </is>
      </c>
      <c r="G2452" t="inlineStr">
        <is>
          <t>ÖRNSKÖLDSVIK</t>
        </is>
      </c>
      <c r="I2452" t="n">
        <v>1.5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25044-2024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45462</v>
      </c>
      <c r="E2453" s="1" t="n">
        <v>46321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8.9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9254-2023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44980</v>
      </c>
      <c r="E2454" s="1" t="n">
        <v>46321</v>
      </c>
      <c r="F2454" t="inlineStr">
        <is>
          <t>VÄSTERNORRLANDS LÄN</t>
        </is>
      </c>
      <c r="G2454" t="inlineStr">
        <is>
          <t>ÖRNSKÖLDSVIK</t>
        </is>
      </c>
      <c r="I2454" t="n">
        <v>2.4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56397-2024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45625</v>
      </c>
      <c r="E2455" s="1" t="n">
        <v>46321</v>
      </c>
      <c r="F2455" t="inlineStr">
        <is>
          <t>VÄSTERNORRLANDS LÄN</t>
        </is>
      </c>
      <c r="G2455" t="inlineStr">
        <is>
          <t>ÖRNSKÖLDSVIK</t>
        </is>
      </c>
      <c r="I2455" t="n">
        <v>1.9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50369-2023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45209</v>
      </c>
      <c r="E2456" s="1" t="n">
        <v>46321</v>
      </c>
      <c r="F2456" t="inlineStr">
        <is>
          <t>VÄSTERNORRLANDS LÄN</t>
        </is>
      </c>
      <c r="G2456" t="inlineStr">
        <is>
          <t>ÖRNSKÖLDSVIK</t>
        </is>
      </c>
      <c r="I2456" t="n">
        <v>1.5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37924-2024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45544</v>
      </c>
      <c r="E2457" s="1" t="n">
        <v>46321</v>
      </c>
      <c r="F2457" t="inlineStr">
        <is>
          <t>VÄSTERNORRLANDS LÄN</t>
        </is>
      </c>
      <c r="G2457" t="inlineStr">
        <is>
          <t>ÖRNSKÖLDSVIK</t>
        </is>
      </c>
      <c r="I2457" t="n">
        <v>4.5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24897-2024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45461</v>
      </c>
      <c r="E2458" s="1" t="n">
        <v>46321</v>
      </c>
      <c r="F2458" t="inlineStr">
        <is>
          <t>VÄSTERNORRLANDS LÄN</t>
        </is>
      </c>
      <c r="G2458" t="inlineStr">
        <is>
          <t>ÖRNSKÖLDSVIK</t>
        </is>
      </c>
      <c r="I2458" t="n">
        <v>2.7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64437-2021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44511</v>
      </c>
      <c r="E2459" s="1" t="n">
        <v>46321</v>
      </c>
      <c r="F2459" t="inlineStr">
        <is>
          <t>VÄSTERNORRLANDS LÄN</t>
        </is>
      </c>
      <c r="G2459" t="inlineStr">
        <is>
          <t>ÖRNSKÖLDSVIK</t>
        </is>
      </c>
      <c r="I2459" t="n">
        <v>0.8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24416-2024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45457</v>
      </c>
      <c r="E2460" s="1" t="n">
        <v>46321</v>
      </c>
      <c r="F2460" t="inlineStr">
        <is>
          <t>VÄSTERNORRLANDS LÄN</t>
        </is>
      </c>
      <c r="G2460" t="inlineStr">
        <is>
          <t>ÖRNSKÖLDSVIK</t>
        </is>
      </c>
      <c r="I2460" t="n">
        <v>0.8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33583-2024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45520</v>
      </c>
      <c r="E2461" s="1" t="n">
        <v>46321</v>
      </c>
      <c r="F2461" t="inlineStr">
        <is>
          <t>VÄSTERNORRLANDS LÄN</t>
        </is>
      </c>
      <c r="G2461" t="inlineStr">
        <is>
          <t>ÖRNSKÖLDSVIK</t>
        </is>
      </c>
      <c r="I2461" t="n">
        <v>3.6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45215-2024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45575</v>
      </c>
      <c r="E2462" s="1" t="n">
        <v>46321</v>
      </c>
      <c r="F2462" t="inlineStr">
        <is>
          <t>VÄSTERNORRLANDS LÄN</t>
        </is>
      </c>
      <c r="G2462" t="inlineStr">
        <is>
          <t>ÖRNSKÖLDSVIK</t>
        </is>
      </c>
      <c r="I2462" t="n">
        <v>0.9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32549-2023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45111</v>
      </c>
      <c r="E2463" s="1" t="n">
        <v>46321</v>
      </c>
      <c r="F2463" t="inlineStr">
        <is>
          <t>VÄSTERNORRLANDS LÄN</t>
        </is>
      </c>
      <c r="G2463" t="inlineStr">
        <is>
          <t>ÖRNSKÖLDSVIK</t>
        </is>
      </c>
      <c r="I2463" t="n">
        <v>2.2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41174-2023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45174</v>
      </c>
      <c r="E2464" s="1" t="n">
        <v>46321</v>
      </c>
      <c r="F2464" t="inlineStr">
        <is>
          <t>VÄSTERNORRLANDS LÄN</t>
        </is>
      </c>
      <c r="G2464" t="inlineStr">
        <is>
          <t>ÖRNSKÖLDSVIK</t>
        </is>
      </c>
      <c r="I2464" t="n">
        <v>1.6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39566-2024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45552</v>
      </c>
      <c r="E2465" s="1" t="n">
        <v>46321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32406-2023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45110</v>
      </c>
      <c r="E2466" s="1" t="n">
        <v>46321</v>
      </c>
      <c r="F2466" t="inlineStr">
        <is>
          <t>VÄSTERNORRLANDS LÄN</t>
        </is>
      </c>
      <c r="G2466" t="inlineStr">
        <is>
          <t>ÖRNSKÖLDSVIK</t>
        </is>
      </c>
      <c r="I2466" t="n">
        <v>0.9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27562-2024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45474</v>
      </c>
      <c r="E2467" s="1" t="n">
        <v>46321</v>
      </c>
      <c r="F2467" t="inlineStr">
        <is>
          <t>VÄSTERNORRLANDS LÄN</t>
        </is>
      </c>
      <c r="G2467" t="inlineStr">
        <is>
          <t>ÖRNSKÖLDSVIK</t>
        </is>
      </c>
      <c r="I2467" t="n">
        <v>1.2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24994-2023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45085</v>
      </c>
      <c r="E2468" s="1" t="n">
        <v>46321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58167-2023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45250</v>
      </c>
      <c r="E2469" s="1" t="n">
        <v>46321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32208-2024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45511</v>
      </c>
      <c r="E2470" s="1" t="n">
        <v>46321</v>
      </c>
      <c r="F2470" t="inlineStr">
        <is>
          <t>VÄSTERNORRLANDS LÄN</t>
        </is>
      </c>
      <c r="G2470" t="inlineStr">
        <is>
          <t>ÖRNSKÖLDSVIK</t>
        </is>
      </c>
      <c r="I2470" t="n">
        <v>1.6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29200-2023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45105</v>
      </c>
      <c r="E2471" s="1" t="n">
        <v>46321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2.5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61305-2023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45264</v>
      </c>
      <c r="E2472" s="1" t="n">
        <v>46321</v>
      </c>
      <c r="F2472" t="inlineStr">
        <is>
          <t>VÄSTERNORRLANDS LÄN</t>
        </is>
      </c>
      <c r="G2472" t="inlineStr">
        <is>
          <t>ÖRNSKÖLDSVIK</t>
        </is>
      </c>
      <c r="I2472" t="n">
        <v>6.2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38386-2023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45162</v>
      </c>
      <c r="E2473" s="1" t="n">
        <v>46321</v>
      </c>
      <c r="F2473" t="inlineStr">
        <is>
          <t>VÄSTERNORRLANDS LÄN</t>
        </is>
      </c>
      <c r="G2473" t="inlineStr">
        <is>
          <t>ÖRNSKÖLDSVIK</t>
        </is>
      </c>
      <c r="I2473" t="n">
        <v>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16336-2024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45407</v>
      </c>
      <c r="E2474" s="1" t="n">
        <v>46321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32185-2023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45119</v>
      </c>
      <c r="E2475" s="1" t="n">
        <v>46321</v>
      </c>
      <c r="F2475" t="inlineStr">
        <is>
          <t>VÄSTERNORRLANDS LÄN</t>
        </is>
      </c>
      <c r="G2475" t="inlineStr">
        <is>
          <t>ÖRNSKÖLDSVIK</t>
        </is>
      </c>
      <c r="I2475" t="n">
        <v>3.8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19889-2024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45433</v>
      </c>
      <c r="E2476" s="1" t="n">
        <v>46321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21970-2024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45443</v>
      </c>
      <c r="E2477" s="1" t="n">
        <v>46321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4.1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60161-2024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45642</v>
      </c>
      <c r="E2478" s="1" t="n">
        <v>46321</v>
      </c>
      <c r="F2478" t="inlineStr">
        <is>
          <t>VÄSTERNORRLANDS LÄN</t>
        </is>
      </c>
      <c r="G2478" t="inlineStr">
        <is>
          <t>ÖRNSKÖLDSVIK</t>
        </is>
      </c>
      <c r="I2478" t="n">
        <v>4.7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9950-2023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44985</v>
      </c>
      <c r="E2479" s="1" t="n">
        <v>46321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43928-2023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45182</v>
      </c>
      <c r="E2480" s="1" t="n">
        <v>46321</v>
      </c>
      <c r="F2480" t="inlineStr">
        <is>
          <t>VÄSTERNORRLANDS LÄN</t>
        </is>
      </c>
      <c r="G2480" t="inlineStr">
        <is>
          <t>ÖRNSKÖLDSVIK</t>
        </is>
      </c>
      <c r="I2480" t="n">
        <v>0.4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37048-2024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45539</v>
      </c>
      <c r="E2481" s="1" t="n">
        <v>46321</v>
      </c>
      <c r="F2481" t="inlineStr">
        <is>
          <t>VÄSTERNORRLANDS LÄN</t>
        </is>
      </c>
      <c r="G2481" t="inlineStr">
        <is>
          <t>ÖRNSKÖLDSVIK</t>
        </is>
      </c>
      <c r="I2481" t="n">
        <v>1.6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46971-2024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45586</v>
      </c>
      <c r="E2482" s="1" t="n">
        <v>46321</v>
      </c>
      <c r="F2482" t="inlineStr">
        <is>
          <t>VÄSTERNORRLANDS LÄN</t>
        </is>
      </c>
      <c r="G2482" t="inlineStr">
        <is>
          <t>ÖRNSKÖLDSVIK</t>
        </is>
      </c>
      <c r="I2482" t="n">
        <v>1.4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10296-2023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44986</v>
      </c>
      <c r="E2483" s="1" t="n">
        <v>46321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9.4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53191-2024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45611</v>
      </c>
      <c r="E2484" s="1" t="n">
        <v>46321</v>
      </c>
      <c r="F2484" t="inlineStr">
        <is>
          <t>VÄSTERNORRLANDS LÄN</t>
        </is>
      </c>
      <c r="G2484" t="inlineStr">
        <is>
          <t>ÖRNSKÖLDSVIK</t>
        </is>
      </c>
      <c r="I2484" t="n">
        <v>0.8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44631-2024</t>
        </is>
      </c>
      <c r="B2485" t="inlineStr">
        <is>
          <t>avverkningsanmälan</t>
        </is>
      </c>
      <c r="C2485" t="inlineStr">
        <is>
          <t>Avverkning för att bevara och utveckla /försöksver</t>
        </is>
      </c>
      <c r="D2485" s="1" t="n">
        <v>45574</v>
      </c>
      <c r="E2485" s="1" t="n">
        <v>46321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36985-2024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45539</v>
      </c>
      <c r="E2486" s="1" t="n">
        <v>46321</v>
      </c>
      <c r="F2486" t="inlineStr">
        <is>
          <t>VÄSTERNORRLANDS LÄN</t>
        </is>
      </c>
      <c r="G2486" t="inlineStr">
        <is>
          <t>ÖRNSKÖLDSVIK</t>
        </is>
      </c>
      <c r="I2486" t="n">
        <v>3.3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48609-2024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45593</v>
      </c>
      <c r="E2487" s="1" t="n">
        <v>46321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49222-2024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45595</v>
      </c>
      <c r="E2488" s="1" t="n">
        <v>46321</v>
      </c>
      <c r="F2488" t="inlineStr">
        <is>
          <t>VÄSTERNORRLANDS LÄN</t>
        </is>
      </c>
      <c r="G2488" t="inlineStr">
        <is>
          <t>ÖRNSKÖLDSVIK</t>
        </is>
      </c>
      <c r="I2488" t="n">
        <v>2.9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45250-2024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45576</v>
      </c>
      <c r="E2489" s="1" t="n">
        <v>46321</v>
      </c>
      <c r="F2489" t="inlineStr">
        <is>
          <t>VÄSTERNORRLANDS LÄN</t>
        </is>
      </c>
      <c r="G2489" t="inlineStr">
        <is>
          <t>ÖRNSKÖLDSVIK</t>
        </is>
      </c>
      <c r="I2489" t="n">
        <v>18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38605-2023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45162</v>
      </c>
      <c r="E2490" s="1" t="n">
        <v>46321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1.6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39268-2023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45162</v>
      </c>
      <c r="E2491" s="1" t="n">
        <v>46321</v>
      </c>
      <c r="F2491" t="inlineStr">
        <is>
          <t>VÄSTERNORRLANDS LÄN</t>
        </is>
      </c>
      <c r="G2491" t="inlineStr">
        <is>
          <t>ÖRNSKÖLDSVIK</t>
        </is>
      </c>
      <c r="I2491" t="n">
        <v>0.6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64911-2021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44512</v>
      </c>
      <c r="E2492" s="1" t="n">
        <v>46321</v>
      </c>
      <c r="F2492" t="inlineStr">
        <is>
          <t>VÄSTERNORRLANDS LÄN</t>
        </is>
      </c>
      <c r="G2492" t="inlineStr">
        <is>
          <t>ÖRNSKÖLDSVIK</t>
        </is>
      </c>
      <c r="I2492" t="n">
        <v>3.5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42347-2023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45180</v>
      </c>
      <c r="E2493" s="1" t="n">
        <v>46321</v>
      </c>
      <c r="F2493" t="inlineStr">
        <is>
          <t>VÄSTERNORRLANDS LÄN</t>
        </is>
      </c>
      <c r="G2493" t="inlineStr">
        <is>
          <t>ÖRNSKÖLDSVIK</t>
        </is>
      </c>
      <c r="I2493" t="n">
        <v>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26987-2024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45471</v>
      </c>
      <c r="E2494" s="1" t="n">
        <v>46321</v>
      </c>
      <c r="F2494" t="inlineStr">
        <is>
          <t>VÄSTERNORRLANDS LÄN</t>
        </is>
      </c>
      <c r="G2494" t="inlineStr">
        <is>
          <t>ÖRNSKÖLDSVIK</t>
        </is>
      </c>
      <c r="I2494" t="n">
        <v>0.7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55636-2024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45622</v>
      </c>
      <c r="E2495" s="1" t="n">
        <v>46321</v>
      </c>
      <c r="F2495" t="inlineStr">
        <is>
          <t>VÄSTERNORRLANDS LÄN</t>
        </is>
      </c>
      <c r="G2495" t="inlineStr">
        <is>
          <t>ÖRNSKÖLDSVIK</t>
        </is>
      </c>
      <c r="I2495" t="n">
        <v>1.6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15606-2024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45401</v>
      </c>
      <c r="E2496" s="1" t="n">
        <v>46321</v>
      </c>
      <c r="F2496" t="inlineStr">
        <is>
          <t>VÄSTERNORRLANDS LÄN</t>
        </is>
      </c>
      <c r="G2496" t="inlineStr">
        <is>
          <t>ÖRNSKÖLDSVIK</t>
        </is>
      </c>
      <c r="I2496" t="n">
        <v>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25097-2024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45462</v>
      </c>
      <c r="E2497" s="1" t="n">
        <v>46321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37999-2023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45160</v>
      </c>
      <c r="E2498" s="1" t="n">
        <v>46321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0.7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38033-2024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45544</v>
      </c>
      <c r="E2499" s="1" t="n">
        <v>46321</v>
      </c>
      <c r="F2499" t="inlineStr">
        <is>
          <t>VÄSTERNORRLANDS LÄN</t>
        </is>
      </c>
      <c r="G2499" t="inlineStr">
        <is>
          <t>ÖRNSKÖLDSVIK</t>
        </is>
      </c>
      <c r="I2499" t="n">
        <v>1.2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34850-2024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45527</v>
      </c>
      <c r="E2500" s="1" t="n">
        <v>46321</v>
      </c>
      <c r="F2500" t="inlineStr">
        <is>
          <t>VÄSTERNORRLANDS LÄN</t>
        </is>
      </c>
      <c r="G2500" t="inlineStr">
        <is>
          <t>ÖRNSKÖLDSVIK</t>
        </is>
      </c>
      <c r="I2500" t="n">
        <v>1.8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29533-2024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45484</v>
      </c>
      <c r="E2501" s="1" t="n">
        <v>46321</v>
      </c>
      <c r="F2501" t="inlineStr">
        <is>
          <t>VÄSTERNORRLANDS LÄN</t>
        </is>
      </c>
      <c r="G2501" t="inlineStr">
        <is>
          <t>ÖRNSKÖLDSVIK</t>
        </is>
      </c>
      <c r="I2501" t="n">
        <v>5.2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30258-2024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45489</v>
      </c>
      <c r="E2502" s="1" t="n">
        <v>46321</v>
      </c>
      <c r="F2502" t="inlineStr">
        <is>
          <t>VÄSTERNORRLANDS LÄN</t>
        </is>
      </c>
      <c r="G2502" t="inlineStr">
        <is>
          <t>ÖRNSKÖLDSVIK</t>
        </is>
      </c>
      <c r="I2502" t="n">
        <v>4.1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1703-2024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45307</v>
      </c>
      <c r="E2503" s="1" t="n">
        <v>46321</v>
      </c>
      <c r="F2503" t="inlineStr">
        <is>
          <t>VÄSTERNORRLANDS LÄN</t>
        </is>
      </c>
      <c r="G2503" t="inlineStr">
        <is>
          <t>ÖRNSKÖLDSVIK</t>
        </is>
      </c>
      <c r="I2503" t="n">
        <v>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20551-2024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45436</v>
      </c>
      <c r="E2504" s="1" t="n">
        <v>46321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0.3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8523-2024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45351</v>
      </c>
      <c r="E2505" s="1" t="n">
        <v>46321</v>
      </c>
      <c r="F2505" t="inlineStr">
        <is>
          <t>VÄSTERNORRLANDS LÄN</t>
        </is>
      </c>
      <c r="G2505" t="inlineStr">
        <is>
          <t>ÖRNSKÖLDSVIK</t>
        </is>
      </c>
      <c r="I2505" t="n">
        <v>0.7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35619-2024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45531</v>
      </c>
      <c r="E2506" s="1" t="n">
        <v>46321</v>
      </c>
      <c r="F2506" t="inlineStr">
        <is>
          <t>VÄSTERNORRLANDS LÄN</t>
        </is>
      </c>
      <c r="G2506" t="inlineStr">
        <is>
          <t>ÖRNSKÖLDSVIK</t>
        </is>
      </c>
      <c r="I2506" t="n">
        <v>14.1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54200-2024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45616</v>
      </c>
      <c r="E2507" s="1" t="n">
        <v>46321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0.8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5103-2024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45330</v>
      </c>
      <c r="E2508" s="1" t="n">
        <v>46321</v>
      </c>
      <c r="F2508" t="inlineStr">
        <is>
          <t>VÄSTERNORRLANDS LÄN</t>
        </is>
      </c>
      <c r="G2508" t="inlineStr">
        <is>
          <t>ÖRNSKÖLDSVIK</t>
        </is>
      </c>
      <c r="I2508" t="n">
        <v>1.1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61120-2024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45645</v>
      </c>
      <c r="E2509" s="1" t="n">
        <v>46321</v>
      </c>
      <c r="F2509" t="inlineStr">
        <is>
          <t>VÄSTERNORRLANDS LÄN</t>
        </is>
      </c>
      <c r="G2509" t="inlineStr">
        <is>
          <t>ÖRNSKÖLDSVIK</t>
        </is>
      </c>
      <c r="I2509" t="n">
        <v>2.7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61122-2024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45645</v>
      </c>
      <c r="E2510" s="1" t="n">
        <v>46321</v>
      </c>
      <c r="F2510" t="inlineStr">
        <is>
          <t>VÄSTERNORRLANDS LÄN</t>
        </is>
      </c>
      <c r="G2510" t="inlineStr">
        <is>
          <t>ÖRNSKÖLDSVIK</t>
        </is>
      </c>
      <c r="I2510" t="n">
        <v>1.6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47752-2023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45203</v>
      </c>
      <c r="E2511" s="1" t="n">
        <v>46321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6.2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57157-2024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45629</v>
      </c>
      <c r="E2512" s="1" t="n">
        <v>46321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14.5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50687-2023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45210</v>
      </c>
      <c r="E2513" s="1" t="n">
        <v>46321</v>
      </c>
      <c r="F2513" t="inlineStr">
        <is>
          <t>VÄSTERNORRLANDS LÄN</t>
        </is>
      </c>
      <c r="G2513" t="inlineStr">
        <is>
          <t>ÖRNSKÖLDSVIK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41979-2023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45177</v>
      </c>
      <c r="E2514" s="1" t="n">
        <v>46321</v>
      </c>
      <c r="F2514" t="inlineStr">
        <is>
          <t>VÄSTERNORRLANDS LÄN</t>
        </is>
      </c>
      <c r="G2514" t="inlineStr">
        <is>
          <t>ÖRNSKÖLDSVIK</t>
        </is>
      </c>
      <c r="I2514" t="n">
        <v>1.2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52719-2024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45610</v>
      </c>
      <c r="E2515" s="1" t="n">
        <v>46321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39637-2024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45552</v>
      </c>
      <c r="E2516" s="1" t="n">
        <v>46321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SCA</t>
        </is>
      </c>
      <c r="I2516" t="n">
        <v>4.6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47755-2023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45203</v>
      </c>
      <c r="E2517" s="1" t="n">
        <v>46321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0.6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59453-2024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45638</v>
      </c>
      <c r="E2518" s="1" t="n">
        <v>46321</v>
      </c>
      <c r="F2518" t="inlineStr">
        <is>
          <t>VÄSTERNORRLANDS LÄN</t>
        </is>
      </c>
      <c r="G2518" t="inlineStr">
        <is>
          <t>ÖRNSKÖLDSVIK</t>
        </is>
      </c>
      <c r="I2518" t="n">
        <v>6.3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61212-2024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45645</v>
      </c>
      <c r="E2519" s="1" t="n">
        <v>46321</v>
      </c>
      <c r="F2519" t="inlineStr">
        <is>
          <t>VÄSTERNORRLANDS LÄN</t>
        </is>
      </c>
      <c r="G2519" t="inlineStr">
        <is>
          <t>ÖRNSKÖLDSVIK</t>
        </is>
      </c>
      <c r="I2519" t="n">
        <v>4.6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43009-2024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45567</v>
      </c>
      <c r="E2520" s="1" t="n">
        <v>46321</v>
      </c>
      <c r="F2520" t="inlineStr">
        <is>
          <t>VÄSTERNORRLANDS LÄN</t>
        </is>
      </c>
      <c r="G2520" t="inlineStr">
        <is>
          <t>ÖRNSKÖLDSVIK</t>
        </is>
      </c>
      <c r="I2520" t="n">
        <v>4.5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42762-2022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44832</v>
      </c>
      <c r="E2521" s="1" t="n">
        <v>46321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14.6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39920-2023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45168</v>
      </c>
      <c r="E2522" s="1" t="n">
        <v>46321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3.5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40342-2024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45555</v>
      </c>
      <c r="E2523" s="1" t="n">
        <v>46321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1.4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42396-2023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45175</v>
      </c>
      <c r="E2524" s="1" t="n">
        <v>46321</v>
      </c>
      <c r="F2524" t="inlineStr">
        <is>
          <t>VÄSTERNORRLANDS LÄN</t>
        </is>
      </c>
      <c r="G2524" t="inlineStr">
        <is>
          <t>ÖRNSKÖLDSVIK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39550-2024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45552</v>
      </c>
      <c r="E2525" s="1" t="n">
        <v>46321</v>
      </c>
      <c r="F2525" t="inlineStr">
        <is>
          <t>VÄSTERNORRLANDS LÄN</t>
        </is>
      </c>
      <c r="G2525" t="inlineStr">
        <is>
          <t>ÖRNSKÖLDSVIK</t>
        </is>
      </c>
      <c r="I2525" t="n">
        <v>2.6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13909-2025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45737</v>
      </c>
      <c r="E2526" s="1" t="n">
        <v>46321</v>
      </c>
      <c r="F2526" t="inlineStr">
        <is>
          <t>VÄSTERNORRLANDS LÄN</t>
        </is>
      </c>
      <c r="G2526" t="inlineStr">
        <is>
          <t>ÖRNSKÖLDSVIK</t>
        </is>
      </c>
      <c r="I2526" t="n">
        <v>3.8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53705-2024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45615</v>
      </c>
      <c r="E2527" s="1" t="n">
        <v>46321</v>
      </c>
      <c r="F2527" t="inlineStr">
        <is>
          <t>VÄSTERNORRLANDS LÄN</t>
        </is>
      </c>
      <c r="G2527" t="inlineStr">
        <is>
          <t>ÖRNSKÖLDSVIK</t>
        </is>
      </c>
      <c r="I2527" t="n">
        <v>1.1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41999-2023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45174</v>
      </c>
      <c r="E2528" s="1" t="n">
        <v>46321</v>
      </c>
      <c r="F2528" t="inlineStr">
        <is>
          <t>VÄSTERNORRLANDS LÄN</t>
        </is>
      </c>
      <c r="G2528" t="inlineStr">
        <is>
          <t>ÖRNSKÖLDSVIK</t>
        </is>
      </c>
      <c r="I2528" t="n">
        <v>3.7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55684-2024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45622</v>
      </c>
      <c r="E2529" s="1" t="n">
        <v>46321</v>
      </c>
      <c r="F2529" t="inlineStr">
        <is>
          <t>VÄSTERNORRLANDS LÄN</t>
        </is>
      </c>
      <c r="G2529" t="inlineStr">
        <is>
          <t>ÖRNSKÖLDSVIK</t>
        </is>
      </c>
      <c r="I2529" t="n">
        <v>2.8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56566-2024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45625</v>
      </c>
      <c r="E2530" s="1" t="n">
        <v>46321</v>
      </c>
      <c r="F2530" t="inlineStr">
        <is>
          <t>VÄSTERNORRLANDS LÄN</t>
        </is>
      </c>
      <c r="G2530" t="inlineStr">
        <is>
          <t>ÖRNSKÖLDSVIK</t>
        </is>
      </c>
      <c r="I2530" t="n">
        <v>0.5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28763-2024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45478</v>
      </c>
      <c r="E2531" s="1" t="n">
        <v>46321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4.6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31188-2023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45113</v>
      </c>
      <c r="E2532" s="1" t="n">
        <v>46321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SCA</t>
        </is>
      </c>
      <c r="I2532" t="n">
        <v>8.699999999999999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15702-2022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44663</v>
      </c>
      <c r="E2533" s="1" t="n">
        <v>46321</v>
      </c>
      <c r="F2533" t="inlineStr">
        <is>
          <t>VÄSTERNORRLANDS LÄN</t>
        </is>
      </c>
      <c r="G2533" t="inlineStr">
        <is>
          <t>ÖRNSKÖLDSVIK</t>
        </is>
      </c>
      <c r="I2533" t="n">
        <v>2.6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44202-2023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45188</v>
      </c>
      <c r="E2534" s="1" t="n">
        <v>46321</v>
      </c>
      <c r="F2534" t="inlineStr">
        <is>
          <t>VÄSTERNORRLANDS LÄN</t>
        </is>
      </c>
      <c r="G2534" t="inlineStr">
        <is>
          <t>ÖRNSKÖLDSVIK</t>
        </is>
      </c>
      <c r="I2534" t="n">
        <v>1.9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44210-2023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45188</v>
      </c>
      <c r="E2535" s="1" t="n">
        <v>46321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1.7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44498-2023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45189</v>
      </c>
      <c r="E2536" s="1" t="n">
        <v>46321</v>
      </c>
      <c r="F2536" t="inlineStr">
        <is>
          <t>VÄSTERNORRLANDS LÄN</t>
        </is>
      </c>
      <c r="G2536" t="inlineStr">
        <is>
          <t>ÖRNSKÖLDSVIK</t>
        </is>
      </c>
      <c r="I2536" t="n">
        <v>1.4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3942-2022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44587</v>
      </c>
      <c r="E2537" s="1" t="n">
        <v>46321</v>
      </c>
      <c r="F2537" t="inlineStr">
        <is>
          <t>VÄSTERNORRLANDS LÄN</t>
        </is>
      </c>
      <c r="G2537" t="inlineStr">
        <is>
          <t>ÖRNSKÖLDSVIK</t>
        </is>
      </c>
      <c r="I2537" t="n">
        <v>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18239-2024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45420</v>
      </c>
      <c r="E2538" s="1" t="n">
        <v>46321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SCA</t>
        </is>
      </c>
      <c r="I2538" t="n">
        <v>2.9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48760-2022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44859</v>
      </c>
      <c r="E2539" s="1" t="n">
        <v>46321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5.4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352-2025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45659</v>
      </c>
      <c r="E2540" s="1" t="n">
        <v>46321</v>
      </c>
      <c r="F2540" t="inlineStr">
        <is>
          <t>VÄSTERNORRLANDS LÄN</t>
        </is>
      </c>
      <c r="G2540" t="inlineStr">
        <is>
          <t>ÖRNSKÖLDSVIK</t>
        </is>
      </c>
      <c r="I2540" t="n">
        <v>4.1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42603-2023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45181</v>
      </c>
      <c r="E2541" s="1" t="n">
        <v>46321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2.2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43138-2024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45567</v>
      </c>
      <c r="E2542" s="1" t="n">
        <v>46321</v>
      </c>
      <c r="F2542" t="inlineStr">
        <is>
          <t>VÄSTERNORRLANDS LÄN</t>
        </is>
      </c>
      <c r="G2542" t="inlineStr">
        <is>
          <t>ÖRNSKÖLDSVIK</t>
        </is>
      </c>
      <c r="I2542" t="n">
        <v>4.1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12179-2025</t>
        </is>
      </c>
      <c r="B2543" t="inlineStr">
        <is>
          <t>avverkningsanmälan</t>
        </is>
      </c>
      <c r="C2543" t="inlineStr">
        <is>
          <t>Avverkning för annat ändamål</t>
        </is>
      </c>
      <c r="D2543" s="1" t="n">
        <v>45729</v>
      </c>
      <c r="E2543" s="1" t="n">
        <v>46321</v>
      </c>
      <c r="F2543" t="inlineStr">
        <is>
          <t>VÄSTERNORRLANDS LÄN</t>
        </is>
      </c>
      <c r="G2543" t="inlineStr">
        <is>
          <t>ÖRNSKÖLDSVIK</t>
        </is>
      </c>
      <c r="I2543" t="n">
        <v>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45105-2023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45191</v>
      </c>
      <c r="E2544" s="1" t="n">
        <v>46321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5.5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38374-2022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44812</v>
      </c>
      <c r="E2545" s="1" t="n">
        <v>46321</v>
      </c>
      <c r="F2545" t="inlineStr">
        <is>
          <t>VÄSTERNORRLANDS LÄN</t>
        </is>
      </c>
      <c r="G2545" t="inlineStr">
        <is>
          <t>ÖRNSKÖLDSVIK</t>
        </is>
      </c>
      <c r="I2545" t="n">
        <v>3.2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34692-2022</t>
        </is>
      </c>
      <c r="B2546" t="inlineStr">
        <is>
          <t>avverkningsanmälan</t>
        </is>
      </c>
      <c r="C2546" t="inlineStr">
        <is>
          <t>Avverkning för annat ändamål</t>
        </is>
      </c>
      <c r="D2546" s="1" t="n">
        <v>44795</v>
      </c>
      <c r="E2546" s="1" t="n">
        <v>46321</v>
      </c>
      <c r="F2546" t="inlineStr">
        <is>
          <t>VÄSTERNORRLANDS LÄN</t>
        </is>
      </c>
      <c r="G2546" t="inlineStr">
        <is>
          <t>ÖRNSKÖLDSVIK</t>
        </is>
      </c>
      <c r="I2546" t="n">
        <v>2.3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40071-2023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45168</v>
      </c>
      <c r="E2547" s="1" t="n">
        <v>46321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40590-2023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45170</v>
      </c>
      <c r="E2548" s="1" t="n">
        <v>46321</v>
      </c>
      <c r="F2548" t="inlineStr">
        <is>
          <t>VÄSTERNORRLANDS LÄN</t>
        </is>
      </c>
      <c r="G2548" t="inlineStr">
        <is>
          <t>ÖRNSKÖLDSVIK</t>
        </is>
      </c>
      <c r="I2548" t="n">
        <v>0.7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52264-2024</t>
        </is>
      </c>
      <c r="B2549" t="inlineStr">
        <is>
          <t>avverkningsanmälan</t>
        </is>
      </c>
      <c r="C2549" t="inlineStr">
        <is>
          <t>Avverkning för annat ändamål</t>
        </is>
      </c>
      <c r="D2549" s="1" t="n">
        <v>45608</v>
      </c>
      <c r="E2549" s="1" t="n">
        <v>46321</v>
      </c>
      <c r="F2549" t="inlineStr">
        <is>
          <t>VÄSTERNORRLANDS LÄN</t>
        </is>
      </c>
      <c r="G2549" t="inlineStr">
        <is>
          <t>ÖRNSKÖLDSVIK</t>
        </is>
      </c>
      <c r="I2549" t="n">
        <v>0.3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21888-2024</t>
        </is>
      </c>
      <c r="B2550" t="inlineStr">
        <is>
          <t>avverkningsanmälan</t>
        </is>
      </c>
      <c r="C2550" t="inlineStr">
        <is>
          <t>Avverkning för annat ändamål</t>
        </is>
      </c>
      <c r="D2550" s="1" t="n">
        <v>45443</v>
      </c>
      <c r="E2550" s="1" t="n">
        <v>46321</v>
      </c>
      <c r="F2550" t="inlineStr">
        <is>
          <t>VÄSTERNORRLANDS LÄN</t>
        </is>
      </c>
      <c r="G2550" t="inlineStr">
        <is>
          <t>ÖRNSKÖLDSVIK</t>
        </is>
      </c>
      <c r="I2550" t="n">
        <v>1.1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53689-2023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45230</v>
      </c>
      <c r="E2551" s="1" t="n">
        <v>46321</v>
      </c>
      <c r="F2551" t="inlineStr">
        <is>
          <t>VÄSTERNORRLANDS LÄN</t>
        </is>
      </c>
      <c r="G2551" t="inlineStr">
        <is>
          <t>ÖRNSKÖLDSVIK</t>
        </is>
      </c>
      <c r="I2551" t="n">
        <v>1.8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39435-2023</t>
        </is>
      </c>
      <c r="B2552" t="inlineStr">
        <is>
          <t>avverkningsanmälan</t>
        </is>
      </c>
      <c r="C2552" t="inlineStr">
        <is>
          <t>Avverkning för annat ändamål</t>
        </is>
      </c>
      <c r="D2552" s="1" t="n">
        <v>45163</v>
      </c>
      <c r="E2552" s="1" t="n">
        <v>46321</v>
      </c>
      <c r="F2552" t="inlineStr">
        <is>
          <t>VÄSTERNORRLANDS LÄN</t>
        </is>
      </c>
      <c r="G2552" t="inlineStr">
        <is>
          <t>ÖRNSKÖLDSVIK</t>
        </is>
      </c>
      <c r="I2552" t="n">
        <v>1.8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28472-2023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45103</v>
      </c>
      <c r="E2553" s="1" t="n">
        <v>46321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0.5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42048-2022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44830</v>
      </c>
      <c r="E2554" s="1" t="n">
        <v>46321</v>
      </c>
      <c r="F2554" t="inlineStr">
        <is>
          <t>VÄSTERNORRLANDS LÄN</t>
        </is>
      </c>
      <c r="G2554" t="inlineStr">
        <is>
          <t>ÖRNSKÖLDSVIK</t>
        </is>
      </c>
      <c r="I2554" t="n">
        <v>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53806-2023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45231</v>
      </c>
      <c r="E2555" s="1" t="n">
        <v>46321</v>
      </c>
      <c r="F2555" t="inlineStr">
        <is>
          <t>VÄSTERNORRLANDS LÄN</t>
        </is>
      </c>
      <c r="G2555" t="inlineStr">
        <is>
          <t>ÖRNSKÖLDSVIK</t>
        </is>
      </c>
      <c r="I2555" t="n">
        <v>1.6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52326-2024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45609</v>
      </c>
      <c r="E2556" s="1" t="n">
        <v>46321</v>
      </c>
      <c r="F2556" t="inlineStr">
        <is>
          <t>VÄSTERNORRLANDS LÄN</t>
        </is>
      </c>
      <c r="G2556" t="inlineStr">
        <is>
          <t>ÖRNSKÖLDSVIK</t>
        </is>
      </c>
      <c r="I2556" t="n">
        <v>1.7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54561-2024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45617</v>
      </c>
      <c r="E2557" s="1" t="n">
        <v>46321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0.8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16060-2022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44665</v>
      </c>
      <c r="E2558" s="1" t="n">
        <v>46321</v>
      </c>
      <c r="F2558" t="inlineStr">
        <is>
          <t>VÄSTERNORRLANDS LÄN</t>
        </is>
      </c>
      <c r="G2558" t="inlineStr">
        <is>
          <t>ÖRNSKÖLDSVIK</t>
        </is>
      </c>
      <c r="I2558" t="n">
        <v>1.6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22861-2023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45070</v>
      </c>
      <c r="E2559" s="1" t="n">
        <v>46321</v>
      </c>
      <c r="F2559" t="inlineStr">
        <is>
          <t>VÄSTERNORRLANDS LÄN</t>
        </is>
      </c>
      <c r="G2559" t="inlineStr">
        <is>
          <t>ÖRNSKÖLDSVIK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45966-2023</t>
        </is>
      </c>
      <c r="B2560" t="inlineStr">
        <is>
          <t>avverkningsanmälan</t>
        </is>
      </c>
      <c r="C2560" t="inlineStr">
        <is>
          <t>Avverkning för att bevara och utveckla /försöksver</t>
        </is>
      </c>
      <c r="D2560" s="1" t="n">
        <v>45195</v>
      </c>
      <c r="E2560" s="1" t="n">
        <v>46321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SCA</t>
        </is>
      </c>
      <c r="I2560" t="n">
        <v>3.4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21122-2024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45440</v>
      </c>
      <c r="E2561" s="1" t="n">
        <v>46321</v>
      </c>
      <c r="F2561" t="inlineStr">
        <is>
          <t>VÄSTERNORRLANDS LÄN</t>
        </is>
      </c>
      <c r="G2561" t="inlineStr">
        <is>
          <t>ÖRNSKÖLDSVIK</t>
        </is>
      </c>
      <c r="I2561" t="n">
        <v>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21125-2024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45440</v>
      </c>
      <c r="E2562" s="1" t="n">
        <v>46321</v>
      </c>
      <c r="F2562" t="inlineStr">
        <is>
          <t>VÄSTERNORRLANDS LÄN</t>
        </is>
      </c>
      <c r="G2562" t="inlineStr">
        <is>
          <t>ÖRNSKÖLDSVIK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21133-2024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45440</v>
      </c>
      <c r="E2563" s="1" t="n">
        <v>46321</v>
      </c>
      <c r="F2563" t="inlineStr">
        <is>
          <t>VÄSTERNORRLANDS LÄN</t>
        </is>
      </c>
      <c r="G2563" t="inlineStr">
        <is>
          <t>ÖRNSKÖLDSVIK</t>
        </is>
      </c>
      <c r="I2563" t="n">
        <v>0.8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2931-2025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45678</v>
      </c>
      <c r="E2564" s="1" t="n">
        <v>46321</v>
      </c>
      <c r="F2564" t="inlineStr">
        <is>
          <t>VÄSTERNORRLANDS LÄN</t>
        </is>
      </c>
      <c r="G2564" t="inlineStr">
        <is>
          <t>ÖRNSKÖLDSVIK</t>
        </is>
      </c>
      <c r="I2564" t="n">
        <v>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19121-2024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45427</v>
      </c>
      <c r="E2565" s="1" t="n">
        <v>46321</v>
      </c>
      <c r="F2565" t="inlineStr">
        <is>
          <t>VÄSTERNORRLANDS LÄN</t>
        </is>
      </c>
      <c r="G2565" t="inlineStr">
        <is>
          <t>ÖRNSKÖLDSVIK</t>
        </is>
      </c>
      <c r="I2565" t="n">
        <v>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49476-2023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45211</v>
      </c>
      <c r="E2566" s="1" t="n">
        <v>46321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0.7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3437-2025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45680</v>
      </c>
      <c r="E2567" s="1" t="n">
        <v>46321</v>
      </c>
      <c r="F2567" t="inlineStr">
        <is>
          <t>VÄSTERNORRLANDS LÄN</t>
        </is>
      </c>
      <c r="G2567" t="inlineStr">
        <is>
          <t>ÖRNSKÖLDSVIK</t>
        </is>
      </c>
      <c r="I2567" t="n">
        <v>1.3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48115-2023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45205</v>
      </c>
      <c r="E2568" s="1" t="n">
        <v>46321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2.1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49074-2023</t>
        </is>
      </c>
      <c r="B2569" t="inlineStr">
        <is>
          <t>avverkningsanmälan</t>
        </is>
      </c>
      <c r="C2569" t="inlineStr">
        <is>
          <t>Avverkning för annat ändamål</t>
        </is>
      </c>
      <c r="D2569" s="1" t="n">
        <v>45210</v>
      </c>
      <c r="E2569" s="1" t="n">
        <v>46321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2.3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39739-2022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44819</v>
      </c>
      <c r="E2570" s="1" t="n">
        <v>46321</v>
      </c>
      <c r="F2570" t="inlineStr">
        <is>
          <t>VÄSTERNORRLANDS LÄN</t>
        </is>
      </c>
      <c r="G2570" t="inlineStr">
        <is>
          <t>ÖRNSKÖLDSVIK</t>
        </is>
      </c>
      <c r="I2570" t="n">
        <v>3.4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12475-2022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44638</v>
      </c>
      <c r="E2571" s="1" t="n">
        <v>46321</v>
      </c>
      <c r="F2571" t="inlineStr">
        <is>
          <t>VÄSTERNORRLANDS LÄN</t>
        </is>
      </c>
      <c r="G2571" t="inlineStr">
        <is>
          <t>ÖRNSKÖLDSVIK</t>
        </is>
      </c>
      <c r="I2571" t="n">
        <v>1.7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20856-2024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45439</v>
      </c>
      <c r="E2572" s="1" t="n">
        <v>46321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1.1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14117-2024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45392</v>
      </c>
      <c r="E2573" s="1" t="n">
        <v>46321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4.4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14124-2024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45392</v>
      </c>
      <c r="E2574" s="1" t="n">
        <v>46321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5.5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33922-2023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45122</v>
      </c>
      <c r="E2575" s="1" t="n">
        <v>46321</v>
      </c>
      <c r="F2575" t="inlineStr">
        <is>
          <t>VÄSTERNORRLANDS LÄN</t>
        </is>
      </c>
      <c r="G2575" t="inlineStr">
        <is>
          <t>ÖRNSKÖLDSVIK</t>
        </is>
      </c>
      <c r="I2575" t="n">
        <v>1.3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20333-2025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45775</v>
      </c>
      <c r="E2576" s="1" t="n">
        <v>46321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3.6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45942-2023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45195</v>
      </c>
      <c r="E2577" s="1" t="n">
        <v>46321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SCA</t>
        </is>
      </c>
      <c r="I2577" t="n">
        <v>2.2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17874-2022</t>
        </is>
      </c>
      <c r="B2578" t="inlineStr">
        <is>
          <t>avverkningsanmälan</t>
        </is>
      </c>
      <c r="C2578" t="inlineStr">
        <is>
          <t>Avverkning för annat ändamål</t>
        </is>
      </c>
      <c r="D2578" s="1" t="n">
        <v>44683</v>
      </c>
      <c r="E2578" s="1" t="n">
        <v>46321</v>
      </c>
      <c r="F2578" t="inlineStr">
        <is>
          <t>VÄSTERNORRLANDS LÄN</t>
        </is>
      </c>
      <c r="G2578" t="inlineStr">
        <is>
          <t>ÖRNSKÖLDSVIK</t>
        </is>
      </c>
      <c r="I2578" t="n">
        <v>2.7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42235-2023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45180</v>
      </c>
      <c r="E2579" s="1" t="n">
        <v>46321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4.1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34847-2023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45141</v>
      </c>
      <c r="E2580" s="1" t="n">
        <v>46321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SCA</t>
        </is>
      </c>
      <c r="I2580" t="n">
        <v>4.4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35379-2023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45145</v>
      </c>
      <c r="E2581" s="1" t="n">
        <v>46321</v>
      </c>
      <c r="F2581" t="inlineStr">
        <is>
          <t>VÄSTERNORRLANDS LÄN</t>
        </is>
      </c>
      <c r="G2581" t="inlineStr">
        <is>
          <t>ÖRNSKÖLDSVIK</t>
        </is>
      </c>
      <c r="I2581" t="n">
        <v>0.8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20540-2022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44700</v>
      </c>
      <c r="E2582" s="1" t="n">
        <v>46321</v>
      </c>
      <c r="F2582" t="inlineStr">
        <is>
          <t>VÄSTERNORRLANDS LÄN</t>
        </is>
      </c>
      <c r="G2582" t="inlineStr">
        <is>
          <t>ÖRNSKÖLDSVIK</t>
        </is>
      </c>
      <c r="I2582" t="n">
        <v>1.5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35555-2023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45146</v>
      </c>
      <c r="E2583" s="1" t="n">
        <v>46321</v>
      </c>
      <c r="F2583" t="inlineStr">
        <is>
          <t>VÄSTERNORRLANDS LÄN</t>
        </is>
      </c>
      <c r="G2583" t="inlineStr">
        <is>
          <t>ÖRNSKÖLDSVIK</t>
        </is>
      </c>
      <c r="I2583" t="n">
        <v>4.7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33901-2023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45122</v>
      </c>
      <c r="E2584" s="1" t="n">
        <v>46321</v>
      </c>
      <c r="F2584" t="inlineStr">
        <is>
          <t>VÄSTERNORRLANDS LÄN</t>
        </is>
      </c>
      <c r="G2584" t="inlineStr">
        <is>
          <t>ÖRNSKÖLDSVIK</t>
        </is>
      </c>
      <c r="I2584" t="n">
        <v>2.8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51070-2023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45218</v>
      </c>
      <c r="E2585" s="1" t="n">
        <v>46321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1.2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48704-2023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45208</v>
      </c>
      <c r="E2586" s="1" t="n">
        <v>46321</v>
      </c>
      <c r="F2586" t="inlineStr">
        <is>
          <t>VÄSTERNORRLANDS LÄN</t>
        </is>
      </c>
      <c r="G2586" t="inlineStr">
        <is>
          <t>ÖRNSKÖLDSVIK</t>
        </is>
      </c>
      <c r="I2586" t="n">
        <v>1.9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59592-2023</t>
        </is>
      </c>
      <c r="B2587" t="inlineStr">
        <is>
          <t>avverkningsanmälan</t>
        </is>
      </c>
      <c r="C2587" t="inlineStr">
        <is>
          <t>Avverkning för att bevara och utveckla /försöksver</t>
        </is>
      </c>
      <c r="D2587" s="1" t="n">
        <v>45254</v>
      </c>
      <c r="E2587" s="1" t="n">
        <v>46321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0.6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10526-2025</t>
        </is>
      </c>
      <c r="B2588" t="inlineStr">
        <is>
          <t>avverkningsanmälan</t>
        </is>
      </c>
      <c r="C2588" t="inlineStr">
        <is>
          <t>Avverkning för annat ändamål</t>
        </is>
      </c>
      <c r="D2588" s="1" t="n">
        <v>45721</v>
      </c>
      <c r="E2588" s="1" t="n">
        <v>46321</v>
      </c>
      <c r="F2588" t="inlineStr">
        <is>
          <t>VÄSTERNORRLANDS LÄN</t>
        </is>
      </c>
      <c r="G2588" t="inlineStr">
        <is>
          <t>ÖRNSKÖLDSVIK</t>
        </is>
      </c>
      <c r="I2588" t="n">
        <v>1.9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27801-2022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44743</v>
      </c>
      <c r="E2589" s="1" t="n">
        <v>46321</v>
      </c>
      <c r="F2589" t="inlineStr">
        <is>
          <t>VÄSTERNORRLANDS LÄN</t>
        </is>
      </c>
      <c r="G2589" t="inlineStr">
        <is>
          <t>ÖRNSKÖLDSVIK</t>
        </is>
      </c>
      <c r="I2589" t="n">
        <v>3.3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11033-2025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45723</v>
      </c>
      <c r="E2590" s="1" t="n">
        <v>46321</v>
      </c>
      <c r="F2590" t="inlineStr">
        <is>
          <t>VÄSTERNORRLANDS LÄN</t>
        </is>
      </c>
      <c r="G2590" t="inlineStr">
        <is>
          <t>ÖRNSKÖLDSVIK</t>
        </is>
      </c>
      <c r="I2590" t="n">
        <v>2.6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17778-2022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44682</v>
      </c>
      <c r="E2591" s="1" t="n">
        <v>46321</v>
      </c>
      <c r="F2591" t="inlineStr">
        <is>
          <t>VÄSTERNORRLANDS LÄN</t>
        </is>
      </c>
      <c r="G2591" t="inlineStr">
        <is>
          <t>ÖRNSKÖLDSVIK</t>
        </is>
      </c>
      <c r="I2591" t="n">
        <v>15.6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45794-2023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45195</v>
      </c>
      <c r="E2592" s="1" t="n">
        <v>46321</v>
      </c>
      <c r="F2592" t="inlineStr">
        <is>
          <t>VÄSTERNORRLANDS LÄN</t>
        </is>
      </c>
      <c r="G2592" t="inlineStr">
        <is>
          <t>ÖRNSKÖLDSVIK</t>
        </is>
      </c>
      <c r="I2592" t="n">
        <v>6.3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45824-2023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45189</v>
      </c>
      <c r="E2593" s="1" t="n">
        <v>46321</v>
      </c>
      <c r="F2593" t="inlineStr">
        <is>
          <t>VÄSTERNORRLANDS LÄN</t>
        </is>
      </c>
      <c r="G2593" t="inlineStr">
        <is>
          <t>ÖRNSKÖLDSVIK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42561-2023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45181</v>
      </c>
      <c r="E2594" s="1" t="n">
        <v>46321</v>
      </c>
      <c r="F2594" t="inlineStr">
        <is>
          <t>VÄSTERNORRLANDS LÄN</t>
        </is>
      </c>
      <c r="G2594" t="inlineStr">
        <is>
          <t>ÖRNSKÖLDSVIK</t>
        </is>
      </c>
      <c r="I2594" t="n">
        <v>1.5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42614-2023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45176</v>
      </c>
      <c r="E2595" s="1" t="n">
        <v>46321</v>
      </c>
      <c r="F2595" t="inlineStr">
        <is>
          <t>VÄSTERNORRLANDS LÄN</t>
        </is>
      </c>
      <c r="G2595" t="inlineStr">
        <is>
          <t>ÖRNSKÖLDSVIK</t>
        </is>
      </c>
      <c r="I2595" t="n">
        <v>3.5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21896-2022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44711</v>
      </c>
      <c r="E2596" s="1" t="n">
        <v>46321</v>
      </c>
      <c r="F2596" t="inlineStr">
        <is>
          <t>VÄSTERNORRLANDS LÄN</t>
        </is>
      </c>
      <c r="G2596" t="inlineStr">
        <is>
          <t>ÖRNSKÖLDSVIK</t>
        </is>
      </c>
      <c r="I2596" t="n">
        <v>2.2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60324-2023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45258</v>
      </c>
      <c r="E2597" s="1" t="n">
        <v>46321</v>
      </c>
      <c r="F2597" t="inlineStr">
        <is>
          <t>VÄSTERNORRLANDS LÄN</t>
        </is>
      </c>
      <c r="G2597" t="inlineStr">
        <is>
          <t>ÖRNSKÖLDSVIK</t>
        </is>
      </c>
      <c r="I2597" t="n">
        <v>1.9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8019-2025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45707</v>
      </c>
      <c r="E2598" s="1" t="n">
        <v>46321</v>
      </c>
      <c r="F2598" t="inlineStr">
        <is>
          <t>VÄSTERNORRLANDS LÄN</t>
        </is>
      </c>
      <c r="G2598" t="inlineStr">
        <is>
          <t>ÖRNSKÖLDSVIK</t>
        </is>
      </c>
      <c r="I2598" t="n">
        <v>1.7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49929-2023</t>
        </is>
      </c>
      <c r="B2599" t="inlineStr">
        <is>
          <t>avverkningsanmälan</t>
        </is>
      </c>
      <c r="C2599" t="inlineStr">
        <is>
          <t>Avverkning för att bevara och utveckla /försöksver</t>
        </is>
      </c>
      <c r="D2599" s="1" t="n">
        <v>45214</v>
      </c>
      <c r="E2599" s="1" t="n">
        <v>46321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SCA</t>
        </is>
      </c>
      <c r="I2599" t="n">
        <v>3.7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48202-2023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45205</v>
      </c>
      <c r="E2600" s="1" t="n">
        <v>46321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5.4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12903-2022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44642</v>
      </c>
      <c r="E2601" s="1" t="n">
        <v>46321</v>
      </c>
      <c r="F2601" t="inlineStr">
        <is>
          <t>VÄSTERNORRLANDS LÄN</t>
        </is>
      </c>
      <c r="G2601" t="inlineStr">
        <is>
          <t>ÖRNSKÖLDSVIK</t>
        </is>
      </c>
      <c r="I2601" t="n">
        <v>2.2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25737-2022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44733</v>
      </c>
      <c r="E2602" s="1" t="n">
        <v>46321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2.5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12736-2025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45733</v>
      </c>
      <c r="E2603" s="1" t="n">
        <v>46321</v>
      </c>
      <c r="F2603" t="inlineStr">
        <is>
          <t>VÄSTERNORRLANDS LÄN</t>
        </is>
      </c>
      <c r="G2603" t="inlineStr">
        <is>
          <t>ÖRNSKÖLDSVIK</t>
        </is>
      </c>
      <c r="I2603" t="n">
        <v>2.5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51518-2023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45222</v>
      </c>
      <c r="E2604" s="1" t="n">
        <v>46321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0.7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58643-2023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45251</v>
      </c>
      <c r="E2605" s="1" t="n">
        <v>46321</v>
      </c>
      <c r="F2605" t="inlineStr">
        <is>
          <t>VÄSTERNORRLANDS LÄN</t>
        </is>
      </c>
      <c r="G2605" t="inlineStr">
        <is>
          <t>ÖRNSKÖLDSVIK</t>
        </is>
      </c>
      <c r="I2605" t="n">
        <v>2.4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43236-2023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45183</v>
      </c>
      <c r="E2606" s="1" t="n">
        <v>46321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1.3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37087-2023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45154</v>
      </c>
      <c r="E2607" s="1" t="n">
        <v>46321</v>
      </c>
      <c r="F2607" t="inlineStr">
        <is>
          <t>VÄSTERNORRLANDS LÄN</t>
        </is>
      </c>
      <c r="G2607" t="inlineStr">
        <is>
          <t>ÖRNSKÖLDSVIK</t>
        </is>
      </c>
      <c r="I2607" t="n">
        <v>4.7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55023-2023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45237</v>
      </c>
      <c r="E2608" s="1" t="n">
        <v>46321</v>
      </c>
      <c r="F2608" t="inlineStr">
        <is>
          <t>VÄSTERNORRLANDS LÄN</t>
        </is>
      </c>
      <c r="G2608" t="inlineStr">
        <is>
          <t>ÖRNSKÖLDSVIK</t>
        </is>
      </c>
      <c r="I2608" t="n">
        <v>2.6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27153-2022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44741</v>
      </c>
      <c r="E2609" s="1" t="n">
        <v>46321</v>
      </c>
      <c r="F2609" t="inlineStr">
        <is>
          <t>VÄSTERNORRLANDS LÄN</t>
        </is>
      </c>
      <c r="G2609" t="inlineStr">
        <is>
          <t>ÖRNSKÖLDSVIK</t>
        </is>
      </c>
      <c r="I2609" t="n">
        <v>6.3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20475-2022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44699</v>
      </c>
      <c r="E2610" s="1" t="n">
        <v>46321</v>
      </c>
      <c r="F2610" t="inlineStr">
        <is>
          <t>VÄSTERNORRLANDS LÄN</t>
        </is>
      </c>
      <c r="G2610" t="inlineStr">
        <is>
          <t>ÖRNSKÖLDSVIK</t>
        </is>
      </c>
      <c r="I2610" t="n">
        <v>2.2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13787-2022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44649</v>
      </c>
      <c r="E2611" s="1" t="n">
        <v>46321</v>
      </c>
      <c r="F2611" t="inlineStr">
        <is>
          <t>VÄSTERNORRLANDS LÄN</t>
        </is>
      </c>
      <c r="G2611" t="inlineStr">
        <is>
          <t>ÖRNSKÖLDSVIK</t>
        </is>
      </c>
      <c r="I2611" t="n">
        <v>1.7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41394-2023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45174</v>
      </c>
      <c r="E2612" s="1" t="n">
        <v>46321</v>
      </c>
      <c r="F2612" t="inlineStr">
        <is>
          <t>VÄSTERNORRLANDS LÄN</t>
        </is>
      </c>
      <c r="G2612" t="inlineStr">
        <is>
          <t>ÖRNSKÖLDSVIK</t>
        </is>
      </c>
      <c r="I2612" t="n">
        <v>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16558-2022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44672</v>
      </c>
      <c r="E2613" s="1" t="n">
        <v>46321</v>
      </c>
      <c r="F2613" t="inlineStr">
        <is>
          <t>VÄSTERNORRLANDS LÄN</t>
        </is>
      </c>
      <c r="G2613" t="inlineStr">
        <is>
          <t>ÖRNSKÖLDSVIK</t>
        </is>
      </c>
      <c r="I2613" t="n">
        <v>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26658-2023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45092</v>
      </c>
      <c r="E2614" s="1" t="n">
        <v>46321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SCA</t>
        </is>
      </c>
      <c r="I2614" t="n">
        <v>4.5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44522-2022</t>
        </is>
      </c>
      <c r="B2615" t="inlineStr">
        <is>
          <t>avverkningsanmälan</t>
        </is>
      </c>
      <c r="C2615" t="inlineStr">
        <is>
          <t>Avverkning för annat ändamål</t>
        </is>
      </c>
      <c r="D2615" s="1" t="n">
        <v>44840</v>
      </c>
      <c r="E2615" s="1" t="n">
        <v>46321</v>
      </c>
      <c r="F2615" t="inlineStr">
        <is>
          <t>VÄSTERNORRLANDS LÄN</t>
        </is>
      </c>
      <c r="G2615" t="inlineStr">
        <is>
          <t>ÖRNSKÖLDSVIK</t>
        </is>
      </c>
      <c r="I2615" t="n">
        <v>1.2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46307-2023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45197</v>
      </c>
      <c r="E2616" s="1" t="n">
        <v>46321</v>
      </c>
      <c r="F2616" t="inlineStr">
        <is>
          <t>VÄSTERNORRLANDS LÄN</t>
        </is>
      </c>
      <c r="G2616" t="inlineStr">
        <is>
          <t>ÖRNSKÖLDSVIK</t>
        </is>
      </c>
      <c r="I2616" t="n">
        <v>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34020-2023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45135</v>
      </c>
      <c r="E2617" s="1" t="n">
        <v>46321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3.4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33757-2022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44789</v>
      </c>
      <c r="E2618" s="1" t="n">
        <v>46321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Kyrkan</t>
        </is>
      </c>
      <c r="I2618" t="n">
        <v>21.6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25107-2024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45462</v>
      </c>
      <c r="E2619" s="1" t="n">
        <v>46321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35451-2022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44798</v>
      </c>
      <c r="E2620" s="1" t="n">
        <v>46321</v>
      </c>
      <c r="F2620" t="inlineStr">
        <is>
          <t>VÄSTERNORRLANDS LÄN</t>
        </is>
      </c>
      <c r="G2620" t="inlineStr">
        <is>
          <t>ÖRNSKÖLDSVIK</t>
        </is>
      </c>
      <c r="I2620" t="n">
        <v>2.4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44330-2022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44839</v>
      </c>
      <c r="E2621" s="1" t="n">
        <v>46321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8.1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60319-2022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44903</v>
      </c>
      <c r="E2622" s="1" t="n">
        <v>46321</v>
      </c>
      <c r="F2622" t="inlineStr">
        <is>
          <t>VÄSTERNORRLANDS LÄN</t>
        </is>
      </c>
      <c r="G2622" t="inlineStr">
        <is>
          <t>ÖRNSKÖLDSVIK</t>
        </is>
      </c>
      <c r="I2622" t="n">
        <v>1.4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327-2024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45295</v>
      </c>
      <c r="E2623" s="1" t="n">
        <v>46321</v>
      </c>
      <c r="F2623" t="inlineStr">
        <is>
          <t>VÄSTERNORRLANDS LÄN</t>
        </is>
      </c>
      <c r="G2623" t="inlineStr">
        <is>
          <t>ÖRNSKÖLDSVIK</t>
        </is>
      </c>
      <c r="I2623" t="n">
        <v>3.4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10160-2025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45719</v>
      </c>
      <c r="E2624" s="1" t="n">
        <v>46321</v>
      </c>
      <c r="F2624" t="inlineStr">
        <is>
          <t>VÄSTERNORRLANDS LÄN</t>
        </is>
      </c>
      <c r="G2624" t="inlineStr">
        <is>
          <t>ÖRNSKÖLDSVIK</t>
        </is>
      </c>
      <c r="I2624" t="n">
        <v>0.7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43576-2022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44834</v>
      </c>
      <c r="E2625" s="1" t="n">
        <v>46321</v>
      </c>
      <c r="F2625" t="inlineStr">
        <is>
          <t>VÄSTERNORRLANDS LÄN</t>
        </is>
      </c>
      <c r="G2625" t="inlineStr">
        <is>
          <t>ÖRNSKÖLDSVIK</t>
        </is>
      </c>
      <c r="I2625" t="n">
        <v>6.1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57924-2023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45247</v>
      </c>
      <c r="E2626" s="1" t="n">
        <v>46321</v>
      </c>
      <c r="F2626" t="inlineStr">
        <is>
          <t>VÄSTERNORRLANDS LÄN</t>
        </is>
      </c>
      <c r="G2626" t="inlineStr">
        <is>
          <t>ÖRNSKÖLDSVIK</t>
        </is>
      </c>
      <c r="I2626" t="n">
        <v>0.7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1559-2024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45306</v>
      </c>
      <c r="E2627" s="1" t="n">
        <v>46321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3.7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698-2024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45300</v>
      </c>
      <c r="E2628" s="1" t="n">
        <v>46321</v>
      </c>
      <c r="F2628" t="inlineStr">
        <is>
          <t>VÄSTERNORRLANDS LÄN</t>
        </is>
      </c>
      <c r="G2628" t="inlineStr">
        <is>
          <t>ÖRNSKÖLDSVIK</t>
        </is>
      </c>
      <c r="I2628" t="n">
        <v>2.4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59898-2023</t>
        </is>
      </c>
      <c r="B2629" t="inlineStr">
        <is>
          <t>avverkningsanmälan</t>
        </is>
      </c>
      <c r="C2629" t="inlineStr">
        <is>
          <t>Avverkning för att bevara och utveckla /försöksver</t>
        </is>
      </c>
      <c r="D2629" s="1" t="n">
        <v>45257</v>
      </c>
      <c r="E2629" s="1" t="n">
        <v>46321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1.1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63673-2023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45275</v>
      </c>
      <c r="E2630" s="1" t="n">
        <v>46321</v>
      </c>
      <c r="F2630" t="inlineStr">
        <is>
          <t>VÄSTERNORRLANDS LÄN</t>
        </is>
      </c>
      <c r="G2630" t="inlineStr">
        <is>
          <t>ÖRNSKÖLDSVIK</t>
        </is>
      </c>
      <c r="I2630" t="n">
        <v>11.5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63733-2023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45277</v>
      </c>
      <c r="E2631" s="1" t="n">
        <v>46321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Övriga Aktiebolag</t>
        </is>
      </c>
      <c r="I2631" t="n">
        <v>1.2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55490-2023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45238</v>
      </c>
      <c r="E2632" s="1" t="n">
        <v>46321</v>
      </c>
      <c r="F2632" t="inlineStr">
        <is>
          <t>VÄSTERNORRLANDS LÄN</t>
        </is>
      </c>
      <c r="G2632" t="inlineStr">
        <is>
          <t>ÖRNSKÖLDSVIK</t>
        </is>
      </c>
      <c r="I2632" t="n">
        <v>1.2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8266-2025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45708</v>
      </c>
      <c r="E2633" s="1" t="n">
        <v>46321</v>
      </c>
      <c r="F2633" t="inlineStr">
        <is>
          <t>VÄSTERNORRLANDS LÄN</t>
        </is>
      </c>
      <c r="G2633" t="inlineStr">
        <is>
          <t>ÖRNSKÖLDSVIK</t>
        </is>
      </c>
      <c r="I2633" t="n">
        <v>2.9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53112-2024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45611</v>
      </c>
      <c r="E2634" s="1" t="n">
        <v>46321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5.8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61081-2022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44915</v>
      </c>
      <c r="E2635" s="1" t="n">
        <v>46321</v>
      </c>
      <c r="F2635" t="inlineStr">
        <is>
          <t>VÄSTERNORRLANDS LÄN</t>
        </is>
      </c>
      <c r="G2635" t="inlineStr">
        <is>
          <t>ÖRNSKÖLDSVIK</t>
        </is>
      </c>
      <c r="I2635" t="n">
        <v>2.2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19472-2025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45770</v>
      </c>
      <c r="E2636" s="1" t="n">
        <v>46321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4.6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27467-2022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44742</v>
      </c>
      <c r="E2637" s="1" t="n">
        <v>46321</v>
      </c>
      <c r="F2637" t="inlineStr">
        <is>
          <t>VÄSTERNORRLANDS LÄN</t>
        </is>
      </c>
      <c r="G2637" t="inlineStr">
        <is>
          <t>ÖRNSKÖLDSVIK</t>
        </is>
      </c>
      <c r="I2637" t="n">
        <v>2.1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60754-2023</t>
        </is>
      </c>
      <c r="B2638" t="inlineStr">
        <is>
          <t>avverkningsanmälan</t>
        </is>
      </c>
      <c r="C2638" t="inlineStr">
        <is>
          <t>Avverkning för annat ändamål</t>
        </is>
      </c>
      <c r="D2638" s="1" t="n">
        <v>45260</v>
      </c>
      <c r="E2638" s="1" t="n">
        <v>46321</v>
      </c>
      <c r="F2638" t="inlineStr">
        <is>
          <t>VÄSTERNORRLANDS LÄN</t>
        </is>
      </c>
      <c r="G2638" t="inlineStr">
        <is>
          <t>ÖRNSKÖLDSVIK</t>
        </is>
      </c>
      <c r="I2638" t="n">
        <v>0.1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19532-2025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45770</v>
      </c>
      <c r="E2639" s="1" t="n">
        <v>46321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0.5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57305-2023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45245</v>
      </c>
      <c r="E2640" s="1" t="n">
        <v>46321</v>
      </c>
      <c r="F2640" t="inlineStr">
        <is>
          <t>VÄSTERNORRLANDS LÄN</t>
        </is>
      </c>
      <c r="G2640" t="inlineStr">
        <is>
          <t>ÖRNSKÖLDSVIK</t>
        </is>
      </c>
      <c r="I2640" t="n">
        <v>0.4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4575-2024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45327</v>
      </c>
      <c r="E2641" s="1" t="n">
        <v>46321</v>
      </c>
      <c r="F2641" t="inlineStr">
        <is>
          <t>VÄSTERNORRLANDS LÄN</t>
        </is>
      </c>
      <c r="G2641" t="inlineStr">
        <is>
          <t>ÖRNSKÖLDSVIK</t>
        </is>
      </c>
      <c r="I2641" t="n">
        <v>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35248-2022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44798</v>
      </c>
      <c r="E2642" s="1" t="n">
        <v>46321</v>
      </c>
      <c r="F2642" t="inlineStr">
        <is>
          <t>VÄSTERNORRLANDS LÄN</t>
        </is>
      </c>
      <c r="G2642" t="inlineStr">
        <is>
          <t>ÖRNSKÖLDSVIK</t>
        </is>
      </c>
      <c r="I2642" t="n">
        <v>2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14027-2025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45740</v>
      </c>
      <c r="E2643" s="1" t="n">
        <v>46321</v>
      </c>
      <c r="F2643" t="inlineStr">
        <is>
          <t>VÄSTERNORRLANDS LÄN</t>
        </is>
      </c>
      <c r="G2643" t="inlineStr">
        <is>
          <t>ÖRNSKÖLDSVIK</t>
        </is>
      </c>
      <c r="I2643" t="n">
        <v>27.3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12477-2024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45379</v>
      </c>
      <c r="E2644" s="1" t="n">
        <v>46321</v>
      </c>
      <c r="F2644" t="inlineStr">
        <is>
          <t>VÄSTERNORRLANDS LÄN</t>
        </is>
      </c>
      <c r="G2644" t="inlineStr">
        <is>
          <t>ÖRNSKÖLDSVIK</t>
        </is>
      </c>
      <c r="I2644" t="n">
        <v>7.5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28336-2024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45477</v>
      </c>
      <c r="E2645" s="1" t="n">
        <v>46321</v>
      </c>
      <c r="F2645" t="inlineStr">
        <is>
          <t>VÄSTERNORRLANDS LÄN</t>
        </is>
      </c>
      <c r="G2645" t="inlineStr">
        <is>
          <t>ÖRNSKÖLDSVIK</t>
        </is>
      </c>
      <c r="I2645" t="n">
        <v>2.1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37619-2022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44810</v>
      </c>
      <c r="E2646" s="1" t="n">
        <v>46321</v>
      </c>
      <c r="F2646" t="inlineStr">
        <is>
          <t>VÄSTERNORRLANDS LÄN</t>
        </is>
      </c>
      <c r="G2646" t="inlineStr">
        <is>
          <t>ÖRNSKÖLDSVIK</t>
        </is>
      </c>
      <c r="I2646" t="n">
        <v>1.4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35472-2024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45531</v>
      </c>
      <c r="E2647" s="1" t="n">
        <v>46321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Holmen skog AB</t>
        </is>
      </c>
      <c r="I2647" t="n">
        <v>0.9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59924-2023</t>
        </is>
      </c>
      <c r="B2648" t="inlineStr">
        <is>
          <t>avverkningsanmälan</t>
        </is>
      </c>
      <c r="C2648" t="inlineStr">
        <is>
          <t>Avverkning för att bevara och utveckla /försöksver</t>
        </is>
      </c>
      <c r="D2648" s="1" t="n">
        <v>45257</v>
      </c>
      <c r="E2648" s="1" t="n">
        <v>46321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1.5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58055-2023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45247</v>
      </c>
      <c r="E2649" s="1" t="n">
        <v>46321</v>
      </c>
      <c r="F2649" t="inlineStr">
        <is>
          <t>VÄSTERNORRLANDS LÄN</t>
        </is>
      </c>
      <c r="G2649" t="inlineStr">
        <is>
          <t>ÖRNSKÖLDSVIK</t>
        </is>
      </c>
      <c r="I2649" t="n">
        <v>5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11485-2025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45726</v>
      </c>
      <c r="E2650" s="1" t="n">
        <v>46321</v>
      </c>
      <c r="F2650" t="inlineStr">
        <is>
          <t>VÄSTERNORRLANDS LÄN</t>
        </is>
      </c>
      <c r="G2650" t="inlineStr">
        <is>
          <t>ÖRNSKÖLDSVIK</t>
        </is>
      </c>
      <c r="I2650" t="n">
        <v>2.4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20529-2024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45435</v>
      </c>
      <c r="E2651" s="1" t="n">
        <v>46321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SCA</t>
        </is>
      </c>
      <c r="I2651" t="n">
        <v>1.1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21590-2022</t>
        </is>
      </c>
      <c r="B2652" t="inlineStr">
        <is>
          <t>avverkningsanmälan</t>
        </is>
      </c>
      <c r="C2652" t="inlineStr">
        <is>
          <t>Avverkning för att bevara och utveckla /försöksver</t>
        </is>
      </c>
      <c r="D2652" s="1" t="n">
        <v>44706</v>
      </c>
      <c r="E2652" s="1" t="n">
        <v>46321</v>
      </c>
      <c r="F2652" t="inlineStr">
        <is>
          <t>VÄSTERNORRLANDS LÄN</t>
        </is>
      </c>
      <c r="G2652" t="inlineStr">
        <is>
          <t>ÖRNSKÖLDSVIK</t>
        </is>
      </c>
      <c r="I2652" t="n">
        <v>1.7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73269-2021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44550</v>
      </c>
      <c r="E2653" s="1" t="n">
        <v>46321</v>
      </c>
      <c r="F2653" t="inlineStr">
        <is>
          <t>VÄSTERNORRLANDS LÄN</t>
        </is>
      </c>
      <c r="G2653" t="inlineStr">
        <is>
          <t>ÖRNSKÖLDSVIK</t>
        </is>
      </c>
      <c r="I2653" t="n">
        <v>6.6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62857-2023</t>
        </is>
      </c>
      <c r="B2654" t="inlineStr">
        <is>
          <t>avverkningsanmälan</t>
        </is>
      </c>
      <c r="C2654" t="inlineStr">
        <is>
          <t>Avverkning för att bevara och utveckla /försöksver</t>
        </is>
      </c>
      <c r="D2654" s="1" t="n">
        <v>45272</v>
      </c>
      <c r="E2654" s="1" t="n">
        <v>46321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7.4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6528-2024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45341</v>
      </c>
      <c r="E2655" s="1" t="n">
        <v>46321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2.9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2338-2024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45310</v>
      </c>
      <c r="E2656" s="1" t="n">
        <v>46321</v>
      </c>
      <c r="F2656" t="inlineStr">
        <is>
          <t>VÄSTERNORRLANDS LÄN</t>
        </is>
      </c>
      <c r="G2656" t="inlineStr">
        <is>
          <t>ÖRNSKÖLDSVIK</t>
        </is>
      </c>
      <c r="I2656" t="n">
        <v>1.7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4103-2024</t>
        </is>
      </c>
      <c r="B2657" t="inlineStr">
        <is>
          <t>avverkningsanmälan</t>
        </is>
      </c>
      <c r="C2657" t="inlineStr">
        <is>
          <t>Avverkning för annat ändamål</t>
        </is>
      </c>
      <c r="D2657" s="1" t="n">
        <v>45323</v>
      </c>
      <c r="E2657" s="1" t="n">
        <v>46321</v>
      </c>
      <c r="F2657" t="inlineStr">
        <is>
          <t>VÄSTERNORRLANDS LÄN</t>
        </is>
      </c>
      <c r="G2657" t="inlineStr">
        <is>
          <t>ÖRNSKÖLDSVIK</t>
        </is>
      </c>
      <c r="I2657" t="n">
        <v>1.6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28438-2024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45477</v>
      </c>
      <c r="E2658" s="1" t="n">
        <v>46321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2.2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11468-2024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45372</v>
      </c>
      <c r="E2659" s="1" t="n">
        <v>46321</v>
      </c>
      <c r="F2659" t="inlineStr">
        <is>
          <t>VÄSTERNORRLANDS LÄN</t>
        </is>
      </c>
      <c r="G2659" t="inlineStr">
        <is>
          <t>ÖRNSKÖLDSVIK</t>
        </is>
      </c>
      <c r="I2659" t="n">
        <v>2.1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63660-2023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45275</v>
      </c>
      <c r="E2660" s="1" t="n">
        <v>46321</v>
      </c>
      <c r="F2660" t="inlineStr">
        <is>
          <t>VÄSTERNORRLANDS LÄN</t>
        </is>
      </c>
      <c r="G2660" t="inlineStr">
        <is>
          <t>ÖRNSKÖLDSVIK</t>
        </is>
      </c>
      <c r="I2660" t="n">
        <v>16.3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27072-2024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45471</v>
      </c>
      <c r="E2661" s="1" t="n">
        <v>46321</v>
      </c>
      <c r="F2661" t="inlineStr">
        <is>
          <t>VÄSTERNORRLANDS LÄN</t>
        </is>
      </c>
      <c r="G2661" t="inlineStr">
        <is>
          <t>ÖRNSKÖLDSVIK</t>
        </is>
      </c>
      <c r="I2661" t="n">
        <v>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36163-2022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44803</v>
      </c>
      <c r="E2662" s="1" t="n">
        <v>46321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2.2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863-2024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45301</v>
      </c>
      <c r="E2663" s="1" t="n">
        <v>46321</v>
      </c>
      <c r="F2663" t="inlineStr">
        <is>
          <t>VÄSTERNORRLANDS LÄN</t>
        </is>
      </c>
      <c r="G2663" t="inlineStr">
        <is>
          <t>ÖRNSKÖLDSVIK</t>
        </is>
      </c>
      <c r="I2663" t="n">
        <v>1.3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68315-2021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44526</v>
      </c>
      <c r="E2664" s="1" t="n">
        <v>46321</v>
      </c>
      <c r="F2664" t="inlineStr">
        <is>
          <t>VÄSTERNORRLANDS LÄN</t>
        </is>
      </c>
      <c r="G2664" t="inlineStr">
        <is>
          <t>ÖRNSKÖLDSVIK</t>
        </is>
      </c>
      <c r="I2664" t="n">
        <v>1.8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38661-2024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45547</v>
      </c>
      <c r="E2665" s="1" t="n">
        <v>46321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Holmen skog AB</t>
        </is>
      </c>
      <c r="I2665" t="n">
        <v>0.6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27818-2023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45098</v>
      </c>
      <c r="E2666" s="1" t="n">
        <v>46321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Holmen skog AB</t>
        </is>
      </c>
      <c r="I2666" t="n">
        <v>0.5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63510-2023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45274</v>
      </c>
      <c r="E2667" s="1" t="n">
        <v>46321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Övriga Aktiebolag</t>
        </is>
      </c>
      <c r="I2667" t="n">
        <v>6.9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14589-2025</t>
        </is>
      </c>
      <c r="B2668" t="inlineStr">
        <is>
          <t>avverkningsanmälan</t>
        </is>
      </c>
      <c r="C2668" t="inlineStr">
        <is>
          <t>Avverkning för annat ändamål</t>
        </is>
      </c>
      <c r="D2668" s="1" t="n">
        <v>45741</v>
      </c>
      <c r="E2668" s="1" t="n">
        <v>46321</v>
      </c>
      <c r="F2668" t="inlineStr">
        <is>
          <t>VÄSTERNORRLANDS LÄN</t>
        </is>
      </c>
      <c r="G2668" t="inlineStr">
        <is>
          <t>ÖRNSKÖLDSVIK</t>
        </is>
      </c>
      <c r="I2668" t="n">
        <v>2.2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34546-2022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44793</v>
      </c>
      <c r="E2669" s="1" t="n">
        <v>46321</v>
      </c>
      <c r="F2669" t="inlineStr">
        <is>
          <t>VÄSTERNORRLANDS LÄN</t>
        </is>
      </c>
      <c r="G2669" t="inlineStr">
        <is>
          <t>ÖRNSKÖLDSVIK</t>
        </is>
      </c>
      <c r="I2669" t="n">
        <v>0.9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13785-2025</t>
        </is>
      </c>
      <c r="B2670" t="inlineStr">
        <is>
          <t>avverkningsanmälan</t>
        </is>
      </c>
      <c r="C2670" t="inlineStr">
        <is>
          <t>Avverkning för annat ändamål</t>
        </is>
      </c>
      <c r="D2670" s="1" t="n">
        <v>45737</v>
      </c>
      <c r="E2670" s="1" t="n">
        <v>46321</v>
      </c>
      <c r="F2670" t="inlineStr">
        <is>
          <t>VÄSTERNORRLANDS LÄN</t>
        </is>
      </c>
      <c r="G2670" t="inlineStr">
        <is>
          <t>ÖRNSKÖLDSVIK</t>
        </is>
      </c>
      <c r="I2670" t="n">
        <v>1.3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36368-2024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45534</v>
      </c>
      <c r="E2671" s="1" t="n">
        <v>46321</v>
      </c>
      <c r="F2671" t="inlineStr">
        <is>
          <t>VÄSTERNORRLANDS LÄN</t>
        </is>
      </c>
      <c r="G2671" t="inlineStr">
        <is>
          <t>ÖRNSKÖLDSVIK</t>
        </is>
      </c>
      <c r="I2671" t="n">
        <v>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41187-2023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45174</v>
      </c>
      <c r="E2672" s="1" t="n">
        <v>46321</v>
      </c>
      <c r="F2672" t="inlineStr">
        <is>
          <t>VÄSTERNORRLANDS LÄN</t>
        </is>
      </c>
      <c r="G2672" t="inlineStr">
        <is>
          <t>ÖRNSKÖLDSVIK</t>
        </is>
      </c>
      <c r="I2672" t="n">
        <v>1.9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35395-2023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45146</v>
      </c>
      <c r="E2673" s="1" t="n">
        <v>46321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31721-2024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45509</v>
      </c>
      <c r="E2674" s="1" t="n">
        <v>46321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5.9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45773-2024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45579</v>
      </c>
      <c r="E2675" s="1" t="n">
        <v>46321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Holmen skog AB</t>
        </is>
      </c>
      <c r="I2675" t="n">
        <v>4.5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60628-2021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44495</v>
      </c>
      <c r="E2676" s="1" t="n">
        <v>46321</v>
      </c>
      <c r="F2676" t="inlineStr">
        <is>
          <t>VÄSTERNORRLANDS LÄN</t>
        </is>
      </c>
      <c r="G2676" t="inlineStr">
        <is>
          <t>ÖRNSKÖLDSVIK</t>
        </is>
      </c>
      <c r="I2676" t="n">
        <v>0.3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46988-2023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45201</v>
      </c>
      <c r="E2677" s="1" t="n">
        <v>46321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Holmen skog AB</t>
        </is>
      </c>
      <c r="I2677" t="n">
        <v>2.4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22547-2023</t>
        </is>
      </c>
      <c r="B2678" t="inlineStr">
        <is>
          <t>avverkningsanmälan</t>
        </is>
      </c>
      <c r="C2678" t="inlineStr">
        <is>
          <t>Avverkning för annat ändamål</t>
        </is>
      </c>
      <c r="D2678" s="1" t="n">
        <v>45069</v>
      </c>
      <c r="E2678" s="1" t="n">
        <v>46321</v>
      </c>
      <c r="F2678" t="inlineStr">
        <is>
          <t>VÄSTERNORRLANDS LÄN</t>
        </is>
      </c>
      <c r="G2678" t="inlineStr">
        <is>
          <t>ÖRNSKÖLDSVIK</t>
        </is>
      </c>
      <c r="I2678" t="n">
        <v>0.7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39625-2023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45167</v>
      </c>
      <c r="E2679" s="1" t="n">
        <v>46321</v>
      </c>
      <c r="F2679" t="inlineStr">
        <is>
          <t>VÄSTERNORRLANDS LÄN</t>
        </is>
      </c>
      <c r="G2679" t="inlineStr">
        <is>
          <t>ÖRNSKÖLDSVIK</t>
        </is>
      </c>
      <c r="H2679" t="inlineStr">
        <is>
          <t>Holmen skog AB</t>
        </is>
      </c>
      <c r="I2679" t="n">
        <v>1.1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53997-2024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45616</v>
      </c>
      <c r="E2680" s="1" t="n">
        <v>46321</v>
      </c>
      <c r="F2680" t="inlineStr">
        <is>
          <t>VÄSTERNORRLANDS LÄN</t>
        </is>
      </c>
      <c r="G2680" t="inlineStr">
        <is>
          <t>ÖRNSKÖLDSVIK</t>
        </is>
      </c>
      <c r="I2680" t="n">
        <v>1.3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441-2024</t>
        </is>
      </c>
      <c r="B2681" t="inlineStr">
        <is>
          <t>avverkningsanmälan</t>
        </is>
      </c>
      <c r="C2681" t="inlineStr">
        <is>
          <t>Avverkning för att bevara och utveckla /försöksver</t>
        </is>
      </c>
      <c r="D2681" s="1" t="n">
        <v>45296</v>
      </c>
      <c r="E2681" s="1" t="n">
        <v>46321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Holmen skog AB</t>
        </is>
      </c>
      <c r="I2681" t="n">
        <v>0.5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44118-2024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45572</v>
      </c>
      <c r="E2682" s="1" t="n">
        <v>46321</v>
      </c>
      <c r="F2682" t="inlineStr">
        <is>
          <t>VÄSTERNORRLANDS LÄN</t>
        </is>
      </c>
      <c r="G2682" t="inlineStr">
        <is>
          <t>ÖRNSKÖLDSVIK</t>
        </is>
      </c>
      <c r="I2682" t="n">
        <v>0.6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20326-2025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45775</v>
      </c>
      <c r="E2683" s="1" t="n">
        <v>46321</v>
      </c>
      <c r="F2683" t="inlineStr">
        <is>
          <t>VÄSTERNORRLANDS LÄN</t>
        </is>
      </c>
      <c r="G2683" t="inlineStr">
        <is>
          <t>ÖRNSKÖLDSVIK</t>
        </is>
      </c>
      <c r="I2683" t="n">
        <v>1.3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58702-2023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45251</v>
      </c>
      <c r="E2684" s="1" t="n">
        <v>46321</v>
      </c>
      <c r="F2684" t="inlineStr">
        <is>
          <t>VÄSTERNORRLANDS LÄN</t>
        </is>
      </c>
      <c r="G2684" t="inlineStr">
        <is>
          <t>ÖRNSKÖLDSVIK</t>
        </is>
      </c>
      <c r="H2684" t="inlineStr">
        <is>
          <t>Holmen skog AB</t>
        </is>
      </c>
      <c r="I2684" t="n">
        <v>3.7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62484-2023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45268</v>
      </c>
      <c r="E2685" s="1" t="n">
        <v>46321</v>
      </c>
      <c r="F2685" t="inlineStr">
        <is>
          <t>VÄSTERNORRLANDS LÄN</t>
        </is>
      </c>
      <c r="G2685" t="inlineStr">
        <is>
          <t>ÖRNSKÖLDSVIK</t>
        </is>
      </c>
      <c r="I2685" t="n">
        <v>2.9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1002-2024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45301</v>
      </c>
      <c r="E2686" s="1" t="n">
        <v>46321</v>
      </c>
      <c r="F2686" t="inlineStr">
        <is>
          <t>VÄSTERNORRLANDS LÄN</t>
        </is>
      </c>
      <c r="G2686" t="inlineStr">
        <is>
          <t>ÖRNSKÖLDSVIK</t>
        </is>
      </c>
      <c r="I2686" t="n">
        <v>1.7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28642-2022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44748</v>
      </c>
      <c r="E2687" s="1" t="n">
        <v>46321</v>
      </c>
      <c r="F2687" t="inlineStr">
        <is>
          <t>VÄSTERNORRLANDS LÄN</t>
        </is>
      </c>
      <c r="G2687" t="inlineStr">
        <is>
          <t>ÖRNSKÖLDSVIK</t>
        </is>
      </c>
      <c r="I2687" t="n">
        <v>2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21124-2024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45440</v>
      </c>
      <c r="E2688" s="1" t="n">
        <v>46321</v>
      </c>
      <c r="F2688" t="inlineStr">
        <is>
          <t>VÄSTERNORRLANDS LÄN</t>
        </is>
      </c>
      <c r="G2688" t="inlineStr">
        <is>
          <t>ÖRNSKÖLDSVIK</t>
        </is>
      </c>
      <c r="I2688" t="n">
        <v>0.7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7147-2023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44965</v>
      </c>
      <c r="E2689" s="1" t="n">
        <v>46321</v>
      </c>
      <c r="F2689" t="inlineStr">
        <is>
          <t>VÄSTERNORRLANDS LÄN</t>
        </is>
      </c>
      <c r="G2689" t="inlineStr">
        <is>
          <t>ÖRNSKÖLDSVIK</t>
        </is>
      </c>
      <c r="I2689" t="n">
        <v>1.4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26378-2024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45469</v>
      </c>
      <c r="E2690" s="1" t="n">
        <v>46321</v>
      </c>
      <c r="F2690" t="inlineStr">
        <is>
          <t>VÄSTERNORRLANDS LÄN</t>
        </is>
      </c>
      <c r="G2690" t="inlineStr">
        <is>
          <t>ÖRNSKÖLDSVIK</t>
        </is>
      </c>
      <c r="I2690" t="n">
        <v>1.9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51197-2024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45603</v>
      </c>
      <c r="E2691" s="1" t="n">
        <v>46321</v>
      </c>
      <c r="F2691" t="inlineStr">
        <is>
          <t>VÄSTERNORRLANDS LÄN</t>
        </is>
      </c>
      <c r="G2691" t="inlineStr">
        <is>
          <t>ÖRNSKÖLDSVIK</t>
        </is>
      </c>
      <c r="I2691" t="n">
        <v>0.8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59594-2024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45638</v>
      </c>
      <c r="E2692" s="1" t="n">
        <v>46321</v>
      </c>
      <c r="F2692" t="inlineStr">
        <is>
          <t>VÄSTERNORRLANDS LÄN</t>
        </is>
      </c>
      <c r="G2692" t="inlineStr">
        <is>
          <t>ÖRNSKÖLDSVIK</t>
        </is>
      </c>
      <c r="I2692" t="n">
        <v>1.7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56023-2022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44887</v>
      </c>
      <c r="E2693" s="1" t="n">
        <v>46321</v>
      </c>
      <c r="F2693" t="inlineStr">
        <is>
          <t>VÄSTERNORRLANDS LÄN</t>
        </is>
      </c>
      <c r="G2693" t="inlineStr">
        <is>
          <t>ÖRNSKÖLDSVIK</t>
        </is>
      </c>
      <c r="I2693" t="n">
        <v>1.5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68084-2021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44526</v>
      </c>
      <c r="E2694" s="1" t="n">
        <v>46321</v>
      </c>
      <c r="F2694" t="inlineStr">
        <is>
          <t>VÄSTERNORRLANDS LÄN</t>
        </is>
      </c>
      <c r="G2694" t="inlineStr">
        <is>
          <t>ÖRNSKÖLDSVIK</t>
        </is>
      </c>
      <c r="H2694" t="inlineStr">
        <is>
          <t>Övriga Aktiebolag</t>
        </is>
      </c>
      <c r="I2694" t="n">
        <v>9.699999999999999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34904-2022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44796</v>
      </c>
      <c r="E2695" s="1" t="n">
        <v>46321</v>
      </c>
      <c r="F2695" t="inlineStr">
        <is>
          <t>VÄSTERNORRLANDS LÄN</t>
        </is>
      </c>
      <c r="G2695" t="inlineStr">
        <is>
          <t>ÖRNSKÖLDSVIK</t>
        </is>
      </c>
      <c r="I2695" t="n">
        <v>9.699999999999999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62019-2023</t>
        </is>
      </c>
      <c r="B2696" t="inlineStr">
        <is>
          <t>avverkningsanmälan</t>
        </is>
      </c>
      <c r="C2696" t="inlineStr">
        <is>
          <t>Avverkning för att bevara och utveckla /försöksver</t>
        </is>
      </c>
      <c r="D2696" s="1" t="n">
        <v>45266</v>
      </c>
      <c r="E2696" s="1" t="n">
        <v>46321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4.3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22962-2024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45449</v>
      </c>
      <c r="E2697" s="1" t="n">
        <v>46321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Holmen skog AB</t>
        </is>
      </c>
      <c r="I2697" t="n">
        <v>1.6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34221-2024</t>
        </is>
      </c>
      <c r="B2698" t="inlineStr">
        <is>
          <t>avverkningsanmälan</t>
        </is>
      </c>
      <c r="C2698" t="inlineStr">
        <is>
          <t>Avverkning för annat ändamål</t>
        </is>
      </c>
      <c r="D2698" s="1" t="n">
        <v>45524</v>
      </c>
      <c r="E2698" s="1" t="n">
        <v>46321</v>
      </c>
      <c r="F2698" t="inlineStr">
        <is>
          <t>VÄSTERNORRLANDS LÄN</t>
        </is>
      </c>
      <c r="G2698" t="inlineStr">
        <is>
          <t>ÖRNSKÖLDSVIK</t>
        </is>
      </c>
      <c r="I2698" t="n">
        <v>0.9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31785-2024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45509</v>
      </c>
      <c r="E2699" s="1" t="n">
        <v>46321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Holmen skog AB</t>
        </is>
      </c>
      <c r="I2699" t="n">
        <v>2.4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31786-2024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45509</v>
      </c>
      <c r="E2700" s="1" t="n">
        <v>46321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Holmen skog AB</t>
        </is>
      </c>
      <c r="I2700" t="n">
        <v>1.1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55655-2024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45622</v>
      </c>
      <c r="E2701" s="1" t="n">
        <v>46321</v>
      </c>
      <c r="F2701" t="inlineStr">
        <is>
          <t>VÄSTERNORRLANDS LÄN</t>
        </is>
      </c>
      <c r="G2701" t="inlineStr">
        <is>
          <t>ÖRNSKÖLDSVIK</t>
        </is>
      </c>
      <c r="H2701" t="inlineStr">
        <is>
          <t>SCA</t>
        </is>
      </c>
      <c r="I2701" t="n">
        <v>1.2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47871-2024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45588</v>
      </c>
      <c r="E2702" s="1" t="n">
        <v>46321</v>
      </c>
      <c r="F2702" t="inlineStr">
        <is>
          <t>VÄSTERNORRLANDS LÄN</t>
        </is>
      </c>
      <c r="G2702" t="inlineStr">
        <is>
          <t>ÖRNSKÖLDSVIK</t>
        </is>
      </c>
      <c r="I2702" t="n">
        <v>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21226-2024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45440</v>
      </c>
      <c r="E2703" s="1" t="n">
        <v>46321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Holmen skog AB</t>
        </is>
      </c>
      <c r="I2703" t="n">
        <v>1.3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19991-2024</t>
        </is>
      </c>
      <c r="B2704" t="inlineStr">
        <is>
          <t>avverkningsanmälan</t>
        </is>
      </c>
      <c r="C2704" t="inlineStr">
        <is>
          <t>Avverkning för annat ändamål</t>
        </is>
      </c>
      <c r="D2704" s="1" t="n">
        <v>45433</v>
      </c>
      <c r="E2704" s="1" t="n">
        <v>46321</v>
      </c>
      <c r="F2704" t="inlineStr">
        <is>
          <t>VÄSTERNORRLANDS LÄN</t>
        </is>
      </c>
      <c r="G2704" t="inlineStr">
        <is>
          <t>ÖRNSKÖLDSVIK</t>
        </is>
      </c>
      <c r="I2704" t="n">
        <v>0.4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51479-2024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45604</v>
      </c>
      <c r="E2705" s="1" t="n">
        <v>46321</v>
      </c>
      <c r="F2705" t="inlineStr">
        <is>
          <t>VÄSTERNORRLANDS LÄN</t>
        </is>
      </c>
      <c r="G2705" t="inlineStr">
        <is>
          <t>ÖRNSKÖLDSVIK</t>
        </is>
      </c>
      <c r="H2705" t="inlineStr">
        <is>
          <t>Holmen skog AB</t>
        </is>
      </c>
      <c r="I2705" t="n">
        <v>2.6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23137-2024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45450</v>
      </c>
      <c r="E2706" s="1" t="n">
        <v>46321</v>
      </c>
      <c r="F2706" t="inlineStr">
        <is>
          <t>VÄSTERNORRLANDS LÄN</t>
        </is>
      </c>
      <c r="G2706" t="inlineStr">
        <is>
          <t>ÖRNSKÖLDSVIK</t>
        </is>
      </c>
      <c r="I2706" t="n">
        <v>2.2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13424-2025</t>
        </is>
      </c>
      <c r="B2707" t="inlineStr">
        <is>
          <t>avverkningsanmälan</t>
        </is>
      </c>
      <c r="C2707" t="inlineStr">
        <is>
          <t>Avverkning för annat ändamål</t>
        </is>
      </c>
      <c r="D2707" s="1" t="n">
        <v>45736</v>
      </c>
      <c r="E2707" s="1" t="n">
        <v>46321</v>
      </c>
      <c r="F2707" t="inlineStr">
        <is>
          <t>VÄSTERNORRLANDS LÄN</t>
        </is>
      </c>
      <c r="G2707" t="inlineStr">
        <is>
          <t>ÖRNSKÖLDSVIK</t>
        </is>
      </c>
      <c r="I2707" t="n">
        <v>1.4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50888-2023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45218</v>
      </c>
      <c r="E2708" s="1" t="n">
        <v>46321</v>
      </c>
      <c r="F2708" t="inlineStr">
        <is>
          <t>VÄSTERNORRLANDS LÄN</t>
        </is>
      </c>
      <c r="G2708" t="inlineStr">
        <is>
          <t>ÖRNSKÖLDSVIK</t>
        </is>
      </c>
      <c r="I2708" t="n">
        <v>1.2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68866-2021</t>
        </is>
      </c>
      <c r="B2709" t="inlineStr">
        <is>
          <t>avverkningsanmälan</t>
        </is>
      </c>
      <c r="C2709" t="inlineStr">
        <is>
          <t>Avverkning för annat ändamål</t>
        </is>
      </c>
      <c r="D2709" s="1" t="n">
        <v>44529</v>
      </c>
      <c r="E2709" s="1" t="n">
        <v>46321</v>
      </c>
      <c r="F2709" t="inlineStr">
        <is>
          <t>VÄSTERNORRLANDS LÄN</t>
        </is>
      </c>
      <c r="G2709" t="inlineStr">
        <is>
          <t>ÖRNSKÖLDSVIK</t>
        </is>
      </c>
      <c r="I2709" t="n">
        <v>0.9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55251-2024</t>
        </is>
      </c>
      <c r="B2710" t="inlineStr">
        <is>
          <t>avverkningsanmälan</t>
        </is>
      </c>
      <c r="C2710" t="inlineStr">
        <is>
          <t>Avverkning för att bevara och utveckla /försöksver</t>
        </is>
      </c>
      <c r="D2710" s="1" t="n">
        <v>45621</v>
      </c>
      <c r="E2710" s="1" t="n">
        <v>46321</v>
      </c>
      <c r="F2710" t="inlineStr">
        <is>
          <t>VÄSTERNORRLANDS LÄN</t>
        </is>
      </c>
      <c r="G2710" t="inlineStr">
        <is>
          <t>ÖRNSKÖLDSVIK</t>
        </is>
      </c>
      <c r="I2710" t="n">
        <v>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14645-2025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45742</v>
      </c>
      <c r="E2711" s="1" t="n">
        <v>46321</v>
      </c>
      <c r="F2711" t="inlineStr">
        <is>
          <t>VÄSTERNORRLANDS LÄN</t>
        </is>
      </c>
      <c r="G2711" t="inlineStr">
        <is>
          <t>ÖRNSKÖLDSVIK</t>
        </is>
      </c>
      <c r="I2711" t="n">
        <v>1.8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51668-2024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45606</v>
      </c>
      <c r="E2712" s="1" t="n">
        <v>46321</v>
      </c>
      <c r="F2712" t="inlineStr">
        <is>
          <t>VÄSTERNORRLANDS LÄN</t>
        </is>
      </c>
      <c r="G2712" t="inlineStr">
        <is>
          <t>ÖRNSKÖLDSVIK</t>
        </is>
      </c>
      <c r="I2712" t="n">
        <v>1.2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33771-2024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45520</v>
      </c>
      <c r="E2713" s="1" t="n">
        <v>46321</v>
      </c>
      <c r="F2713" t="inlineStr">
        <is>
          <t>VÄSTERNORRLANDS LÄN</t>
        </is>
      </c>
      <c r="G2713" t="inlineStr">
        <is>
          <t>ÖRNSKÖLDSVIK</t>
        </is>
      </c>
      <c r="I2713" t="n">
        <v>1.9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66504-2021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44517</v>
      </c>
      <c r="E2714" s="1" t="n">
        <v>46321</v>
      </c>
      <c r="F2714" t="inlineStr">
        <is>
          <t>VÄSTERNORRLANDS LÄN</t>
        </is>
      </c>
      <c r="G2714" t="inlineStr">
        <is>
          <t>ÖRNSKÖLDSVIK</t>
        </is>
      </c>
      <c r="I2714" t="n">
        <v>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9529-2024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45359</v>
      </c>
      <c r="E2715" s="1" t="n">
        <v>46321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Holmen skog AB</t>
        </is>
      </c>
      <c r="I2715" t="n">
        <v>0.3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6383-2024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45338</v>
      </c>
      <c r="E2716" s="1" t="n">
        <v>46321</v>
      </c>
      <c r="F2716" t="inlineStr">
        <is>
          <t>VÄSTERNORRLANDS LÄN</t>
        </is>
      </c>
      <c r="G2716" t="inlineStr">
        <is>
          <t>ÖRNSKÖLDSVIK</t>
        </is>
      </c>
      <c r="I2716" t="n">
        <v>0.6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1968-2023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44938</v>
      </c>
      <c r="E2717" s="1" t="n">
        <v>46321</v>
      </c>
      <c r="F2717" t="inlineStr">
        <is>
          <t>VÄSTERNORRLANDS LÄN</t>
        </is>
      </c>
      <c r="G2717" t="inlineStr">
        <is>
          <t>ÖRNSKÖLDSVIK</t>
        </is>
      </c>
      <c r="I2717" t="n">
        <v>1.5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70307-2021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44536</v>
      </c>
      <c r="E2718" s="1" t="n">
        <v>46321</v>
      </c>
      <c r="F2718" t="inlineStr">
        <is>
          <t>VÄSTERNORRLANDS LÄN</t>
        </is>
      </c>
      <c r="G2718" t="inlineStr">
        <is>
          <t>ÖRNSKÖLDSVIK</t>
        </is>
      </c>
      <c r="I2718" t="n">
        <v>9.699999999999999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26457-2023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45089</v>
      </c>
      <c r="E2719" s="1" t="n">
        <v>46321</v>
      </c>
      <c r="F2719" t="inlineStr">
        <is>
          <t>VÄSTERNORRLANDS LÄN</t>
        </is>
      </c>
      <c r="G2719" t="inlineStr">
        <is>
          <t>ÖRNSKÖLDSVIK</t>
        </is>
      </c>
      <c r="I2719" t="n">
        <v>1.6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69296-2021</t>
        </is>
      </c>
      <c r="B2720" t="inlineStr">
        <is>
          <t>avverkningsanmälan</t>
        </is>
      </c>
      <c r="C2720" t="inlineStr">
        <is>
          <t>Avverkning för att bevara och utveckla /försöksver</t>
        </is>
      </c>
      <c r="D2720" s="1" t="n">
        <v>44531</v>
      </c>
      <c r="E2720" s="1" t="n">
        <v>46321</v>
      </c>
      <c r="F2720" t="inlineStr">
        <is>
          <t>VÄSTERNORRLANDS LÄN</t>
        </is>
      </c>
      <c r="G2720" t="inlineStr">
        <is>
          <t>ÖRNSKÖLDSVIK</t>
        </is>
      </c>
      <c r="H2720" t="inlineStr">
        <is>
          <t>Holmen skog AB</t>
        </is>
      </c>
      <c r="I2720" t="n">
        <v>3.1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8227-2023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44971</v>
      </c>
      <c r="E2721" s="1" t="n">
        <v>46321</v>
      </c>
      <c r="F2721" t="inlineStr">
        <is>
          <t>VÄSTERNORRLANDS LÄN</t>
        </is>
      </c>
      <c r="G2721" t="inlineStr">
        <is>
          <t>ÖRNSKÖLDSVIK</t>
        </is>
      </c>
      <c r="I2721" t="n">
        <v>0.5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43245-2023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45183</v>
      </c>
      <c r="E2722" s="1" t="n">
        <v>46321</v>
      </c>
      <c r="F2722" t="inlineStr">
        <is>
          <t>VÄSTERNORRLANDS LÄN</t>
        </is>
      </c>
      <c r="G2722" t="inlineStr">
        <is>
          <t>ÖRNSKÖLDSVIK</t>
        </is>
      </c>
      <c r="I2722" t="n">
        <v>3.2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31693-2024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45507</v>
      </c>
      <c r="E2723" s="1" t="n">
        <v>46321</v>
      </c>
      <c r="F2723" t="inlineStr">
        <is>
          <t>VÄSTERNORRLANDS LÄN</t>
        </is>
      </c>
      <c r="G2723" t="inlineStr">
        <is>
          <t>ÖRNSKÖLDSVIK</t>
        </is>
      </c>
      <c r="H2723" t="inlineStr">
        <is>
          <t>SCA</t>
        </is>
      </c>
      <c r="I2723" t="n">
        <v>8.9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40590-2022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44823</v>
      </c>
      <c r="E2724" s="1" t="n">
        <v>46321</v>
      </c>
      <c r="F2724" t="inlineStr">
        <is>
          <t>VÄSTERNORRLANDS LÄN</t>
        </is>
      </c>
      <c r="G2724" t="inlineStr">
        <is>
          <t>ÖRNSKÖLDSVIK</t>
        </is>
      </c>
      <c r="I2724" t="n">
        <v>10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62285-2023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45267</v>
      </c>
      <c r="E2725" s="1" t="n">
        <v>46321</v>
      </c>
      <c r="F2725" t="inlineStr">
        <is>
          <t>VÄSTERNORRLANDS LÄN</t>
        </is>
      </c>
      <c r="G2725" t="inlineStr">
        <is>
          <t>ÖRNSKÖLDSVIK</t>
        </is>
      </c>
      <c r="H2725" t="inlineStr">
        <is>
          <t>Holmen skog AB</t>
        </is>
      </c>
      <c r="I2725" t="n">
        <v>1.2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60462-2022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44904</v>
      </c>
      <c r="E2726" s="1" t="n">
        <v>46321</v>
      </c>
      <c r="F2726" t="inlineStr">
        <is>
          <t>VÄSTERNORRLANDS LÄN</t>
        </is>
      </c>
      <c r="G2726" t="inlineStr">
        <is>
          <t>ÖRNSKÖLDSVIK</t>
        </is>
      </c>
      <c r="H2726" t="inlineStr">
        <is>
          <t>Kyrkan</t>
        </is>
      </c>
      <c r="I2726" t="n">
        <v>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60313-2023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45258</v>
      </c>
      <c r="E2727" s="1" t="n">
        <v>46321</v>
      </c>
      <c r="F2727" t="inlineStr">
        <is>
          <t>VÄSTERNORRLANDS LÄN</t>
        </is>
      </c>
      <c r="G2727" t="inlineStr">
        <is>
          <t>ÖRNSKÖLDSVIK</t>
        </is>
      </c>
      <c r="I2727" t="n">
        <v>3.9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60319-2023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45258</v>
      </c>
      <c r="E2728" s="1" t="n">
        <v>46321</v>
      </c>
      <c r="F2728" t="inlineStr">
        <is>
          <t>VÄSTERNORRLANDS LÄN</t>
        </is>
      </c>
      <c r="G2728" t="inlineStr">
        <is>
          <t>ÖRNSKÖLDSVIK</t>
        </is>
      </c>
      <c r="I2728" t="n">
        <v>0.4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61322-2022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44909</v>
      </c>
      <c r="E2729" s="1" t="n">
        <v>46321</v>
      </c>
      <c r="F2729" t="inlineStr">
        <is>
          <t>VÄSTERNORRLANDS LÄN</t>
        </is>
      </c>
      <c r="G2729" t="inlineStr">
        <is>
          <t>ÖRNSKÖLDSVIK</t>
        </is>
      </c>
      <c r="I2729" t="n">
        <v>3.8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61392-2022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44915</v>
      </c>
      <c r="E2730" s="1" t="n">
        <v>46321</v>
      </c>
      <c r="F2730" t="inlineStr">
        <is>
          <t>VÄSTERNORRLANDS LÄN</t>
        </is>
      </c>
      <c r="G2730" t="inlineStr">
        <is>
          <t>ÖRNSKÖLDSVIK</t>
        </is>
      </c>
      <c r="H2730" t="inlineStr">
        <is>
          <t>SCA</t>
        </is>
      </c>
      <c r="I2730" t="n">
        <v>6.8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S 2160-2022</t>
        </is>
      </c>
      <c r="B2731" t="inlineStr">
        <is>
          <t>samrådsanmälan</t>
        </is>
      </c>
      <c r="C2731" t="inlineStr">
        <is>
          <t>Annan skogsbruksåtgärd</t>
        </is>
      </c>
      <c r="D2731" s="1" t="n">
        <v>44677</v>
      </c>
      <c r="E2731" s="1" t="n">
        <v>46321</v>
      </c>
      <c r="F2731" t="inlineStr">
        <is>
          <t>VÄSTERNORRLANDS LÄN</t>
        </is>
      </c>
      <c r="G2731" t="inlineStr">
        <is>
          <t>ÖRNSKÖLDSVIK</t>
        </is>
      </c>
      <c r="H2731" t="inlineStr">
        <is>
          <t>Holmen skog AB</t>
        </is>
      </c>
      <c r="I2731" t="n">
        <v>17.8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S 880-2022</t>
        </is>
      </c>
      <c r="B2732" t="inlineStr">
        <is>
          <t>samrådsanmälan</t>
        </is>
      </c>
      <c r="C2732" t="inlineStr">
        <is>
          <t>Skogsgödsling</t>
        </is>
      </c>
      <c r="D2732" s="1" t="n">
        <v>44606</v>
      </c>
      <c r="E2732" s="1" t="n">
        <v>46321</v>
      </c>
      <c r="F2732" t="inlineStr">
        <is>
          <t>VÄSTERNORRLANDS LÄN</t>
        </is>
      </c>
      <c r="G2732" t="inlineStr">
        <is>
          <t>ÖRNSKÖLDSVIK</t>
        </is>
      </c>
      <c r="H2732" t="inlineStr">
        <is>
          <t>SCA</t>
        </is>
      </c>
      <c r="I2732" t="n">
        <v>122.8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S 1543-2022</t>
        </is>
      </c>
      <c r="B2733" t="inlineStr">
        <is>
          <t>samrådsanmälan</t>
        </is>
      </c>
      <c r="C2733" t="inlineStr">
        <is>
          <t>Skogsgödsling</t>
        </is>
      </c>
      <c r="D2733" s="1" t="n">
        <v>44642</v>
      </c>
      <c r="E2733" s="1" t="n">
        <v>46321</v>
      </c>
      <c r="F2733" t="inlineStr">
        <is>
          <t>VÄSTERNORRLANDS LÄN</t>
        </is>
      </c>
      <c r="G2733" t="inlineStr">
        <is>
          <t>ÖRNSKÖLDSVIK</t>
        </is>
      </c>
      <c r="I2733" t="n">
        <v>10.4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S 513-2024</t>
        </is>
      </c>
      <c r="B2734" t="inlineStr">
        <is>
          <t>samrådsanmälan</t>
        </is>
      </c>
      <c r="C2734" t="inlineStr">
        <is>
          <t>Åtgärd i nyckelbiotop</t>
        </is>
      </c>
      <c r="D2734" s="1" t="n">
        <v>45345</v>
      </c>
      <c r="E2734" s="1" t="n">
        <v>46321</v>
      </c>
      <c r="F2734" t="inlineStr">
        <is>
          <t>VÄSTERNORRLANDS LÄN</t>
        </is>
      </c>
      <c r="G2734" t="inlineStr">
        <is>
          <t>ÖRNSKÖLDSVIK</t>
        </is>
      </c>
      <c r="H2734" t="inlineStr">
        <is>
          <t>Holmen skog AB</t>
        </is>
      </c>
      <c r="I2734" t="n">
        <v>14.1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S 1181-2024</t>
        </is>
      </c>
      <c r="B2735" t="inlineStr">
        <is>
          <t>samrådsanmälan</t>
        </is>
      </c>
      <c r="C2735" t="inlineStr">
        <is>
          <t>Annan skogsbruksåtgärd</t>
        </is>
      </c>
      <c r="D2735" s="1" t="n">
        <v>45396</v>
      </c>
      <c r="E2735" s="1" t="n">
        <v>46321</v>
      </c>
      <c r="F2735" t="inlineStr">
        <is>
          <t>VÄSTERNORRLANDS LÄN</t>
        </is>
      </c>
      <c r="G2735" t="inlineStr">
        <is>
          <t>ÖRNSKÖLDSVIK</t>
        </is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S 4508-2024</t>
        </is>
      </c>
      <c r="B2736" t="inlineStr">
        <is>
          <t>samrådsanmälan</t>
        </is>
      </c>
      <c r="C2736" t="inlineStr">
        <is>
          <t>Annan skogsbruksåtgärd</t>
        </is>
      </c>
      <c r="D2736" s="1" t="n">
        <v>45596</v>
      </c>
      <c r="E2736" s="1" t="n">
        <v>46321</v>
      </c>
      <c r="F2736" t="inlineStr">
        <is>
          <t>VÄSTERNORRLANDS LÄN</t>
        </is>
      </c>
      <c r="G2736" t="inlineStr">
        <is>
          <t>ÖRNSKÖLDSVIK</t>
        </is>
      </c>
      <c r="H2736" t="inlineStr">
        <is>
          <t>SCA</t>
        </is>
      </c>
      <c r="I2736" t="n">
        <v>10.8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S 1443-2023</t>
        </is>
      </c>
      <c r="B2737" t="inlineStr">
        <is>
          <t>samrådsanmälan</t>
        </is>
      </c>
      <c r="C2737" t="inlineStr">
        <is>
          <t>Annan skogsbruksåtgärd</t>
        </is>
      </c>
      <c r="D2737" s="1" t="n">
        <v>45048</v>
      </c>
      <c r="E2737" s="1" t="n">
        <v>46321</v>
      </c>
      <c r="F2737" t="inlineStr">
        <is>
          <t>VÄSTERNORRLANDS LÄN</t>
        </is>
      </c>
      <c r="G2737" t="inlineStr">
        <is>
          <t>ÖRNSKÖLDSVIK</t>
        </is>
      </c>
      <c r="H2737" t="inlineStr">
        <is>
          <t>SCA</t>
        </is>
      </c>
      <c r="I2737" t="n">
        <v>8.9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S 4686-2022</t>
        </is>
      </c>
      <c r="B2738" t="inlineStr">
        <is>
          <t>samrådsanmälan</t>
        </is>
      </c>
      <c r="C2738" t="inlineStr">
        <is>
          <t>Skogsbilväg</t>
        </is>
      </c>
      <c r="D2738" s="1" t="n">
        <v>44796</v>
      </c>
      <c r="E2738" s="1" t="n">
        <v>46321</v>
      </c>
      <c r="F2738" t="inlineStr">
        <is>
          <t>VÄSTERNORRLANDS LÄN</t>
        </is>
      </c>
      <c r="G2738" t="inlineStr">
        <is>
          <t>ÖRNSKÖLDSVIK</t>
        </is>
      </c>
      <c r="I2738" t="n">
        <v>1.2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S 843-2025</t>
        </is>
      </c>
      <c r="B2739" t="inlineStr">
        <is>
          <t>samrådsanmälan</t>
        </is>
      </c>
      <c r="C2739" t="inlineStr">
        <is>
          <t>Skogsgödsling</t>
        </is>
      </c>
      <c r="D2739" s="1" t="n">
        <v>45733</v>
      </c>
      <c r="E2739" s="1" t="n">
        <v>46321</v>
      </c>
      <c r="F2739" t="inlineStr">
        <is>
          <t>VÄSTERNORRLANDS LÄN</t>
        </is>
      </c>
      <c r="G2739" t="inlineStr">
        <is>
          <t>ÖRNSKÖLDSVIK</t>
        </is>
      </c>
      <c r="H2739" t="inlineStr">
        <is>
          <t>SCA</t>
        </is>
      </c>
      <c r="I2739" t="n">
        <v>97.8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S 839-2025</t>
        </is>
      </c>
      <c r="B2740" t="inlineStr">
        <is>
          <t>samrådsanmälan</t>
        </is>
      </c>
      <c r="C2740" t="inlineStr">
        <is>
          <t>Skogsgödsling</t>
        </is>
      </c>
      <c r="D2740" s="1" t="n">
        <v>45733</v>
      </c>
      <c r="E2740" s="1" t="n">
        <v>46321</v>
      </c>
      <c r="F2740" t="inlineStr">
        <is>
          <t>VÄSTERNORRLANDS LÄN</t>
        </is>
      </c>
      <c r="G2740" t="inlineStr">
        <is>
          <t>ÖRNSKÖLDSVIK</t>
        </is>
      </c>
      <c r="H2740" t="inlineStr">
        <is>
          <t>SCA</t>
        </is>
      </c>
      <c r="I2740" t="n">
        <v>108.5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S 1506-2025</t>
        </is>
      </c>
      <c r="B2741" t="inlineStr">
        <is>
          <t>samrådsanmälan</t>
        </is>
      </c>
      <c r="C2741" t="inlineStr">
        <is>
          <t>Skogsgödsling</t>
        </is>
      </c>
      <c r="D2741" s="1" t="n">
        <v>45790</v>
      </c>
      <c r="E2741" s="1" t="n">
        <v>46321</v>
      </c>
      <c r="F2741" t="inlineStr">
        <is>
          <t>VÄSTERNORRLANDS LÄN</t>
        </is>
      </c>
      <c r="G2741" t="inlineStr">
        <is>
          <t>ÖRNSKÖLDSVIK</t>
        </is>
      </c>
      <c r="H2741" t="inlineStr">
        <is>
          <t>SCA</t>
        </is>
      </c>
      <c r="I2741" t="n">
        <v>44.7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S 979-2026</t>
        </is>
      </c>
      <c r="B2742" t="inlineStr">
        <is>
          <t>samrådsanmälan</t>
        </is>
      </c>
      <c r="C2742" t="inlineStr">
        <is>
          <t>Annan skogsbruksåtgärd</t>
        </is>
      </c>
      <c r="D2742" s="1" t="n">
        <v>46114</v>
      </c>
      <c r="E2742" s="1" t="n">
        <v>46321</v>
      </c>
      <c r="F2742" t="inlineStr">
        <is>
          <t>VÄSTERNORRLANDS LÄN</t>
        </is>
      </c>
      <c r="G2742" t="inlineStr">
        <is>
          <t>ÖRNSKÖLDSVIK</t>
        </is>
      </c>
      <c r="H2742" t="inlineStr">
        <is>
          <t>Holmen skog AB</t>
        </is>
      </c>
      <c r="I2742" t="n">
        <v>3.9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S 982-2026</t>
        </is>
      </c>
      <c r="B2743" t="inlineStr">
        <is>
          <t>samrådsanmälan</t>
        </is>
      </c>
      <c r="C2743" t="inlineStr">
        <is>
          <t>Annan skogsbruksåtgärd</t>
        </is>
      </c>
      <c r="D2743" s="1" t="n">
        <v>46114</v>
      </c>
      <c r="E2743" s="1" t="n">
        <v>46321</v>
      </c>
      <c r="F2743" t="inlineStr">
        <is>
          <t>VÄSTERNORRLANDS LÄN</t>
        </is>
      </c>
      <c r="G2743" t="inlineStr">
        <is>
          <t>ÖRNSKÖLDSVIK</t>
        </is>
      </c>
      <c r="H2743" t="inlineStr">
        <is>
          <t>Holmen skog AB</t>
        </is>
      </c>
      <c r="I2743" t="n">
        <v>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S 980-2026</t>
        </is>
      </c>
      <c r="B2744" t="inlineStr">
        <is>
          <t>samrådsanmälan</t>
        </is>
      </c>
      <c r="C2744" t="inlineStr">
        <is>
          <t>Annan skogsbruksåtgärd</t>
        </is>
      </c>
      <c r="D2744" s="1" t="n">
        <v>46114</v>
      </c>
      <c r="E2744" s="1" t="n">
        <v>46321</v>
      </c>
      <c r="F2744" t="inlineStr">
        <is>
          <t>VÄSTERNORRLANDS LÄN</t>
        </is>
      </c>
      <c r="G2744" t="inlineStr">
        <is>
          <t>ÖRNSKÖLDSVIK</t>
        </is>
      </c>
      <c r="H2744" t="inlineStr">
        <is>
          <t>Holmen skog AB</t>
        </is>
      </c>
      <c r="I2744" t="n">
        <v>0.9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S 1007-2026</t>
        </is>
      </c>
      <c r="B2745" t="inlineStr">
        <is>
          <t>samrådsanmälan</t>
        </is>
      </c>
      <c r="C2745" t="inlineStr">
        <is>
          <t>Annan skogsbruksåtgärd</t>
        </is>
      </c>
      <c r="D2745" s="1" t="n">
        <v>46120</v>
      </c>
      <c r="E2745" s="1" t="n">
        <v>46321</v>
      </c>
      <c r="F2745" t="inlineStr">
        <is>
          <t>VÄSTERNORRLANDS LÄN</t>
        </is>
      </c>
      <c r="G2745" t="inlineStr">
        <is>
          <t>ÖRNSKÖLDSVIK</t>
        </is>
      </c>
      <c r="H2745" t="inlineStr">
        <is>
          <t>Holmen skog AB</t>
        </is>
      </c>
      <c r="I2745" t="n">
        <v>3.3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S 1076-2026</t>
        </is>
      </c>
      <c r="B2746" t="inlineStr">
        <is>
          <t>samrådsanmälan</t>
        </is>
      </c>
      <c r="C2746" t="inlineStr">
        <is>
          <t>Skogsgödsling</t>
        </is>
      </c>
      <c r="D2746" s="1" t="n">
        <v>46128</v>
      </c>
      <c r="E2746" s="1" t="n">
        <v>46321</v>
      </c>
      <c r="F2746" t="inlineStr">
        <is>
          <t>VÄSTERNORRLANDS LÄN</t>
        </is>
      </c>
      <c r="G2746" t="inlineStr">
        <is>
          <t>ÖRNSKÖLDSVIK</t>
        </is>
      </c>
      <c r="I2746" t="n">
        <v>11.3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S 1100-2026</t>
        </is>
      </c>
      <c r="B2747" t="inlineStr">
        <is>
          <t>samrådsanmälan</t>
        </is>
      </c>
      <c r="C2747" t="inlineStr">
        <is>
          <t>Skogsgödsling</t>
        </is>
      </c>
      <c r="D2747" s="1" t="n">
        <v>46132</v>
      </c>
      <c r="E2747" s="1" t="n">
        <v>46321</v>
      </c>
      <c r="F2747" t="inlineStr">
        <is>
          <t>VÄSTERNORRLANDS LÄN</t>
        </is>
      </c>
      <c r="G2747" t="inlineStr">
        <is>
          <t>ÖRNSKÖLDSVIK</t>
        </is>
      </c>
      <c r="I2747" t="n">
        <v>28.2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S 1101-2026</t>
        </is>
      </c>
      <c r="B2748" t="inlineStr">
        <is>
          <t>samrådsanmälan</t>
        </is>
      </c>
      <c r="C2748" t="inlineStr">
        <is>
          <t>Skogsgödsling</t>
        </is>
      </c>
      <c r="D2748" s="1" t="n">
        <v>46132</v>
      </c>
      <c r="E2748" s="1" t="n">
        <v>46321</v>
      </c>
      <c r="F2748" t="inlineStr">
        <is>
          <t>VÄSTERNORRLANDS LÄN</t>
        </is>
      </c>
      <c r="G2748" t="inlineStr">
        <is>
          <t>ÖRNSKÖLDSVIK</t>
        </is>
      </c>
      <c r="I2748" t="n">
        <v>4.7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S 1087-2026</t>
        </is>
      </c>
      <c r="B2749" t="inlineStr">
        <is>
          <t>samrådsanmälan</t>
        </is>
      </c>
      <c r="C2749" t="inlineStr">
        <is>
          <t>Skogsgödsling</t>
        </is>
      </c>
      <c r="D2749" s="1" t="n">
        <v>46132</v>
      </c>
      <c r="E2749" s="1" t="n">
        <v>46321</v>
      </c>
      <c r="F2749" t="inlineStr">
        <is>
          <t>VÄSTERNORRLANDS LÄN</t>
        </is>
      </c>
      <c r="G2749" t="inlineStr">
        <is>
          <t>ÖRNSKÖLDSVIK</t>
        </is>
      </c>
      <c r="I2749" t="n">
        <v>16.8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S 1159-2026</t>
        </is>
      </c>
      <c r="B2750" t="inlineStr">
        <is>
          <t>samrådsanmälan</t>
        </is>
      </c>
      <c r="C2750" t="inlineStr">
        <is>
          <t>Skogsgödsling</t>
        </is>
      </c>
      <c r="D2750" s="1" t="n">
        <v>46134</v>
      </c>
      <c r="E2750" s="1" t="n">
        <v>46321</v>
      </c>
      <c r="F2750" t="inlineStr">
        <is>
          <t>VÄSTERNORRLANDS LÄN</t>
        </is>
      </c>
      <c r="G2750" t="inlineStr">
        <is>
          <t>ÖRNSKÖLDSVIK</t>
        </is>
      </c>
      <c r="I2750" t="n">
        <v>24.2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S 1166-2026</t>
        </is>
      </c>
      <c r="B2751" t="inlineStr">
        <is>
          <t>samrådsanmälan</t>
        </is>
      </c>
      <c r="C2751" t="inlineStr">
        <is>
          <t>Annan skogsbruksåtgärd</t>
        </is>
      </c>
      <c r="D2751" s="1" t="n">
        <v>46135</v>
      </c>
      <c r="E2751" s="1" t="n">
        <v>46321</v>
      </c>
      <c r="F2751" t="inlineStr">
        <is>
          <t>VÄSTERNORRLANDS LÄN</t>
        </is>
      </c>
      <c r="G2751" t="inlineStr">
        <is>
          <t>ÖRNSKÖLDSVIK</t>
        </is>
      </c>
      <c r="H2751" t="inlineStr">
        <is>
          <t>SCA</t>
        </is>
      </c>
      <c r="I2751" t="n">
        <v>6.7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S 1292-2026</t>
        </is>
      </c>
      <c r="B2752" t="inlineStr">
        <is>
          <t>samrådsanmälan</t>
        </is>
      </c>
      <c r="C2752" t="inlineStr">
        <is>
          <t>Skogsgödsling</t>
        </is>
      </c>
      <c r="D2752" s="1" t="n">
        <v>46148</v>
      </c>
      <c r="E2752" s="1" t="n">
        <v>46321</v>
      </c>
      <c r="F2752" t="inlineStr">
        <is>
          <t>VÄSTERNORRLANDS LÄN</t>
        </is>
      </c>
      <c r="G2752" t="inlineStr">
        <is>
          <t>ÖRNSKÖLDSVIK</t>
        </is>
      </c>
      <c r="I2752" t="n">
        <v>11.1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S 1309-2026</t>
        </is>
      </c>
      <c r="B2753" t="inlineStr">
        <is>
          <t>samrådsanmälan</t>
        </is>
      </c>
      <c r="C2753" t="inlineStr">
        <is>
          <t>Skogsgödsling</t>
        </is>
      </c>
      <c r="D2753" s="1" t="n">
        <v>46148</v>
      </c>
      <c r="E2753" s="1" t="n">
        <v>46321</v>
      </c>
      <c r="F2753" t="inlineStr">
        <is>
          <t>VÄSTERNORRLANDS LÄN</t>
        </is>
      </c>
      <c r="G2753" t="inlineStr">
        <is>
          <t>ÖRNSKÖLDSVIK</t>
        </is>
      </c>
      <c r="I2753" t="n">
        <v>16.8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S 1622-2026</t>
        </is>
      </c>
      <c r="B2754" t="inlineStr">
        <is>
          <t>samrådsanmälan</t>
        </is>
      </c>
      <c r="C2754" t="inlineStr">
        <is>
          <t>Annan skogsbruksåtgärd</t>
        </is>
      </c>
      <c r="D2754" s="1" t="n">
        <v>46174</v>
      </c>
      <c r="E2754" s="1" t="n">
        <v>46321</v>
      </c>
      <c r="F2754" t="inlineStr">
        <is>
          <t>VÄSTERNORRLANDS LÄN</t>
        </is>
      </c>
      <c r="G2754" t="inlineStr">
        <is>
          <t>ÖRNSKÖLDSVIK</t>
        </is>
      </c>
      <c r="H2754" t="inlineStr">
        <is>
          <t>Holmen skog AB</t>
        </is>
      </c>
      <c r="I2754" t="n">
        <v>12.2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S 1720-2026</t>
        </is>
      </c>
      <c r="B2755" t="inlineStr">
        <is>
          <t>samrådsanmälan</t>
        </is>
      </c>
      <c r="C2755" t="inlineStr">
        <is>
          <t>Annan skogsbruksåtgärd</t>
        </is>
      </c>
      <c r="D2755" s="1" t="n">
        <v>46184</v>
      </c>
      <c r="E2755" s="1" t="n">
        <v>46321</v>
      </c>
      <c r="F2755" t="inlineStr">
        <is>
          <t>VÄSTERNORRLANDS LÄN</t>
        </is>
      </c>
      <c r="G2755" t="inlineStr">
        <is>
          <t>ÖRNSKÖLDSVIK</t>
        </is>
      </c>
      <c r="H2755" t="inlineStr">
        <is>
          <t>SCA</t>
        </is>
      </c>
      <c r="I2755" t="n">
        <v>2.6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S 1753-2026</t>
        </is>
      </c>
      <c r="B2756" t="inlineStr">
        <is>
          <t>samrådsanmälan</t>
        </is>
      </c>
      <c r="C2756" t="inlineStr">
        <is>
          <t>Annan skogsbruksåtgärd</t>
        </is>
      </c>
      <c r="D2756" s="1" t="n">
        <v>46184</v>
      </c>
      <c r="E2756" s="1" t="n">
        <v>46321</v>
      </c>
      <c r="F2756" t="inlineStr">
        <is>
          <t>VÄSTERNORRLANDS LÄN</t>
        </is>
      </c>
      <c r="G2756" t="inlineStr">
        <is>
          <t>ÖRNSKÖLDSVIK</t>
        </is>
      </c>
      <c r="H2756" t="inlineStr">
        <is>
          <t>SCA</t>
        </is>
      </c>
      <c r="I2756" t="n">
        <v>2.6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S 1821-2026</t>
        </is>
      </c>
      <c r="B2757" t="inlineStr">
        <is>
          <t>samrådsanmälan</t>
        </is>
      </c>
      <c r="C2757" t="inlineStr">
        <is>
          <t>Annan skogsbruksåtgärd</t>
        </is>
      </c>
      <c r="D2757" s="1" t="n">
        <v>46190</v>
      </c>
      <c r="E2757" s="1" t="n">
        <v>46321</v>
      </c>
      <c r="F2757" t="inlineStr">
        <is>
          <t>VÄSTERNORRLANDS LÄN</t>
        </is>
      </c>
      <c r="G2757" t="inlineStr">
        <is>
          <t>ÖRNSKÖLDSVIK</t>
        </is>
      </c>
      <c r="H2757" t="inlineStr">
        <is>
          <t>SCA</t>
        </is>
      </c>
      <c r="I2757" t="n">
        <v>1.1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S 999-2026</t>
        </is>
      </c>
      <c r="B2758" t="inlineStr">
        <is>
          <t>samrådsanmälan</t>
        </is>
      </c>
      <c r="C2758" t="inlineStr">
        <is>
          <t>Annan skogsbruksåtgärd</t>
        </is>
      </c>
      <c r="D2758" s="1" t="n">
        <v>46119</v>
      </c>
      <c r="E2758" s="1" t="n">
        <v>46321</v>
      </c>
      <c r="F2758" t="inlineStr">
        <is>
          <t>VÄSTERNORRLANDS LÄN</t>
        </is>
      </c>
      <c r="G2758" t="inlineStr">
        <is>
          <t>ÖRNSKÖLDSVIK</t>
        </is>
      </c>
      <c r="H2758" t="inlineStr">
        <is>
          <t>Holmen skog AB</t>
        </is>
      </c>
      <c r="I2758" t="n">
        <v>3.9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S 1879-2026</t>
        </is>
      </c>
      <c r="B2759" t="inlineStr">
        <is>
          <t>samrådsanmälan</t>
        </is>
      </c>
      <c r="C2759" t="inlineStr">
        <is>
          <t>Annan skogsbruksåtgärd</t>
        </is>
      </c>
      <c r="D2759" s="1" t="n">
        <v>46197</v>
      </c>
      <c r="E2759" s="1" t="n">
        <v>46321</v>
      </c>
      <c r="F2759" t="inlineStr">
        <is>
          <t>VÄSTERNORRLANDS LÄN</t>
        </is>
      </c>
      <c r="G2759" t="inlineStr">
        <is>
          <t>ÖRNSKÖLDSVIK</t>
        </is>
      </c>
      <c r="H2759" t="inlineStr">
        <is>
          <t>SCA</t>
        </is>
      </c>
      <c r="I2759" t="n">
        <v>10.2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S 1988-2026</t>
        </is>
      </c>
      <c r="B2760" t="inlineStr">
        <is>
          <t>samrådsanmälan</t>
        </is>
      </c>
      <c r="C2760" t="inlineStr">
        <is>
          <t>Annan skogsbruksåtgärd</t>
        </is>
      </c>
      <c r="D2760" s="1" t="n">
        <v>46206</v>
      </c>
      <c r="E2760" s="1" t="n">
        <v>46321</v>
      </c>
      <c r="F2760" t="inlineStr">
        <is>
          <t>VÄSTERNORRLANDS LÄN</t>
        </is>
      </c>
      <c r="G2760" t="inlineStr">
        <is>
          <t>ÖRNSKÖLDSVIK</t>
        </is>
      </c>
      <c r="H2760" t="inlineStr">
        <is>
          <t>Holmen skog AB</t>
        </is>
      </c>
      <c r="I2760" t="n">
        <v>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S 2008-2026</t>
        </is>
      </c>
      <c r="B2761" t="inlineStr">
        <is>
          <t>samrådsanmälan</t>
        </is>
      </c>
      <c r="C2761" t="inlineStr">
        <is>
          <t>Annan skogsbruksåtgärd</t>
        </is>
      </c>
      <c r="D2761" s="1" t="n">
        <v>46209</v>
      </c>
      <c r="E2761" s="1" t="n">
        <v>46321</v>
      </c>
      <c r="F2761" t="inlineStr">
        <is>
          <t>VÄSTERNORRLANDS LÄN</t>
        </is>
      </c>
      <c r="G2761" t="inlineStr">
        <is>
          <t>ÖRNSKÖLDSVIK</t>
        </is>
      </c>
      <c r="H2761" t="inlineStr">
        <is>
          <t>SCA</t>
        </is>
      </c>
      <c r="I2761" t="n">
        <v>6.8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S 2006-2026</t>
        </is>
      </c>
      <c r="B2762" t="inlineStr">
        <is>
          <t>samrådsanmälan</t>
        </is>
      </c>
      <c r="C2762" t="inlineStr">
        <is>
          <t>Annan skogsbruksåtgärd</t>
        </is>
      </c>
      <c r="D2762" s="1" t="n">
        <v>46209</v>
      </c>
      <c r="E2762" s="1" t="n">
        <v>46321</v>
      </c>
      <c r="F2762" t="inlineStr">
        <is>
          <t>VÄSTERNORRLANDS LÄN</t>
        </is>
      </c>
      <c r="G2762" t="inlineStr">
        <is>
          <t>ÖRNSKÖLDSVIK</t>
        </is>
      </c>
      <c r="H2762" t="inlineStr">
        <is>
          <t>SCA</t>
        </is>
      </c>
      <c r="I2762" t="n">
        <v>7.3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S 5080-2024</t>
        </is>
      </c>
      <c r="B2763" t="inlineStr">
        <is>
          <t>samrådsanmälan</t>
        </is>
      </c>
      <c r="C2763" t="inlineStr">
        <is>
          <t>Annan skogsbruksåtgärd</t>
        </is>
      </c>
      <c r="D2763" s="1" t="n">
        <v>45639</v>
      </c>
      <c r="E2763" s="1" t="n">
        <v>46321</v>
      </c>
      <c r="F2763" t="inlineStr">
        <is>
          <t>VÄSTERNORRLANDS LÄN</t>
        </is>
      </c>
      <c r="G2763" t="inlineStr">
        <is>
          <t>ÖRNSKÖLDSVIK</t>
        </is>
      </c>
      <c r="I2763" t="n">
        <v>0.4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S 2282-2026</t>
        </is>
      </c>
      <c r="B2764" t="inlineStr">
        <is>
          <t>samrådsanmälan</t>
        </is>
      </c>
      <c r="C2764" t="inlineStr">
        <is>
          <t>Annan skogsbruksåtgärd</t>
        </is>
      </c>
      <c r="D2764" s="1" t="n">
        <v>46265</v>
      </c>
      <c r="E2764" s="1" t="n">
        <v>46321</v>
      </c>
      <c r="F2764" t="inlineStr">
        <is>
          <t>VÄSTERNORRLANDS LÄN</t>
        </is>
      </c>
      <c r="G2764" t="inlineStr">
        <is>
          <t>ÖRNSKÖLDSVIK</t>
        </is>
      </c>
      <c r="H2764" t="inlineStr">
        <is>
          <t>SCA</t>
        </is>
      </c>
      <c r="I2764" t="n">
        <v>5.8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S 2291-2026</t>
        </is>
      </c>
      <c r="B2765" t="inlineStr">
        <is>
          <t>samrådsanmälan</t>
        </is>
      </c>
      <c r="C2765" t="inlineStr">
        <is>
          <t>Annan skogsbruksåtgärd</t>
        </is>
      </c>
      <c r="D2765" s="1" t="n">
        <v>46267</v>
      </c>
      <c r="E2765" s="1" t="n">
        <v>46321</v>
      </c>
      <c r="F2765" t="inlineStr">
        <is>
          <t>VÄSTERNORRLANDS LÄN</t>
        </is>
      </c>
      <c r="G2765" t="inlineStr">
        <is>
          <t>ÖRNSKÖLDSVIK</t>
        </is>
      </c>
      <c r="H2765" t="inlineStr">
        <is>
          <t>SCA</t>
        </is>
      </c>
      <c r="I2765" t="n">
        <v>1.2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>
      <c r="A2766" t="inlineStr">
        <is>
          <t>S 2371-2026</t>
        </is>
      </c>
      <c r="B2766" t="inlineStr">
        <is>
          <t>samrådsanmälan</t>
        </is>
      </c>
      <c r="C2766" t="inlineStr">
        <is>
          <t>Annan skogsbruksåtgärd</t>
        </is>
      </c>
      <c r="D2766" s="1" t="n">
        <v>46274</v>
      </c>
      <c r="E2766" s="1" t="n">
        <v>46321</v>
      </c>
      <c r="F2766" t="inlineStr">
        <is>
          <t>VÄSTERNORRLANDS LÄN</t>
        </is>
      </c>
      <c r="G2766" t="inlineStr">
        <is>
          <t>ÖRNSKÖLDSVIK</t>
        </is>
      </c>
      <c r="H2766" t="inlineStr">
        <is>
          <t>SCA</t>
        </is>
      </c>
      <c r="I2766" t="n">
        <v>1.4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2026-10-26T03:05:52Z</dcterms:created>
  <dcterms:modified xmlns:dcterms="http://purl.org/dc/terms/" xmlns:xsi="http://www.w3.org/2001/XMLSchema-instance" xsi:type="dcterms:W3CDTF">2026-10-26T03:05:55Z</dcterms:modified>
</cp:coreProperties>
</file>