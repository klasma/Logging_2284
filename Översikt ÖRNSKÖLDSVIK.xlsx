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45645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45645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45645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45645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45645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45645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45645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45645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45645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45645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45645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45645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45645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45645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45645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45645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45645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45645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45645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45645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45645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45645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45645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45645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45645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45645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45645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45645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45645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45645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45645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45645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45645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45645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45645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45645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45645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45645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45645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45645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45645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45645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45645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45645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45645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45645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45645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45645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45645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45645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45645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45645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45645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45645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45645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45645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45645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45645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45645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45645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45645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45645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45645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45645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45645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45645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45645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45645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45645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45645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45645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45645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45645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45645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45645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45645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45645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45645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45645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45645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45645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45645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45645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45645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45645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45645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45645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45645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45645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45645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45645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45645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45645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45645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45645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45645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45645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45645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45645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45645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45645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45645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45645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45645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45645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45645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45645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45645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45645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45645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44732-2019</t>
        </is>
      </c>
      <c r="B112" s="1" t="n">
        <v>43712</v>
      </c>
      <c r="C112" s="1" t="n">
        <v>45645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HYPERLINK("https://klasma.github.io/Logging_2284/artfynd/A 44732-2019 artfynd.xlsx", "A 44732-2019")</f>
        <v/>
      </c>
      <c r="T112">
        <f>HYPERLINK("https://klasma.github.io/Logging_2284/kartor/A 44732-2019 karta.png", "A 44732-2019")</f>
        <v/>
      </c>
      <c r="V112">
        <f>HYPERLINK("https://klasma.github.io/Logging_2284/klagomål/A 44732-2019 FSC-klagomål.docx", "A 44732-2019")</f>
        <v/>
      </c>
      <c r="W112">
        <f>HYPERLINK("https://klasma.github.io/Logging_2284/klagomålsmail/A 44732-2019 FSC-klagomål mail.docx", "A 44732-2019")</f>
        <v/>
      </c>
      <c r="X112">
        <f>HYPERLINK("https://klasma.github.io/Logging_2284/tillsyn/A 44732-2019 tillsynsbegäran.docx", "A 44732-2019")</f>
        <v/>
      </c>
      <c r="Y112">
        <f>HYPERLINK("https://klasma.github.io/Logging_2284/tillsynsmail/A 44732-2019 tillsynsbegäran mail.docx", "A 44732-2019")</f>
        <v/>
      </c>
    </row>
    <row r="113" ht="15" customHeight="1">
      <c r="A113" t="inlineStr">
        <is>
          <t>A 54148-2019</t>
        </is>
      </c>
      <c r="B113" s="1" t="n">
        <v>43753</v>
      </c>
      <c r="C113" s="1" t="n">
        <v>45645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54148-2019 artfynd.xlsx", "A 54148-2019")</f>
        <v/>
      </c>
      <c r="T113">
        <f>HYPERLINK("https://klasma.github.io/Logging_2284/kartor/A 54148-2019 karta.png", "A 54148-2019")</f>
        <v/>
      </c>
      <c r="V113">
        <f>HYPERLINK("https://klasma.github.io/Logging_2284/klagomål/A 54148-2019 FSC-klagomål.docx", "A 54148-2019")</f>
        <v/>
      </c>
      <c r="W113">
        <f>HYPERLINK("https://klasma.github.io/Logging_2284/klagomålsmail/A 54148-2019 FSC-klagomål mail.docx", "A 54148-2019")</f>
        <v/>
      </c>
      <c r="X113">
        <f>HYPERLINK("https://klasma.github.io/Logging_2284/tillsyn/A 54148-2019 tillsynsbegäran.docx", "A 54148-2019")</f>
        <v/>
      </c>
      <c r="Y113">
        <f>HYPERLINK("https://klasma.github.io/Logging_2284/tillsynsmail/A 54148-2019 tillsynsbegäran mail.docx", "A 54148-2019")</f>
        <v/>
      </c>
    </row>
    <row r="114" ht="15" customHeight="1">
      <c r="A114" t="inlineStr">
        <is>
          <t>A 55307-2019</t>
        </is>
      </c>
      <c r="B114" s="1" t="n">
        <v>43756</v>
      </c>
      <c r="C114" s="1" t="n">
        <v>45645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55307-2019 artfynd.xlsx", "A 55307-2019")</f>
        <v/>
      </c>
      <c r="T114">
        <f>HYPERLINK("https://klasma.github.io/Logging_2284/kartor/A 55307-2019 karta.png", "A 55307-2019")</f>
        <v/>
      </c>
      <c r="V114">
        <f>HYPERLINK("https://klasma.github.io/Logging_2284/klagomål/A 55307-2019 FSC-klagomål.docx", "A 55307-2019")</f>
        <v/>
      </c>
      <c r="W114">
        <f>HYPERLINK("https://klasma.github.io/Logging_2284/klagomålsmail/A 55307-2019 FSC-klagomål mail.docx", "A 55307-2019")</f>
        <v/>
      </c>
      <c r="X114">
        <f>HYPERLINK("https://klasma.github.io/Logging_2284/tillsyn/A 55307-2019 tillsynsbegäran.docx", "A 55307-2019")</f>
        <v/>
      </c>
      <c r="Y114">
        <f>HYPERLINK("https://klasma.github.io/Logging_2284/tillsynsmail/A 55307-2019 tillsynsbegäran mail.docx", "A 55307-2019")</f>
        <v/>
      </c>
      <c r="Z114">
        <f>HYPERLINK("https://klasma.github.io/Logging_2284/fåglar/A 55307-2019 prioriterade fågelarter.docx", "A 55307-2019")</f>
        <v/>
      </c>
    </row>
    <row r="115" ht="15" customHeight="1">
      <c r="A115" t="inlineStr">
        <is>
          <t>A 60489-2019</t>
        </is>
      </c>
      <c r="B115" s="1" t="n">
        <v>43780</v>
      </c>
      <c r="C115" s="1" t="n">
        <v>45645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60489-2019 artfynd.xlsx", "A 60489-2019")</f>
        <v/>
      </c>
      <c r="T115">
        <f>HYPERLINK("https://klasma.github.io/Logging_2284/kartor/A 60489-2019 karta.png", "A 60489-2019")</f>
        <v/>
      </c>
      <c r="V115">
        <f>HYPERLINK("https://klasma.github.io/Logging_2284/klagomål/A 60489-2019 FSC-klagomål.docx", "A 60489-2019")</f>
        <v/>
      </c>
      <c r="W115">
        <f>HYPERLINK("https://klasma.github.io/Logging_2284/klagomålsmail/A 60489-2019 FSC-klagomål mail.docx", "A 60489-2019")</f>
        <v/>
      </c>
      <c r="X115">
        <f>HYPERLINK("https://klasma.github.io/Logging_2284/tillsyn/A 60489-2019 tillsynsbegäran.docx", "A 60489-2019")</f>
        <v/>
      </c>
      <c r="Y115">
        <f>HYPERLINK("https://klasma.github.io/Logging_2284/tillsynsmail/A 60489-2019 tillsynsbegäran mail.docx", "A 60489-2019")</f>
        <v/>
      </c>
    </row>
    <row r="116" ht="15" customHeight="1">
      <c r="A116" t="inlineStr">
        <is>
          <t>A 1431-2020</t>
        </is>
      </c>
      <c r="B116" s="1" t="n">
        <v>43843</v>
      </c>
      <c r="C116" s="1" t="n">
        <v>45645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1431-2020 artfynd.xlsx", "A 1431-2020")</f>
        <v/>
      </c>
      <c r="T116">
        <f>HYPERLINK("https://klasma.github.io/Logging_2284/kartor/A 1431-2020 karta.png", "A 1431-2020")</f>
        <v/>
      </c>
      <c r="V116">
        <f>HYPERLINK("https://klasma.github.io/Logging_2284/klagomål/A 1431-2020 FSC-klagomål.docx", "A 1431-2020")</f>
        <v/>
      </c>
      <c r="W116">
        <f>HYPERLINK("https://klasma.github.io/Logging_2284/klagomålsmail/A 1431-2020 FSC-klagomål mail.docx", "A 1431-2020")</f>
        <v/>
      </c>
      <c r="X116">
        <f>HYPERLINK("https://klasma.github.io/Logging_2284/tillsyn/A 1431-2020 tillsynsbegäran.docx", "A 1431-2020")</f>
        <v/>
      </c>
      <c r="Y116">
        <f>HYPERLINK("https://klasma.github.io/Logging_2284/tillsynsmail/A 1431-2020 tillsynsbegäran mail.docx", "A 1431-2020")</f>
        <v/>
      </c>
    </row>
    <row r="117" ht="15" customHeight="1">
      <c r="A117" t="inlineStr">
        <is>
          <t>A 3905-2020</t>
        </is>
      </c>
      <c r="B117" s="1" t="n">
        <v>43854</v>
      </c>
      <c r="C117" s="1" t="n">
        <v>45645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3905-2020 artfynd.xlsx", "A 3905-2020")</f>
        <v/>
      </c>
      <c r="T117">
        <f>HYPERLINK("https://klasma.github.io/Logging_2284/kartor/A 3905-2020 karta.png", "A 3905-2020")</f>
        <v/>
      </c>
      <c r="V117">
        <f>HYPERLINK("https://klasma.github.io/Logging_2284/klagomål/A 3905-2020 FSC-klagomål.docx", "A 3905-2020")</f>
        <v/>
      </c>
      <c r="W117">
        <f>HYPERLINK("https://klasma.github.io/Logging_2284/klagomålsmail/A 3905-2020 FSC-klagomål mail.docx", "A 3905-2020")</f>
        <v/>
      </c>
      <c r="X117">
        <f>HYPERLINK("https://klasma.github.io/Logging_2284/tillsyn/A 3905-2020 tillsynsbegäran.docx", "A 3905-2020")</f>
        <v/>
      </c>
      <c r="Y117">
        <f>HYPERLINK("https://klasma.github.io/Logging_2284/tillsynsmail/A 3905-2020 tillsynsbegäran mail.docx", "A 3905-2020")</f>
        <v/>
      </c>
    </row>
    <row r="118" ht="15" customHeight="1">
      <c r="A118" t="inlineStr">
        <is>
          <t>A 35967-2020</t>
        </is>
      </c>
      <c r="B118" s="1" t="n">
        <v>44047</v>
      </c>
      <c r="C118" s="1" t="n">
        <v>45645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Liten myrlejonslända</t>
        </is>
      </c>
      <c r="S118">
        <f>HYPERLINK("https://klasma.github.io/Logging_2284/artfynd/A 35967-2020 artfynd.xlsx", "A 35967-2020")</f>
        <v/>
      </c>
      <c r="T118">
        <f>HYPERLINK("https://klasma.github.io/Logging_2284/kartor/A 35967-2020 karta.png", "A 35967-2020")</f>
        <v/>
      </c>
      <c r="V118">
        <f>HYPERLINK("https://klasma.github.io/Logging_2284/klagomål/A 35967-2020 FSC-klagomål.docx", "A 35967-2020")</f>
        <v/>
      </c>
      <c r="W118">
        <f>HYPERLINK("https://klasma.github.io/Logging_2284/klagomålsmail/A 35967-2020 FSC-klagomål mail.docx", "A 35967-2020")</f>
        <v/>
      </c>
      <c r="X118">
        <f>HYPERLINK("https://klasma.github.io/Logging_2284/tillsyn/A 35967-2020 tillsynsbegäran.docx", "A 35967-2020")</f>
        <v/>
      </c>
      <c r="Y118">
        <f>HYPERLINK("https://klasma.github.io/Logging_2284/tillsynsmail/A 35967-2020 tillsynsbegäran mail.docx", "A 35967-2020")</f>
        <v/>
      </c>
    </row>
    <row r="119" ht="15" customHeight="1">
      <c r="A119" t="inlineStr">
        <is>
          <t>A 41316-2020</t>
        </is>
      </c>
      <c r="B119" s="1" t="n">
        <v>44069</v>
      </c>
      <c r="C119" s="1" t="n">
        <v>45645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Kyrkan</t>
        </is>
      </c>
      <c r="G119" t="n">
        <v>12.3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Skarp dropptaggsvamp</t>
        </is>
      </c>
      <c r="S119">
        <f>HYPERLINK("https://klasma.github.io/Logging_2284/artfynd/A 41316-2020 artfynd.xlsx", "A 41316-2020")</f>
        <v/>
      </c>
      <c r="T119">
        <f>HYPERLINK("https://klasma.github.io/Logging_2284/kartor/A 41316-2020 karta.png", "A 41316-2020")</f>
        <v/>
      </c>
      <c r="V119">
        <f>HYPERLINK("https://klasma.github.io/Logging_2284/klagomål/A 41316-2020 FSC-klagomål.docx", "A 41316-2020")</f>
        <v/>
      </c>
      <c r="W119">
        <f>HYPERLINK("https://klasma.github.io/Logging_2284/klagomålsmail/A 41316-2020 FSC-klagomål mail.docx", "A 41316-2020")</f>
        <v/>
      </c>
      <c r="X119">
        <f>HYPERLINK("https://klasma.github.io/Logging_2284/tillsyn/A 41316-2020 tillsynsbegäran.docx", "A 41316-2020")</f>
        <v/>
      </c>
      <c r="Y119">
        <f>HYPERLINK("https://klasma.github.io/Logging_2284/tillsynsmail/A 41316-2020 tillsynsbegäran mail.docx", "A 41316-2020")</f>
        <v/>
      </c>
    </row>
    <row r="120" ht="15" customHeight="1">
      <c r="A120" t="inlineStr">
        <is>
          <t>A 62020-2020</t>
        </is>
      </c>
      <c r="B120" s="1" t="n">
        <v>44159</v>
      </c>
      <c r="C120" s="1" t="n">
        <v>45645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62020-2020 artfynd.xlsx", "A 62020-2020")</f>
        <v/>
      </c>
      <c r="T120">
        <f>HYPERLINK("https://klasma.github.io/Logging_2284/kartor/A 62020-2020 karta.png", "A 62020-2020")</f>
        <v/>
      </c>
      <c r="V120">
        <f>HYPERLINK("https://klasma.github.io/Logging_2284/klagomål/A 62020-2020 FSC-klagomål.docx", "A 62020-2020")</f>
        <v/>
      </c>
      <c r="W120">
        <f>HYPERLINK("https://klasma.github.io/Logging_2284/klagomålsmail/A 62020-2020 FSC-klagomål mail.docx", "A 62020-2020")</f>
        <v/>
      </c>
      <c r="X120">
        <f>HYPERLINK("https://klasma.github.io/Logging_2284/tillsyn/A 62020-2020 tillsynsbegäran.docx", "A 62020-2020")</f>
        <v/>
      </c>
      <c r="Y120">
        <f>HYPERLINK("https://klasma.github.io/Logging_2284/tillsynsmail/A 62020-2020 tillsynsbegäran mail.docx", "A 62020-2020")</f>
        <v/>
      </c>
    </row>
    <row r="121" ht="15" customHeight="1">
      <c r="A121" t="inlineStr">
        <is>
          <t>A 64596-2020</t>
        </is>
      </c>
      <c r="B121" s="1" t="n">
        <v>44169</v>
      </c>
      <c r="C121" s="1" t="n">
        <v>45645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64596-2020 artfynd.xlsx", "A 64596-2020")</f>
        <v/>
      </c>
      <c r="T121">
        <f>HYPERLINK("https://klasma.github.io/Logging_2284/kartor/A 64596-2020 karta.png", "A 64596-2020")</f>
        <v/>
      </c>
      <c r="V121">
        <f>HYPERLINK("https://klasma.github.io/Logging_2284/klagomål/A 64596-2020 FSC-klagomål.docx", "A 64596-2020")</f>
        <v/>
      </c>
      <c r="W121">
        <f>HYPERLINK("https://klasma.github.io/Logging_2284/klagomålsmail/A 64596-2020 FSC-klagomål mail.docx", "A 64596-2020")</f>
        <v/>
      </c>
      <c r="X121">
        <f>HYPERLINK("https://klasma.github.io/Logging_2284/tillsyn/A 64596-2020 tillsynsbegäran.docx", "A 64596-2020")</f>
        <v/>
      </c>
      <c r="Y121">
        <f>HYPERLINK("https://klasma.github.io/Logging_2284/tillsynsmail/A 64596-2020 tillsynsbegäran mail.docx", "A 64596-2020")</f>
        <v/>
      </c>
    </row>
    <row r="122" ht="15" customHeight="1">
      <c r="A122" t="inlineStr">
        <is>
          <t>A 5452-2021</t>
        </is>
      </c>
      <c r="B122" s="1" t="n">
        <v>44229</v>
      </c>
      <c r="C122" s="1" t="n">
        <v>45645</v>
      </c>
      <c r="D122" t="inlineStr">
        <is>
          <t>VÄSTERNORRLANDS LÄN</t>
        </is>
      </c>
      <c r="E122" t="inlineStr">
        <is>
          <t>ÖRNSKÖLDSVIK</t>
        </is>
      </c>
      <c r="G122" t="n">
        <v>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Vedticka</t>
        </is>
      </c>
      <c r="S122">
        <f>HYPERLINK("https://klasma.github.io/Logging_2284/artfynd/A 5452-2021 artfynd.xlsx", "A 5452-2021")</f>
        <v/>
      </c>
      <c r="T122">
        <f>HYPERLINK("https://klasma.github.io/Logging_2284/kartor/A 5452-2021 karta.png", "A 5452-2021")</f>
        <v/>
      </c>
      <c r="V122">
        <f>HYPERLINK("https://klasma.github.io/Logging_2284/klagomål/A 5452-2021 FSC-klagomål.docx", "A 5452-2021")</f>
        <v/>
      </c>
      <c r="W122">
        <f>HYPERLINK("https://klasma.github.io/Logging_2284/klagomålsmail/A 5452-2021 FSC-klagomål mail.docx", "A 5452-2021")</f>
        <v/>
      </c>
      <c r="X122">
        <f>HYPERLINK("https://klasma.github.io/Logging_2284/tillsyn/A 5452-2021 tillsynsbegäran.docx", "A 5452-2021")</f>
        <v/>
      </c>
      <c r="Y122">
        <f>HYPERLINK("https://klasma.github.io/Logging_2284/tillsynsmail/A 5452-2021 tillsynsbegäran mail.docx", "A 5452-2021")</f>
        <v/>
      </c>
    </row>
    <row r="123" ht="15" customHeight="1">
      <c r="A123" t="inlineStr">
        <is>
          <t>A 10006-2021</t>
        </is>
      </c>
      <c r="B123" s="1" t="n">
        <v>44255</v>
      </c>
      <c r="C123" s="1" t="n">
        <v>45645</v>
      </c>
      <c r="D123" t="inlineStr">
        <is>
          <t>VÄSTERNORRLANDS LÄN</t>
        </is>
      </c>
      <c r="E123" t="inlineStr">
        <is>
          <t>ÖRNSKÖLDSVIK</t>
        </is>
      </c>
      <c r="G123" t="n">
        <v>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10006-2021 artfynd.xlsx", "A 10006-2021")</f>
        <v/>
      </c>
      <c r="T123">
        <f>HYPERLINK("https://klasma.github.io/Logging_2284/kartor/A 10006-2021 karta.png", "A 10006-2021")</f>
        <v/>
      </c>
      <c r="U123">
        <f>HYPERLINK("https://klasma.github.io/Logging_2284/knärot/A 10006-2021 karta knärot.png", "A 10006-2021")</f>
        <v/>
      </c>
      <c r="V123">
        <f>HYPERLINK("https://klasma.github.io/Logging_2284/klagomål/A 10006-2021 FSC-klagomål.docx", "A 10006-2021")</f>
        <v/>
      </c>
      <c r="W123">
        <f>HYPERLINK("https://klasma.github.io/Logging_2284/klagomålsmail/A 10006-2021 FSC-klagomål mail.docx", "A 10006-2021")</f>
        <v/>
      </c>
      <c r="X123">
        <f>HYPERLINK("https://klasma.github.io/Logging_2284/tillsyn/A 10006-2021 tillsynsbegäran.docx", "A 10006-2021")</f>
        <v/>
      </c>
      <c r="Y123">
        <f>HYPERLINK("https://klasma.github.io/Logging_2284/tillsynsmail/A 10006-2021 tillsynsbegäran mail.docx", "A 10006-2021")</f>
        <v/>
      </c>
    </row>
    <row r="124" ht="15" customHeight="1">
      <c r="A124" t="inlineStr">
        <is>
          <t>A 10628-2021</t>
        </is>
      </c>
      <c r="B124" s="1" t="n">
        <v>44258</v>
      </c>
      <c r="C124" s="1" t="n">
        <v>45645</v>
      </c>
      <c r="D124" t="inlineStr">
        <is>
          <t>VÄSTERNORRLANDS LÄN</t>
        </is>
      </c>
      <c r="E124" t="inlineStr">
        <is>
          <t>ÖRNSKÖLDSVIK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Orre</t>
        </is>
      </c>
      <c r="S124">
        <f>HYPERLINK("https://klasma.github.io/Logging_2284/artfynd/A 10628-2021 artfynd.xlsx", "A 10628-2021")</f>
        <v/>
      </c>
      <c r="T124">
        <f>HYPERLINK("https://klasma.github.io/Logging_2284/kartor/A 10628-2021 karta.png", "A 10628-2021")</f>
        <v/>
      </c>
      <c r="V124">
        <f>HYPERLINK("https://klasma.github.io/Logging_2284/klagomål/A 10628-2021 FSC-klagomål.docx", "A 10628-2021")</f>
        <v/>
      </c>
      <c r="W124">
        <f>HYPERLINK("https://klasma.github.io/Logging_2284/klagomålsmail/A 10628-2021 FSC-klagomål mail.docx", "A 10628-2021")</f>
        <v/>
      </c>
      <c r="X124">
        <f>HYPERLINK("https://klasma.github.io/Logging_2284/tillsyn/A 10628-2021 tillsynsbegäran.docx", "A 10628-2021")</f>
        <v/>
      </c>
      <c r="Y124">
        <f>HYPERLINK("https://klasma.github.io/Logging_2284/tillsynsmail/A 10628-2021 tillsynsbegäran mail.docx", "A 10628-2021")</f>
        <v/>
      </c>
      <c r="Z124">
        <f>HYPERLINK("https://klasma.github.io/Logging_2284/fåglar/A 10628-2021 prioriterade fågelarter.docx", "A 10628-2021")</f>
        <v/>
      </c>
    </row>
    <row r="125" ht="15" customHeight="1">
      <c r="A125" t="inlineStr">
        <is>
          <t>A 23217-2021</t>
        </is>
      </c>
      <c r="B125" s="1" t="n">
        <v>44333</v>
      </c>
      <c r="C125" s="1" t="n">
        <v>45645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23217-2021 artfynd.xlsx", "A 23217-2021")</f>
        <v/>
      </c>
      <c r="T125">
        <f>HYPERLINK("https://klasma.github.io/Logging_2284/kartor/A 23217-2021 karta.png", "A 23217-2021")</f>
        <v/>
      </c>
      <c r="V125">
        <f>HYPERLINK("https://klasma.github.io/Logging_2284/klagomål/A 23217-2021 FSC-klagomål.docx", "A 23217-2021")</f>
        <v/>
      </c>
      <c r="W125">
        <f>HYPERLINK("https://klasma.github.io/Logging_2284/klagomålsmail/A 23217-2021 FSC-klagomål mail.docx", "A 23217-2021")</f>
        <v/>
      </c>
      <c r="X125">
        <f>HYPERLINK("https://klasma.github.io/Logging_2284/tillsyn/A 23217-2021 tillsynsbegäran.docx", "A 23217-2021")</f>
        <v/>
      </c>
      <c r="Y125">
        <f>HYPERLINK("https://klasma.github.io/Logging_2284/tillsynsmail/A 23217-2021 tillsynsbegäran mail.docx", "A 23217-2021")</f>
        <v/>
      </c>
    </row>
    <row r="126" ht="15" customHeight="1">
      <c r="A126" t="inlineStr">
        <is>
          <t>A 25455-2021</t>
        </is>
      </c>
      <c r="B126" s="1" t="n">
        <v>44342</v>
      </c>
      <c r="C126" s="1" t="n">
        <v>45645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25455-2021 artfynd.xlsx", "A 25455-2021")</f>
        <v/>
      </c>
      <c r="T126">
        <f>HYPERLINK("https://klasma.github.io/Logging_2284/kartor/A 25455-2021 karta.png", "A 25455-2021")</f>
        <v/>
      </c>
      <c r="V126">
        <f>HYPERLINK("https://klasma.github.io/Logging_2284/klagomål/A 25455-2021 FSC-klagomål.docx", "A 25455-2021")</f>
        <v/>
      </c>
      <c r="W126">
        <f>HYPERLINK("https://klasma.github.io/Logging_2284/klagomålsmail/A 25455-2021 FSC-klagomål mail.docx", "A 25455-2021")</f>
        <v/>
      </c>
      <c r="X126">
        <f>HYPERLINK("https://klasma.github.io/Logging_2284/tillsyn/A 25455-2021 tillsynsbegäran.docx", "A 25455-2021")</f>
        <v/>
      </c>
      <c r="Y126">
        <f>HYPERLINK("https://klasma.github.io/Logging_2284/tillsynsmail/A 25455-2021 tillsynsbegäran mail.docx", "A 25455-2021")</f>
        <v/>
      </c>
    </row>
    <row r="127" ht="15" customHeight="1">
      <c r="A127" t="inlineStr">
        <is>
          <t>A 45551-2021</t>
        </is>
      </c>
      <c r="B127" s="1" t="n">
        <v>44440</v>
      </c>
      <c r="C127" s="1" t="n">
        <v>45645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8.9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45551-2021 artfynd.xlsx", "A 45551-2021")</f>
        <v/>
      </c>
      <c r="T127">
        <f>HYPERLINK("https://klasma.github.io/Logging_2284/kartor/A 45551-2021 karta.png", "A 45551-2021")</f>
        <v/>
      </c>
      <c r="V127">
        <f>HYPERLINK("https://klasma.github.io/Logging_2284/klagomål/A 45551-2021 FSC-klagomål.docx", "A 45551-2021")</f>
        <v/>
      </c>
      <c r="W127">
        <f>HYPERLINK("https://klasma.github.io/Logging_2284/klagomålsmail/A 45551-2021 FSC-klagomål mail.docx", "A 45551-2021")</f>
        <v/>
      </c>
      <c r="X127">
        <f>HYPERLINK("https://klasma.github.io/Logging_2284/tillsyn/A 45551-2021 tillsynsbegäran.docx", "A 45551-2021")</f>
        <v/>
      </c>
      <c r="Y127">
        <f>HYPERLINK("https://klasma.github.io/Logging_2284/tillsynsmail/A 45551-2021 tillsynsbegäran mail.docx", "A 45551-2021")</f>
        <v/>
      </c>
    </row>
    <row r="128" ht="15" customHeight="1">
      <c r="A128" t="inlineStr">
        <is>
          <t>A 58162-2021</t>
        </is>
      </c>
      <c r="B128" s="1" t="n">
        <v>44487</v>
      </c>
      <c r="C128" s="1" t="n">
        <v>45645</v>
      </c>
      <c r="D128" t="inlineStr">
        <is>
          <t>VÄSTERNORRLANDS LÄN</t>
        </is>
      </c>
      <c r="E128" t="inlineStr">
        <is>
          <t>ÖRNSKÖLDSVIK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Knottblomster</t>
        </is>
      </c>
      <c r="S128">
        <f>HYPERLINK("https://klasma.github.io/Logging_2284/artfynd/A 58162-2021 artfynd.xlsx", "A 58162-2021")</f>
        <v/>
      </c>
      <c r="T128">
        <f>HYPERLINK("https://klasma.github.io/Logging_2284/kartor/A 58162-2021 karta.png", "A 58162-2021")</f>
        <v/>
      </c>
      <c r="V128">
        <f>HYPERLINK("https://klasma.github.io/Logging_2284/klagomål/A 58162-2021 FSC-klagomål.docx", "A 58162-2021")</f>
        <v/>
      </c>
      <c r="W128">
        <f>HYPERLINK("https://klasma.github.io/Logging_2284/klagomålsmail/A 58162-2021 FSC-klagomål mail.docx", "A 58162-2021")</f>
        <v/>
      </c>
      <c r="X128">
        <f>HYPERLINK("https://klasma.github.io/Logging_2284/tillsyn/A 58162-2021 tillsynsbegäran.docx", "A 58162-2021")</f>
        <v/>
      </c>
      <c r="Y128">
        <f>HYPERLINK("https://klasma.github.io/Logging_2284/tillsynsmail/A 58162-2021 tillsynsbegäran mail.docx", "A 58162-2021")</f>
        <v/>
      </c>
    </row>
    <row r="129" ht="15" customHeight="1">
      <c r="A129" t="inlineStr">
        <is>
          <t>A 58147-2021</t>
        </is>
      </c>
      <c r="B129" s="1" t="n">
        <v>44487</v>
      </c>
      <c r="C129" s="1" t="n">
        <v>45645</v>
      </c>
      <c r="D129" t="inlineStr">
        <is>
          <t>VÄSTERNORRLANDS LÄN</t>
        </is>
      </c>
      <c r="E129" t="inlineStr">
        <is>
          <t>ÖRNSKÖLDSVIK</t>
        </is>
      </c>
      <c r="G129" t="n">
        <v>6.4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58147-2021 artfynd.xlsx", "A 58147-2021")</f>
        <v/>
      </c>
      <c r="T129">
        <f>HYPERLINK("https://klasma.github.io/Logging_2284/kartor/A 58147-2021 karta.png", "A 58147-2021")</f>
        <v/>
      </c>
      <c r="V129">
        <f>HYPERLINK("https://klasma.github.io/Logging_2284/klagomål/A 58147-2021 FSC-klagomål.docx", "A 58147-2021")</f>
        <v/>
      </c>
      <c r="W129">
        <f>HYPERLINK("https://klasma.github.io/Logging_2284/klagomålsmail/A 58147-2021 FSC-klagomål mail.docx", "A 58147-2021")</f>
        <v/>
      </c>
      <c r="X129">
        <f>HYPERLINK("https://klasma.github.io/Logging_2284/tillsyn/A 58147-2021 tillsynsbegäran.docx", "A 58147-2021")</f>
        <v/>
      </c>
      <c r="Y129">
        <f>HYPERLINK("https://klasma.github.io/Logging_2284/tillsynsmail/A 58147-2021 tillsynsbegäran mail.docx", "A 58147-2021")</f>
        <v/>
      </c>
    </row>
    <row r="130" ht="15" customHeight="1">
      <c r="A130" t="inlineStr">
        <is>
          <t>A 60137-2021</t>
        </is>
      </c>
      <c r="B130" s="1" t="n">
        <v>44494</v>
      </c>
      <c r="C130" s="1" t="n">
        <v>45645</v>
      </c>
      <c r="D130" t="inlineStr">
        <is>
          <t>VÄSTERNORRLANDS LÄN</t>
        </is>
      </c>
      <c r="E130" t="inlineStr">
        <is>
          <t>ÖRNSKÖLDSVIK</t>
        </is>
      </c>
      <c r="G130" t="n">
        <v>7.1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Harticka</t>
        </is>
      </c>
      <c r="S130">
        <f>HYPERLINK("https://klasma.github.io/Logging_2284/artfynd/A 60137-2021 artfynd.xlsx", "A 60137-2021")</f>
        <v/>
      </c>
      <c r="T130">
        <f>HYPERLINK("https://klasma.github.io/Logging_2284/kartor/A 60137-2021 karta.png", "A 60137-2021")</f>
        <v/>
      </c>
      <c r="V130">
        <f>HYPERLINK("https://klasma.github.io/Logging_2284/klagomål/A 60137-2021 FSC-klagomål.docx", "A 60137-2021")</f>
        <v/>
      </c>
      <c r="W130">
        <f>HYPERLINK("https://klasma.github.io/Logging_2284/klagomålsmail/A 60137-2021 FSC-klagomål mail.docx", "A 60137-2021")</f>
        <v/>
      </c>
      <c r="X130">
        <f>HYPERLINK("https://klasma.github.io/Logging_2284/tillsyn/A 60137-2021 tillsynsbegäran.docx", "A 60137-2021")</f>
        <v/>
      </c>
      <c r="Y130">
        <f>HYPERLINK("https://klasma.github.io/Logging_2284/tillsynsmail/A 60137-2021 tillsynsbegäran mail.docx", "A 60137-2021")</f>
        <v/>
      </c>
    </row>
    <row r="131" ht="15" customHeight="1">
      <c r="A131" t="inlineStr">
        <is>
          <t>A 66531-2021</t>
        </is>
      </c>
      <c r="B131" s="1" t="n">
        <v>44518</v>
      </c>
      <c r="C131" s="1" t="n">
        <v>45645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Nattviol</t>
        </is>
      </c>
      <c r="S131">
        <f>HYPERLINK("https://klasma.github.io/Logging_2284/artfynd/A 66531-2021 artfynd.xlsx", "A 66531-2021")</f>
        <v/>
      </c>
      <c r="T131">
        <f>HYPERLINK("https://klasma.github.io/Logging_2284/kartor/A 66531-2021 karta.png", "A 66531-2021")</f>
        <v/>
      </c>
      <c r="V131">
        <f>HYPERLINK("https://klasma.github.io/Logging_2284/klagomål/A 66531-2021 FSC-klagomål.docx", "A 66531-2021")</f>
        <v/>
      </c>
      <c r="W131">
        <f>HYPERLINK("https://klasma.github.io/Logging_2284/klagomålsmail/A 66531-2021 FSC-klagomål mail.docx", "A 66531-2021")</f>
        <v/>
      </c>
      <c r="X131">
        <f>HYPERLINK("https://klasma.github.io/Logging_2284/tillsyn/A 66531-2021 tillsynsbegäran.docx", "A 66531-2021")</f>
        <v/>
      </c>
      <c r="Y131">
        <f>HYPERLINK("https://klasma.github.io/Logging_2284/tillsynsmail/A 66531-2021 tillsynsbegäran mail.docx", "A 66531-2021")</f>
        <v/>
      </c>
    </row>
    <row r="132" ht="15" customHeight="1">
      <c r="A132" t="inlineStr">
        <is>
          <t>A 67492-2021</t>
        </is>
      </c>
      <c r="B132" s="1" t="n">
        <v>44524</v>
      </c>
      <c r="C132" s="1" t="n">
        <v>45645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67492-2021 artfynd.xlsx", "A 67492-2021")</f>
        <v/>
      </c>
      <c r="T132">
        <f>HYPERLINK("https://klasma.github.io/Logging_2284/kartor/A 67492-2021 karta.png", "A 67492-2021")</f>
        <v/>
      </c>
      <c r="V132">
        <f>HYPERLINK("https://klasma.github.io/Logging_2284/klagomål/A 67492-2021 FSC-klagomål.docx", "A 67492-2021")</f>
        <v/>
      </c>
      <c r="W132">
        <f>HYPERLINK("https://klasma.github.io/Logging_2284/klagomålsmail/A 67492-2021 FSC-klagomål mail.docx", "A 67492-2021")</f>
        <v/>
      </c>
      <c r="X132">
        <f>HYPERLINK("https://klasma.github.io/Logging_2284/tillsyn/A 67492-2021 tillsynsbegäran.docx", "A 67492-2021")</f>
        <v/>
      </c>
      <c r="Y132">
        <f>HYPERLINK("https://klasma.github.io/Logging_2284/tillsynsmail/A 67492-2021 tillsynsbegäran mail.docx", "A 67492-2021")</f>
        <v/>
      </c>
    </row>
    <row r="133" ht="15" customHeight="1">
      <c r="A133" t="inlineStr">
        <is>
          <t>A 23088-2022</t>
        </is>
      </c>
      <c r="B133" s="1" t="n">
        <v>44719</v>
      </c>
      <c r="C133" s="1" t="n">
        <v>45645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23088-2022 artfynd.xlsx", "A 23088-2022")</f>
        <v/>
      </c>
      <c r="T133">
        <f>HYPERLINK("https://klasma.github.io/Logging_2284/kartor/A 23088-2022 karta.png", "A 23088-2022")</f>
        <v/>
      </c>
      <c r="V133">
        <f>HYPERLINK("https://klasma.github.io/Logging_2284/klagomål/A 23088-2022 FSC-klagomål.docx", "A 23088-2022")</f>
        <v/>
      </c>
      <c r="W133">
        <f>HYPERLINK("https://klasma.github.io/Logging_2284/klagomålsmail/A 23088-2022 FSC-klagomål mail.docx", "A 23088-2022")</f>
        <v/>
      </c>
      <c r="X133">
        <f>HYPERLINK("https://klasma.github.io/Logging_2284/tillsyn/A 23088-2022 tillsynsbegäran.docx", "A 23088-2022")</f>
        <v/>
      </c>
      <c r="Y133">
        <f>HYPERLINK("https://klasma.github.io/Logging_2284/tillsynsmail/A 23088-2022 tillsynsbegäran mail.docx", "A 23088-2022")</f>
        <v/>
      </c>
    </row>
    <row r="134" ht="15" customHeight="1">
      <c r="A134" t="inlineStr">
        <is>
          <t>A 32122-2022</t>
        </is>
      </c>
      <c r="B134" s="1" t="n">
        <v>44778</v>
      </c>
      <c r="C134" s="1" t="n">
        <v>45645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Kattfotslav</t>
        </is>
      </c>
      <c r="S134">
        <f>HYPERLINK("https://klasma.github.io/Logging_2284/artfynd/A 32122-2022 artfynd.xlsx", "A 32122-2022")</f>
        <v/>
      </c>
      <c r="T134">
        <f>HYPERLINK("https://klasma.github.io/Logging_2284/kartor/A 32122-2022 karta.png", "A 32122-2022")</f>
        <v/>
      </c>
      <c r="V134">
        <f>HYPERLINK("https://klasma.github.io/Logging_2284/klagomål/A 32122-2022 FSC-klagomål.docx", "A 32122-2022")</f>
        <v/>
      </c>
      <c r="W134">
        <f>HYPERLINK("https://klasma.github.io/Logging_2284/klagomålsmail/A 32122-2022 FSC-klagomål mail.docx", "A 32122-2022")</f>
        <v/>
      </c>
      <c r="X134">
        <f>HYPERLINK("https://klasma.github.io/Logging_2284/tillsyn/A 32122-2022 tillsynsbegäran.docx", "A 32122-2022")</f>
        <v/>
      </c>
      <c r="Y134">
        <f>HYPERLINK("https://klasma.github.io/Logging_2284/tillsynsmail/A 32122-2022 tillsynsbegäran mail.docx", "A 32122-2022")</f>
        <v/>
      </c>
    </row>
    <row r="135" ht="15" customHeight="1">
      <c r="A135" t="inlineStr">
        <is>
          <t>A 40636-2022</t>
        </is>
      </c>
      <c r="B135" s="1" t="n">
        <v>44824</v>
      </c>
      <c r="C135" s="1" t="n">
        <v>45645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HYPERLINK("https://klasma.github.io/Logging_2284/artfynd/A 40636-2022 artfynd.xlsx", "A 40636-2022")</f>
        <v/>
      </c>
      <c r="T135">
        <f>HYPERLINK("https://klasma.github.io/Logging_2284/kartor/A 40636-2022 karta.png", "A 40636-2022")</f>
        <v/>
      </c>
      <c r="V135">
        <f>HYPERLINK("https://klasma.github.io/Logging_2284/klagomål/A 40636-2022 FSC-klagomål.docx", "A 40636-2022")</f>
        <v/>
      </c>
      <c r="W135">
        <f>HYPERLINK("https://klasma.github.io/Logging_2284/klagomålsmail/A 40636-2022 FSC-klagomål mail.docx", "A 40636-2022")</f>
        <v/>
      </c>
      <c r="X135">
        <f>HYPERLINK("https://klasma.github.io/Logging_2284/tillsyn/A 40636-2022 tillsynsbegäran.docx", "A 40636-2022")</f>
        <v/>
      </c>
      <c r="Y135">
        <f>HYPERLINK("https://klasma.github.io/Logging_2284/tillsynsmail/A 40636-2022 tillsynsbegäran mail.docx", "A 40636-2022")</f>
        <v/>
      </c>
    </row>
    <row r="136" ht="15" customHeight="1">
      <c r="A136" t="inlineStr">
        <is>
          <t>A 41184-2022</t>
        </is>
      </c>
      <c r="B136" s="1" t="n">
        <v>44825</v>
      </c>
      <c r="C136" s="1" t="n">
        <v>45645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41184-2022 artfynd.xlsx", "A 41184-2022")</f>
        <v/>
      </c>
      <c r="T136">
        <f>HYPERLINK("https://klasma.github.io/Logging_2284/kartor/A 41184-2022 karta.png", "A 41184-2022")</f>
        <v/>
      </c>
      <c r="V136">
        <f>HYPERLINK("https://klasma.github.io/Logging_2284/klagomål/A 41184-2022 FSC-klagomål.docx", "A 41184-2022")</f>
        <v/>
      </c>
      <c r="W136">
        <f>HYPERLINK("https://klasma.github.io/Logging_2284/klagomålsmail/A 41184-2022 FSC-klagomål mail.docx", "A 41184-2022")</f>
        <v/>
      </c>
      <c r="X136">
        <f>HYPERLINK("https://klasma.github.io/Logging_2284/tillsyn/A 41184-2022 tillsynsbegäran.docx", "A 41184-2022")</f>
        <v/>
      </c>
      <c r="Y136">
        <f>HYPERLINK("https://klasma.github.io/Logging_2284/tillsynsmail/A 41184-2022 tillsynsbegäran mail.docx", "A 41184-2022")</f>
        <v/>
      </c>
    </row>
    <row r="137" ht="15" customHeight="1">
      <c r="A137" t="inlineStr">
        <is>
          <t>A 47067-2022</t>
        </is>
      </c>
      <c r="B137" s="1" t="n">
        <v>44852</v>
      </c>
      <c r="C137" s="1" t="n">
        <v>45645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47067-2022 artfynd.xlsx", "A 47067-2022")</f>
        <v/>
      </c>
      <c r="T137">
        <f>HYPERLINK("https://klasma.github.io/Logging_2284/kartor/A 47067-2022 karta.png", "A 47067-2022")</f>
        <v/>
      </c>
      <c r="V137">
        <f>HYPERLINK("https://klasma.github.io/Logging_2284/klagomål/A 47067-2022 FSC-klagomål.docx", "A 47067-2022")</f>
        <v/>
      </c>
      <c r="W137">
        <f>HYPERLINK("https://klasma.github.io/Logging_2284/klagomålsmail/A 47067-2022 FSC-klagomål mail.docx", "A 47067-2022")</f>
        <v/>
      </c>
      <c r="X137">
        <f>HYPERLINK("https://klasma.github.io/Logging_2284/tillsyn/A 47067-2022 tillsynsbegäran.docx", "A 47067-2022")</f>
        <v/>
      </c>
      <c r="Y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51183-2022</t>
        </is>
      </c>
      <c r="B138" s="1" t="n">
        <v>44868</v>
      </c>
      <c r="C138" s="1" t="n">
        <v>45645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6.4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51183-2022 artfynd.xlsx", "A 51183-2022")</f>
        <v/>
      </c>
      <c r="T138">
        <f>HYPERLINK("https://klasma.github.io/Logging_2284/kartor/A 51183-2022 karta.png", "A 51183-2022")</f>
        <v/>
      </c>
      <c r="V138">
        <f>HYPERLINK("https://klasma.github.io/Logging_2284/klagomål/A 51183-2022 FSC-klagomål.docx", "A 51183-2022")</f>
        <v/>
      </c>
      <c r="W138">
        <f>HYPERLINK("https://klasma.github.io/Logging_2284/klagomålsmail/A 51183-2022 FSC-klagomål mail.docx", "A 51183-2022")</f>
        <v/>
      </c>
      <c r="X138">
        <f>HYPERLINK("https://klasma.github.io/Logging_2284/tillsyn/A 51183-2022 tillsynsbegäran.docx", "A 51183-2022")</f>
        <v/>
      </c>
      <c r="Y138">
        <f>HYPERLINK("https://klasma.github.io/Logging_2284/tillsynsmail/A 51183-2022 tillsynsbegäran mail.docx", "A 51183-2022")</f>
        <v/>
      </c>
    </row>
    <row r="139" ht="15" customHeight="1">
      <c r="A139" t="inlineStr">
        <is>
          <t>A 52575-2022</t>
        </is>
      </c>
      <c r="B139" s="1" t="n">
        <v>44874</v>
      </c>
      <c r="C139" s="1" t="n">
        <v>45645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52575-2022 artfynd.xlsx", "A 52575-2022")</f>
        <v/>
      </c>
      <c r="T139">
        <f>HYPERLINK("https://klasma.github.io/Logging_2284/kartor/A 52575-2022 karta.png", "A 52575-2022")</f>
        <v/>
      </c>
      <c r="V139">
        <f>HYPERLINK("https://klasma.github.io/Logging_2284/klagomål/A 52575-2022 FSC-klagomål.docx", "A 52575-2022")</f>
        <v/>
      </c>
      <c r="W139">
        <f>HYPERLINK("https://klasma.github.io/Logging_2284/klagomålsmail/A 52575-2022 FSC-klagomål mail.docx", "A 52575-2022")</f>
        <v/>
      </c>
      <c r="X139">
        <f>HYPERLINK("https://klasma.github.io/Logging_2284/tillsyn/A 52575-2022 tillsynsbegäran.docx", "A 52575-2022")</f>
        <v/>
      </c>
      <c r="Y139">
        <f>HYPERLINK("https://klasma.github.io/Logging_2284/tillsynsmail/A 52575-2022 tillsynsbegäran mail.docx", "A 52575-2022")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45645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45645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45645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45645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45645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45645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45645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45645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45645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45645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45645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45645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45645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45645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45645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45645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45645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45645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45645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45645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45645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45645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45645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45645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45645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45645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45645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45645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45645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45645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45645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45645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45645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45645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45645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45645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45645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45645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45645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45645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45645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45645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45645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45645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45645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45645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45645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45645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45645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45645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45645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45645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45645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45645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45645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45645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45645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45645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45645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45645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45645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45645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45645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45645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45645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45645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45645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45645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45645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45645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45645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45645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45645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45645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45645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45645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45645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45645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45645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45645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45645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45645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45645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45645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45645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45645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45645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45645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45645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45645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45645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45645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45645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45645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45645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45645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45645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45645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45645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45645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45645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45645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45645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45645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45645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45645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45645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45645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45645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45645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45645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45645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45645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45645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45645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45645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45645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45645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45645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45645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45645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45645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45645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45645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45645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45645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45645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45645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45645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45645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45645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45645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45645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45645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45645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45645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45645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45645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45645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45645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45645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45645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45645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45645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45645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45645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45645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45645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45645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45645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45645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45645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45645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45645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45645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45645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45645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45645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45645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45645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45645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45645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45645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45645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45645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45645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45645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45645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45645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45645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45645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45645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45645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45645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45645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45645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45645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45645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45645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45645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45645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45645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45645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45645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45645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45645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45645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45645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45645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45645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45645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45645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45645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45645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45645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45645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45645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45645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45645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45645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45645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45645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45645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45645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45645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45645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45645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45645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45645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45645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45645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45645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45645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45645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45645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45645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45645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45645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45645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45645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45645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45645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45645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45645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45645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45645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45645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45645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45645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45645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45645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45645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45645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45645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45645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45645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45645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45645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45645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45645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45645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45645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45645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45645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45645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45645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45645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45645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45645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45645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45645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45645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45645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45645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45645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45645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45645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45645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45645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45645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45645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45645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45645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45645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45645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45645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45645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45645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45645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45645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45645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45645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45645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45645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45645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45645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45645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45645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45645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45645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45645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45645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45645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45645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45645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45645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45645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45645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45645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45645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45645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45645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45645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45645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45645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45645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45645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45645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45645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45645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45645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45645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45645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45645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45645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45645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45645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45645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45645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45645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45645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45645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45645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45645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45645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45645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45645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45645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45645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45645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45645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45645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45645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45645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45645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45645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45645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45645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45645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45645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45645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45645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45645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45645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45645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45645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45645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45645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45645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45645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45645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45645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45645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45645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45645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45645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45645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45645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45645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45645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45645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45645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45645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45645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45645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45645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45645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45645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45645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45645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45645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45645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45645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45645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45645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45645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45645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45645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45645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45645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45645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45645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45645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45645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45645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45645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45645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45645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45645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45645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45645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45645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45645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45645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45645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45645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45645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45645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45645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45645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45645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45645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45645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45645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45645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45645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45645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45645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45645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45645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45645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45645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45645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45645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45645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45645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45645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45645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45645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45645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45645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45645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45645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45645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45645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45645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45645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45645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45645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45645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45645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45645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45645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45645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45645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45645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45645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45645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45645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45645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45645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45645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45645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45645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45645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45645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45645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45645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45645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45645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45645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45645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45645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45645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45645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45645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45645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45645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45645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45645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45645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45645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45645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45645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45645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45645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45645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45645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45645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45645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45645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45645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45645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45645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45645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45645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45645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45645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45645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45645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45645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45645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45645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45645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45645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45645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45645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45645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45645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45645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45645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45645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45645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45645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45645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45645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45645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45645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45645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45645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45645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45645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45645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45645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45645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45645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45645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45645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45645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45645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45645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45645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45645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45645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45645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45645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45645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45645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45645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45645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45645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45645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45645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45645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45645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45645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45645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45645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45645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45645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45645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45645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45645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45645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45645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45645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45645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45645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45645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45645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45645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45645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45645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45645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45645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45645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45645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45645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45645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45645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45645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45645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45645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45645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45645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45645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45645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45645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45645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45645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45645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45645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45645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45645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45645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45645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45645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45645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45645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45645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45645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45645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45645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45645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45645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45645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45645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45645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45645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45645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45645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45645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45645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45645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45645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45645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45645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45645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45645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45645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45645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45645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45645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45645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45645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45645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45645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45645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45645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45645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45645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45645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45645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45645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45645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45645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45645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45645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45645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45645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45645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45645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45645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45645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45645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45645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45645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45645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45645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45645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45645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45645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45645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45645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45645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45645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45645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45645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45645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45645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45645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45645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45645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45645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45645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45645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45645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45645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45645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45645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45645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45645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45645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45645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45645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45645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45645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45645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45645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45645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45645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45645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45645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45645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45645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45645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45645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45645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45645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45645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45645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45645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45645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45645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45645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45645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45645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45645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45645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45645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45645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45645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45645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45645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45645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45645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45645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45645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45645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45645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45645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45645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45645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45645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45645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45645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45645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45645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45645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45645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45645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45645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45645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45645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45645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45645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45645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45645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45645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45645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45645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45645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45645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45645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45645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45645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45645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45645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45645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45645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45645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45645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45645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45645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45645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45645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45645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45645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45645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45645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45645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45645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45645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45645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45645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45645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45645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45645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45645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45645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45645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45645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45645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45645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45645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45645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45645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45645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45645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45645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45645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45645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45645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45645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45645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45645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45645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45645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45645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45645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45645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45645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45645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45645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45645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45645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45645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45645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45645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45645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45645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45645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45645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45645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45645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45645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45645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45645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45645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45645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45645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45645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45645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45645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45645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45645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45645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45645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45645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45645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45645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45645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45645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45645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45645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45645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45645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45645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45645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45645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45645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45645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45645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45645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45645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45645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45645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45645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45645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45645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45645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45645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45645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45645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45645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45645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45645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45645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45645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45645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45645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45645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45645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45645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45645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45645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45645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45645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45645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45645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45645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45645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45645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45645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45645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45645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45645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45645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45645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45645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45645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45645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45645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45645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45645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45645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45645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45645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45645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45645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45645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45645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45645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45645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45645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45645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45645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45645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45645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45645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45645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45645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45645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45645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45645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45645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45645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45645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45645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45645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45645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45645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45645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45645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45645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45645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45645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45645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45645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45645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45645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45645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45645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45645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45645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45645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45645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45645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45645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45645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45645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45645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45645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45645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45645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45645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45645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45645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45645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45645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45645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45645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45645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45645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45645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45645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45645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45645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45645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45645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45645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45645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45645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45645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45645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45645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45645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45645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45645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45645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45645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45645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45645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45645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45645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45645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45645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45645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45645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45645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45645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45645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45645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45645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45645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45645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45645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45645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45645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45645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45645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45645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45645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45645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45645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45645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45645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45645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45645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45645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45645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45645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45645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45645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45645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45645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45645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45645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45645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45645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45645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45645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45645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45645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45645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45645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45645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45645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45645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45645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45645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45645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45645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45645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45645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45645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45645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45645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45645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45645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45645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45645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45645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45645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45645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45645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45645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45645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45645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45645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45645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45645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45645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45645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45645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45645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45645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45645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45645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45645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45645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45645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45645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45645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45645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45645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45645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45645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45645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45645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45645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45645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45645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45645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45645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45645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45645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45645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45645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45645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45645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45645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45645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45645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45645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45645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45645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45645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45645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45645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45645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45645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45645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45645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45645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45645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45645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45645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45645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45645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45645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45645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45645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45645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45645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45645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45645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45645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45645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45645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45645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45645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45645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45645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45645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45645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45645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45645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45645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45645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45645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45645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45645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45645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45645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45645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45645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45645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45645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45645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45645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45645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45645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45645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45645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45645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45645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45645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45645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45645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45645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45645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45645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45645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45645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45645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45645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45645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45645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45645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45645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45645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45645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45645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45645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45645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45645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45645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45645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45645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45645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45645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45645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45645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45645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45645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45645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45645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45645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45645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45645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45645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45645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45645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45645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45645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45645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45645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45645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45645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45645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45645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45645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45645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45645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45645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45645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45645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45645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45645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45645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45645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45645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45645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45645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45645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45645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45645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45645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45645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45645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45645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45645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45645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45645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45645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45645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45645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45645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45645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45645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45645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45645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45645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45645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45645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45645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45645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45645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45645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45645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45645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45645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45645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45645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45645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45645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45645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45645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45645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45645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45645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45645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45645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45645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45645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45645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45645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45645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45645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45645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45645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45645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45645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45645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45645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45645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45645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45645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45645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45645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45645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45645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45645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45645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45645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45645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45645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45645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45645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45645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45645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45645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45645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45645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45645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45645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45645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45645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45645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45645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45645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45645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45645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45645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45645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45645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45645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45645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45645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45645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45645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45645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45645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45645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45645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45645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45645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45645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45645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45645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45645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45645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45645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45645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45645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45645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45645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45645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45645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45645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45645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45645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45645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45645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45645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45645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45645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45645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45645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45645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45645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45645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45645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45645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45645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45645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45645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45645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45645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45645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45645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45645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45645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45645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45645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45645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45645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45645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45645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45645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45645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45645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45645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45645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45645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45645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45645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45645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45645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45645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45645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45645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45645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45645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45645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45645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45645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45645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45645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45645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45645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45645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45645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45645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45645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45645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45645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45645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45645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45645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45645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45645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45645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45645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45645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45645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45645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45645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45645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45645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45645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45645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45645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45645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45645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45645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45645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45645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45645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45645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45645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45645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45645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45645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45645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45645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45645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45645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45645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45645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45645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45645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45645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45645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45645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45645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45645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45645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45645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45645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45645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45645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45645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45645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45645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45645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45645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45645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45645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45645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45645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45645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45645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45645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45645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45645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45645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45645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45645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45645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45645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45645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45645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45645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45645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45645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45645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45645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45645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45645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45645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45645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45645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45645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45645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45645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45645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45645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45645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45645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45645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45645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45645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45645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45645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45645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45645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45645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45645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45645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45645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45645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45645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45645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45645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45645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45645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45645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45645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45645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45645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45645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45645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45645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45645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45645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45645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45645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45645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45645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45645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45645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45645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45645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45645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45645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45645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45645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45645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45645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45645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45645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45645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45645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45645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45645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45645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45645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45645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45645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45645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45645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45645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45645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45645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45645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45645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45645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45645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45645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45645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45645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45645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45645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45645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45645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45645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45645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45645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45645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45645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45645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45645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45645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45645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45645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45645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45645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45645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45645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45645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45645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45645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45645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45645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45645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45645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45645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45645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45645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45645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45645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45645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45645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45645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45645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45645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45645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45645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45645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45645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45645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45645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45645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45645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45645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45645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45645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45645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45645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45645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45645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45645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45645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45645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45645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45645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45645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45645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45645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45645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45645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45645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45645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45645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45645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45645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45645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45645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45645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45645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45645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45645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45645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45645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45645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45645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45645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45645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45645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45645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45645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45645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45645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45645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45645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45645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45645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45645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45645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45645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45645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45645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45645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45645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45645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45645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45645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45645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45645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45645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45645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45645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45645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45645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45645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45645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45645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45645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45645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45645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45645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45645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45645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45645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45645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45645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45645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45645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45645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45645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45645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45645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45645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45645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45645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45645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45645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45645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45645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45645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45645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45645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45645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45645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45645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45645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45645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45645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45645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45645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45645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45645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45645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45645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45645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45645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45645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45645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45645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45645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45645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45645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45645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45645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45645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45645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45645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45645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45645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45645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45645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45645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45645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45645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45645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45645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45645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45645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45645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45645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45645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45645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45645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45645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45645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45645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45645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45645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45645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45645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45645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45645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45645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45645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45645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45645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45645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45645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45645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45645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45645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45645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45645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45645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45645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45645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45645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45645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45645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45645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45645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45645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45645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45645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45645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45645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45645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45645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45645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45645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45645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45645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45645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45645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45645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45645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45645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45645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45645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45645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45645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45645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45645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45645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45645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45645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45645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45645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45645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45645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45645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45645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45645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45645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45645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45645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45645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45645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45645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45645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45645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45645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45645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45645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45645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45645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45645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45645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45645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45645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45645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45645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45645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45645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45645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45645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45645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45645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45645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45645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45645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45645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45645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45645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45645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45645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45645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45645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45645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45645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45645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45645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45645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45645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45645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45645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45645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45645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45645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45645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45645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45645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45645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45645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45645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45645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45645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45645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45645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45645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45645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45645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45645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45645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45645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45645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45645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45645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45645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45645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45645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45645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45645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45645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45645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45645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45645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45645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45645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45645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45645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45645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45645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45645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45645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45645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45645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45645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45645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45645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45645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45645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45645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45645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45645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45645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45645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45645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45645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45645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45645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45645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45645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45645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45645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45645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45645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45645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45645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45645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45645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45645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45645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45645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45645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45645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45645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45645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45645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45645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45645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45645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45645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45645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45645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45645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45645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45645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45645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45645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45645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45645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45645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45645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45645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45645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45645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45645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45645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45645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45645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45645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45645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45645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45645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45645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45645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45645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45645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45645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45645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45645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45645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45645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45645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45645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45645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45645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45645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45645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45645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45645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45645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45645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45645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45645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45645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45645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45645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45645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45645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45645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45645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45645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45645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45645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45645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45645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45645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45645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45645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45645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45645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45645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45645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45645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45645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45645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45645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45645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45645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45645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45645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45645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45645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45645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45645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45645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45645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45645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45645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45645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61392-2022</t>
        </is>
      </c>
      <c r="B1994" s="1" t="n">
        <v>44915</v>
      </c>
      <c r="C1994" s="1" t="n">
        <v>45645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61408-2022</t>
        </is>
      </c>
      <c r="B1995" s="1" t="n">
        <v>44916</v>
      </c>
      <c r="C1995" s="1" t="n">
        <v>45645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61445-2022</t>
        </is>
      </c>
      <c r="B1996" s="1" t="n">
        <v>44916</v>
      </c>
      <c r="C1996" s="1" t="n">
        <v>45645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61630-2022</t>
        </is>
      </c>
      <c r="B1997" s="1" t="n">
        <v>44916</v>
      </c>
      <c r="C1997" s="1" t="n">
        <v>45645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62340-2022</t>
        </is>
      </c>
      <c r="B1998" s="1" t="n">
        <v>44916</v>
      </c>
      <c r="C1998" s="1" t="n">
        <v>45645</v>
      </c>
      <c r="D1998" t="inlineStr">
        <is>
          <t>VÄSTERNORRLANDS LÄN</t>
        </is>
      </c>
      <c r="E1998" t="inlineStr">
        <is>
          <t>ÖRNSKÖLDSVIK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62337-2022</t>
        </is>
      </c>
      <c r="B1999" s="1" t="n">
        <v>44916</v>
      </c>
      <c r="C1999" s="1" t="n">
        <v>45645</v>
      </c>
      <c r="D1999" t="inlineStr">
        <is>
          <t>VÄSTERNORRLANDS LÄN</t>
        </is>
      </c>
      <c r="E1999" t="inlineStr">
        <is>
          <t>ÖRNSKÖLDSVIK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62331-2022</t>
        </is>
      </c>
      <c r="B2000" s="1" t="n">
        <v>44916</v>
      </c>
      <c r="C2000" s="1" t="n">
        <v>45645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62342-2022</t>
        </is>
      </c>
      <c r="B2001" s="1" t="n">
        <v>44916</v>
      </c>
      <c r="C2001" s="1" t="n">
        <v>45645</v>
      </c>
      <c r="D2001" t="inlineStr">
        <is>
          <t>VÄSTERNORRLANDS LÄN</t>
        </is>
      </c>
      <c r="E2001" t="inlineStr">
        <is>
          <t>ÖRNSKÖLDSVIK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62333-2022</t>
        </is>
      </c>
      <c r="B2002" s="1" t="n">
        <v>44916</v>
      </c>
      <c r="C2002" s="1" t="n">
        <v>45645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61674-2022</t>
        </is>
      </c>
      <c r="B2003" s="1" t="n">
        <v>44917</v>
      </c>
      <c r="C2003" s="1" t="n">
        <v>45645</v>
      </c>
      <c r="D2003" t="inlineStr">
        <is>
          <t>VÄSTERNORRLANDS LÄN</t>
        </is>
      </c>
      <c r="E2003" t="inlineStr">
        <is>
          <t>ÖRNSKÖLDSVIK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61933-2022</t>
        </is>
      </c>
      <c r="B2004" s="1" t="n">
        <v>44917</v>
      </c>
      <c r="C2004" s="1" t="n">
        <v>45645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38-2023</t>
        </is>
      </c>
      <c r="B2005" s="1" t="n">
        <v>44918</v>
      </c>
      <c r="C2005" s="1" t="n">
        <v>45645</v>
      </c>
      <c r="D2005" t="inlineStr">
        <is>
          <t>VÄSTERNORRLANDS LÄN</t>
        </is>
      </c>
      <c r="E2005" t="inlineStr">
        <is>
          <t>ÖRNSKÖLDSVIK</t>
        </is>
      </c>
      <c r="G2005" t="n">
        <v>9.9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62091-2022</t>
        </is>
      </c>
      <c r="B2006" s="1" t="n">
        <v>44919</v>
      </c>
      <c r="C2006" s="1" t="n">
        <v>45645</v>
      </c>
      <c r="D2006" t="inlineStr">
        <is>
          <t>VÄSTERNORRLANDS LÄN</t>
        </is>
      </c>
      <c r="E2006" t="inlineStr">
        <is>
          <t>ÖRNSKÖLDSVIK</t>
        </is>
      </c>
      <c r="G2006" t="n">
        <v>44.3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62085-2022</t>
        </is>
      </c>
      <c r="B2007" s="1" t="n">
        <v>44919</v>
      </c>
      <c r="C2007" s="1" t="n">
        <v>45645</v>
      </c>
      <c r="D2007" t="inlineStr">
        <is>
          <t>VÄSTERNORRLANDS LÄN</t>
        </is>
      </c>
      <c r="E2007" t="inlineStr">
        <is>
          <t>ÖRNSKÖLDSVIK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62089-2022</t>
        </is>
      </c>
      <c r="B2008" s="1" t="n">
        <v>44919</v>
      </c>
      <c r="C2008" s="1" t="n">
        <v>45645</v>
      </c>
      <c r="D2008" t="inlineStr">
        <is>
          <t>VÄSTERNORRLANDS LÄN</t>
        </is>
      </c>
      <c r="E2008" t="inlineStr">
        <is>
          <t>ÖRNSKÖLDSVIK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62090-2022</t>
        </is>
      </c>
      <c r="B2009" s="1" t="n">
        <v>44919</v>
      </c>
      <c r="C2009" s="1" t="n">
        <v>45645</v>
      </c>
      <c r="D2009" t="inlineStr">
        <is>
          <t>VÄSTERNORRLANDS LÄN</t>
        </is>
      </c>
      <c r="E2009" t="inlineStr">
        <is>
          <t>ÖRNSKÖLDSVIK</t>
        </is>
      </c>
      <c r="G2009" t="n">
        <v>24.8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62107-2022</t>
        </is>
      </c>
      <c r="B2010" s="1" t="n">
        <v>44920</v>
      </c>
      <c r="C2010" s="1" t="n">
        <v>45645</v>
      </c>
      <c r="D2010" t="inlineStr">
        <is>
          <t>VÄSTERNORRLANDS LÄN</t>
        </is>
      </c>
      <c r="E2010" t="inlineStr">
        <is>
          <t>ÖRNSKÖLDSVIK</t>
        </is>
      </c>
      <c r="G2010" t="n">
        <v>26.3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62257-2022</t>
        </is>
      </c>
      <c r="B2011" s="1" t="n">
        <v>44922</v>
      </c>
      <c r="C2011" s="1" t="n">
        <v>45645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62357-2022</t>
        </is>
      </c>
      <c r="B2012" s="1" t="n">
        <v>44923</v>
      </c>
      <c r="C2012" s="1" t="n">
        <v>45645</v>
      </c>
      <c r="D2012" t="inlineStr">
        <is>
          <t>VÄSTERNORRLANDS LÄN</t>
        </is>
      </c>
      <c r="E2012" t="inlineStr">
        <is>
          <t>ÖRNSKÖLDSVIK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62524-2022</t>
        </is>
      </c>
      <c r="B2013" s="1" t="n">
        <v>44924</v>
      </c>
      <c r="C2013" s="1" t="n">
        <v>45645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62751-2022</t>
        </is>
      </c>
      <c r="B2014" s="1" t="n">
        <v>44925</v>
      </c>
      <c r="C2014" s="1" t="n">
        <v>45645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287-2023</t>
        </is>
      </c>
      <c r="B2015" s="1" t="n">
        <v>44928</v>
      </c>
      <c r="C2015" s="1" t="n">
        <v>45645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394-2023</t>
        </is>
      </c>
      <c r="B2016" s="1" t="n">
        <v>44929</v>
      </c>
      <c r="C2016" s="1" t="n">
        <v>45645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338-2023</t>
        </is>
      </c>
      <c r="B2017" s="1" t="n">
        <v>44929</v>
      </c>
      <c r="C2017" s="1" t="n">
        <v>45645</v>
      </c>
      <c r="D2017" t="inlineStr">
        <is>
          <t>VÄSTERNORRLANDS LÄN</t>
        </is>
      </c>
      <c r="E2017" t="inlineStr">
        <is>
          <t>ÖRNSKÖLDSVIK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399-2023</t>
        </is>
      </c>
      <c r="B2018" s="1" t="n">
        <v>44929</v>
      </c>
      <c r="C2018" s="1" t="n">
        <v>45645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580-2023</t>
        </is>
      </c>
      <c r="B2019" s="1" t="n">
        <v>44930</v>
      </c>
      <c r="C2019" s="1" t="n">
        <v>45645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777-2023</t>
        </is>
      </c>
      <c r="B2020" s="1" t="n">
        <v>44931</v>
      </c>
      <c r="C2020" s="1" t="n">
        <v>45645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758-2023</t>
        </is>
      </c>
      <c r="B2021" s="1" t="n">
        <v>44931</v>
      </c>
      <c r="C2021" s="1" t="n">
        <v>45645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763-2023</t>
        </is>
      </c>
      <c r="B2022" s="1" t="n">
        <v>44931</v>
      </c>
      <c r="C2022" s="1" t="n">
        <v>45645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767-2023</t>
        </is>
      </c>
      <c r="B2023" s="1" t="n">
        <v>44931</v>
      </c>
      <c r="C2023" s="1" t="n">
        <v>45645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1606-2023</t>
        </is>
      </c>
      <c r="B2024" s="1" t="n">
        <v>44935</v>
      </c>
      <c r="C2024" s="1" t="n">
        <v>45645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1333-2023</t>
        </is>
      </c>
      <c r="B2025" s="1" t="n">
        <v>44936</v>
      </c>
      <c r="C2025" s="1" t="n">
        <v>45645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45645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45645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1807-2023</t>
        </is>
      </c>
      <c r="B2028" s="1" t="n">
        <v>44937</v>
      </c>
      <c r="C2028" s="1" t="n">
        <v>45645</v>
      </c>
      <c r="D2028" t="inlineStr">
        <is>
          <t>VÄSTERNORRLANDS LÄN</t>
        </is>
      </c>
      <c r="E2028" t="inlineStr">
        <is>
          <t>ÖRNSKÖLDSVIK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1968-2023</t>
        </is>
      </c>
      <c r="B2029" s="1" t="n">
        <v>44938</v>
      </c>
      <c r="C2029" s="1" t="n">
        <v>45645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1972-2023</t>
        </is>
      </c>
      <c r="B2030" s="1" t="n">
        <v>44938</v>
      </c>
      <c r="C2030" s="1" t="n">
        <v>45645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1962-2023</t>
        </is>
      </c>
      <c r="B2031" s="1" t="n">
        <v>44938</v>
      </c>
      <c r="C2031" s="1" t="n">
        <v>45645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1957-2023</t>
        </is>
      </c>
      <c r="B2032" s="1" t="n">
        <v>44938</v>
      </c>
      <c r="C2032" s="1" t="n">
        <v>45645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1937-2023</t>
        </is>
      </c>
      <c r="B2033" s="1" t="n">
        <v>44939</v>
      </c>
      <c r="C2033" s="1" t="n">
        <v>45645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2255-2023</t>
        </is>
      </c>
      <c r="B2034" s="1" t="n">
        <v>44942</v>
      </c>
      <c r="C2034" s="1" t="n">
        <v>45645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2722-2023</t>
        </is>
      </c>
      <c r="B2035" s="1" t="n">
        <v>44942</v>
      </c>
      <c r="C2035" s="1" t="n">
        <v>45645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2523-2023</t>
        </is>
      </c>
      <c r="B2036" s="1" t="n">
        <v>44943</v>
      </c>
      <c r="C2036" s="1" t="n">
        <v>45645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2959-2023</t>
        </is>
      </c>
      <c r="B2037" s="1" t="n">
        <v>44944</v>
      </c>
      <c r="C2037" s="1" t="n">
        <v>45645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2965-2023</t>
        </is>
      </c>
      <c r="B2038" s="1" t="n">
        <v>44944</v>
      </c>
      <c r="C2038" s="1" t="n">
        <v>45645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2972-2023</t>
        </is>
      </c>
      <c r="B2039" s="1" t="n">
        <v>44944</v>
      </c>
      <c r="C2039" s="1" t="n">
        <v>45645</v>
      </c>
      <c r="D2039" t="inlineStr">
        <is>
          <t>VÄSTERNORRLANDS LÄN</t>
        </is>
      </c>
      <c r="E2039" t="inlineStr">
        <is>
          <t>ÖRNSKÖLDSVIK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2963-2023</t>
        </is>
      </c>
      <c r="B2040" s="1" t="n">
        <v>44944</v>
      </c>
      <c r="C2040" s="1" t="n">
        <v>45645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2966-2023</t>
        </is>
      </c>
      <c r="B2041" s="1" t="n">
        <v>44944</v>
      </c>
      <c r="C2041" s="1" t="n">
        <v>45645</v>
      </c>
      <c r="D2041" t="inlineStr">
        <is>
          <t>VÄSTERNORRLANDS LÄN</t>
        </is>
      </c>
      <c r="E2041" t="inlineStr">
        <is>
          <t>ÖRNSKÖLDSVIK</t>
        </is>
      </c>
      <c r="G2041" t="n">
        <v>21.3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2892-2023</t>
        </is>
      </c>
      <c r="B2042" s="1" t="n">
        <v>44945</v>
      </c>
      <c r="C2042" s="1" t="n">
        <v>45645</v>
      </c>
      <c r="D2042" t="inlineStr">
        <is>
          <t>VÄSTERNORRLANDS LÄN</t>
        </is>
      </c>
      <c r="E2042" t="inlineStr">
        <is>
          <t>ÖRNSKÖLDSVIK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2977-2023</t>
        </is>
      </c>
      <c r="B2043" s="1" t="n">
        <v>44945</v>
      </c>
      <c r="C2043" s="1" t="n">
        <v>45645</v>
      </c>
      <c r="D2043" t="inlineStr">
        <is>
          <t>VÄSTERNORRLANDS LÄN</t>
        </is>
      </c>
      <c r="E2043" t="inlineStr">
        <is>
          <t>ÖRNSKÖLDSVIK</t>
        </is>
      </c>
      <c r="G2043" t="n">
        <v>19.3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3026-2023</t>
        </is>
      </c>
      <c r="B2044" s="1" t="n">
        <v>44945</v>
      </c>
      <c r="C2044" s="1" t="n">
        <v>45645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3038-2023</t>
        </is>
      </c>
      <c r="B2045" s="1" t="n">
        <v>44945</v>
      </c>
      <c r="C2045" s="1" t="n">
        <v>45645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90.90000000000001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3208-2023</t>
        </is>
      </c>
      <c r="B2046" s="1" t="n">
        <v>44946</v>
      </c>
      <c r="C2046" s="1" t="n">
        <v>45645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3623-2023</t>
        </is>
      </c>
      <c r="B2047" s="1" t="n">
        <v>44946</v>
      </c>
      <c r="C2047" s="1" t="n">
        <v>45645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3769-2023</t>
        </is>
      </c>
      <c r="B2048" s="1" t="n">
        <v>44949</v>
      </c>
      <c r="C2048" s="1" t="n">
        <v>45645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3555-2023</t>
        </is>
      </c>
      <c r="B2049" s="1" t="n">
        <v>44950</v>
      </c>
      <c r="C2049" s="1" t="n">
        <v>45645</v>
      </c>
      <c r="D2049" t="inlineStr">
        <is>
          <t>VÄSTERNORRLANDS LÄN</t>
        </is>
      </c>
      <c r="E2049" t="inlineStr">
        <is>
          <t>ÖRNSKÖLDSVIK</t>
        </is>
      </c>
      <c r="G2049" t="n">
        <v>7.4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3697-2023</t>
        </is>
      </c>
      <c r="B2050" s="1" t="n">
        <v>44950</v>
      </c>
      <c r="C2050" s="1" t="n">
        <v>45645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3963-2023</t>
        </is>
      </c>
      <c r="B2051" s="1" t="n">
        <v>44950</v>
      </c>
      <c r="C2051" s="1" t="n">
        <v>45645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3966-2023</t>
        </is>
      </c>
      <c r="B2052" s="1" t="n">
        <v>44952</v>
      </c>
      <c r="C2052" s="1" t="n">
        <v>45645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4719-2023</t>
        </is>
      </c>
      <c r="B2053" s="1" t="n">
        <v>44953</v>
      </c>
      <c r="C2053" s="1" t="n">
        <v>45645</v>
      </c>
      <c r="D2053" t="inlineStr">
        <is>
          <t>VÄSTERNORRLANDS LÄN</t>
        </is>
      </c>
      <c r="E2053" t="inlineStr">
        <is>
          <t>ÖRNSKÖLDSVIK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4360-2023</t>
        </is>
      </c>
      <c r="B2054" s="1" t="n">
        <v>44954</v>
      </c>
      <c r="C2054" s="1" t="n">
        <v>45645</v>
      </c>
      <c r="D2054" t="inlineStr">
        <is>
          <t>VÄSTERNORRLANDS LÄN</t>
        </is>
      </c>
      <c r="E2054" t="inlineStr">
        <is>
          <t>ÖRNSKÖLDSVIK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4428-2023</t>
        </is>
      </c>
      <c r="B2055" s="1" t="n">
        <v>44956</v>
      </c>
      <c r="C2055" s="1" t="n">
        <v>45645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4414-2023</t>
        </is>
      </c>
      <c r="B2056" s="1" t="n">
        <v>44956</v>
      </c>
      <c r="C2056" s="1" t="n">
        <v>45645</v>
      </c>
      <c r="D2056" t="inlineStr">
        <is>
          <t>VÄSTERNORRLANDS LÄN</t>
        </is>
      </c>
      <c r="E2056" t="inlineStr">
        <is>
          <t>ÖRNSKÖLDSVIK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4522-2023</t>
        </is>
      </c>
      <c r="B2057" s="1" t="n">
        <v>44956</v>
      </c>
      <c r="C2057" s="1" t="n">
        <v>45645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4556-2023</t>
        </is>
      </c>
      <c r="B2058" s="1" t="n">
        <v>44956</v>
      </c>
      <c r="C2058" s="1" t="n">
        <v>45645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5364-2023</t>
        </is>
      </c>
      <c r="B2059" s="1" t="n">
        <v>44956</v>
      </c>
      <c r="C2059" s="1" t="n">
        <v>45645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4654-2023</t>
        </is>
      </c>
      <c r="B2060" s="1" t="n">
        <v>44957</v>
      </c>
      <c r="C2060" s="1" t="n">
        <v>45645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5488-2023</t>
        </is>
      </c>
      <c r="B2061" s="1" t="n">
        <v>44957</v>
      </c>
      <c r="C2061" s="1" t="n">
        <v>45645</v>
      </c>
      <c r="D2061" t="inlineStr">
        <is>
          <t>VÄSTERNORRLANDS LÄN</t>
        </is>
      </c>
      <c r="E2061" t="inlineStr">
        <is>
          <t>ÖRNSKÖLDSVIK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5644-2023</t>
        </is>
      </c>
      <c r="B2062" s="1" t="n">
        <v>44958</v>
      </c>
      <c r="C2062" s="1" t="n">
        <v>45645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5212-2023</t>
        </is>
      </c>
      <c r="B2063" s="1" t="n">
        <v>44959</v>
      </c>
      <c r="C2063" s="1" t="n">
        <v>45645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5215-2023</t>
        </is>
      </c>
      <c r="B2064" s="1" t="n">
        <v>44959</v>
      </c>
      <c r="C2064" s="1" t="n">
        <v>45645</v>
      </c>
      <c r="D2064" t="inlineStr">
        <is>
          <t>VÄSTERNORRLANDS LÄN</t>
        </is>
      </c>
      <c r="E2064" t="inlineStr">
        <is>
          <t>ÖRNSKÖLDSVIK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5248-2023</t>
        </is>
      </c>
      <c r="B2065" s="1" t="n">
        <v>44959</v>
      </c>
      <c r="C2065" s="1" t="n">
        <v>45645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5637-2023</t>
        </is>
      </c>
      <c r="B2066" s="1" t="n">
        <v>44960</v>
      </c>
      <c r="C2066" s="1" t="n">
        <v>45645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5555-2023</t>
        </is>
      </c>
      <c r="B2067" s="1" t="n">
        <v>44960</v>
      </c>
      <c r="C2067" s="1" t="n">
        <v>45645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5560-2023</t>
        </is>
      </c>
      <c r="B2068" s="1" t="n">
        <v>44960</v>
      </c>
      <c r="C2068" s="1" t="n">
        <v>45645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6388-2023</t>
        </is>
      </c>
      <c r="B2069" s="1" t="n">
        <v>44960</v>
      </c>
      <c r="C2069" s="1" t="n">
        <v>45645</v>
      </c>
      <c r="D2069" t="inlineStr">
        <is>
          <t>VÄSTERNORRLANDS LÄN</t>
        </is>
      </c>
      <c r="E2069" t="inlineStr">
        <is>
          <t>ÖRNSKÖLDSVIK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5595-2023</t>
        </is>
      </c>
      <c r="B2070" s="1" t="n">
        <v>44960</v>
      </c>
      <c r="C2070" s="1" t="n">
        <v>45645</v>
      </c>
      <c r="D2070" t="inlineStr">
        <is>
          <t>VÄSTERNORRLANDS LÄN</t>
        </is>
      </c>
      <c r="E2070" t="inlineStr">
        <is>
          <t>ÖRNSKÖLDSVIK</t>
        </is>
      </c>
      <c r="G2070" t="n">
        <v>22.8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6823-2023</t>
        </is>
      </c>
      <c r="B2071" s="1" t="n">
        <v>44963</v>
      </c>
      <c r="C2071" s="1" t="n">
        <v>45645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7147-2023</t>
        </is>
      </c>
      <c r="B2072" s="1" t="n">
        <v>44965</v>
      </c>
      <c r="C2072" s="1" t="n">
        <v>45645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8217-2023</t>
        </is>
      </c>
      <c r="B2073" s="1" t="n">
        <v>44971</v>
      </c>
      <c r="C2073" s="1" t="n">
        <v>45645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8227-2023</t>
        </is>
      </c>
      <c r="B2074" s="1" t="n">
        <v>44971</v>
      </c>
      <c r="C2074" s="1" t="n">
        <v>45645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7574-2023</t>
        </is>
      </c>
      <c r="B2075" s="1" t="n">
        <v>44972</v>
      </c>
      <c r="C2075" s="1" t="n">
        <v>45645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7881-2023</t>
        </is>
      </c>
      <c r="B2076" s="1" t="n">
        <v>44973</v>
      </c>
      <c r="C2076" s="1" t="n">
        <v>45645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8224-2023</t>
        </is>
      </c>
      <c r="B2077" s="1" t="n">
        <v>44974</v>
      </c>
      <c r="C2077" s="1" t="n">
        <v>45645</v>
      </c>
      <c r="D2077" t="inlineStr">
        <is>
          <t>VÄSTERNORRLANDS LÄN</t>
        </is>
      </c>
      <c r="E2077" t="inlineStr">
        <is>
          <t>ÖRNSKÖLDSVIK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8221-2023</t>
        </is>
      </c>
      <c r="B2078" s="1" t="n">
        <v>44974</v>
      </c>
      <c r="C2078" s="1" t="n">
        <v>45645</v>
      </c>
      <c r="D2078" t="inlineStr">
        <is>
          <t>VÄSTERNORRLANDS LÄN</t>
        </is>
      </c>
      <c r="E2078" t="inlineStr">
        <is>
          <t>ÖRNSKÖLDSVIK</t>
        </is>
      </c>
      <c r="G2078" t="n">
        <v>10.8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9474-2023</t>
        </is>
      </c>
      <c r="B2079" s="1" t="n">
        <v>44977</v>
      </c>
      <c r="C2079" s="1" t="n">
        <v>45645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9726-2023</t>
        </is>
      </c>
      <c r="B2080" s="1" t="n">
        <v>44978</v>
      </c>
      <c r="C2080" s="1" t="n">
        <v>45645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8874-2023</t>
        </is>
      </c>
      <c r="B2081" s="1" t="n">
        <v>44978</v>
      </c>
      <c r="C2081" s="1" t="n">
        <v>45645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9101-2023</t>
        </is>
      </c>
      <c r="B2082" s="1" t="n">
        <v>44979</v>
      </c>
      <c r="C2082" s="1" t="n">
        <v>45645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10053-2023</t>
        </is>
      </c>
      <c r="B2083" s="1" t="n">
        <v>44979</v>
      </c>
      <c r="C2083" s="1" t="n">
        <v>45645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10057-2023</t>
        </is>
      </c>
      <c r="B2084" s="1" t="n">
        <v>44979</v>
      </c>
      <c r="C2084" s="1" t="n">
        <v>45645</v>
      </c>
      <c r="D2084" t="inlineStr">
        <is>
          <t>VÄSTERNORRLANDS LÄN</t>
        </is>
      </c>
      <c r="E2084" t="inlineStr">
        <is>
          <t>ÖRNSKÖLDSVIK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10055-2023</t>
        </is>
      </c>
      <c r="B2085" s="1" t="n">
        <v>44979</v>
      </c>
      <c r="C2085" s="1" t="n">
        <v>45645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10113-2023</t>
        </is>
      </c>
      <c r="B2086" s="1" t="n">
        <v>44979</v>
      </c>
      <c r="C2086" s="1" t="n">
        <v>45645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9254-2023</t>
        </is>
      </c>
      <c r="B2087" s="1" t="n">
        <v>44980</v>
      </c>
      <c r="C2087" s="1" t="n">
        <v>45645</v>
      </c>
      <c r="D2087" t="inlineStr">
        <is>
          <t>VÄSTERNORRLANDS LÄN</t>
        </is>
      </c>
      <c r="E2087" t="inlineStr">
        <is>
          <t>ÖRNSKÖLDSVIK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9265-2023</t>
        </is>
      </c>
      <c r="B2088" s="1" t="n">
        <v>44980</v>
      </c>
      <c r="C2088" s="1" t="n">
        <v>45645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10369-2023</t>
        </is>
      </c>
      <c r="B2089" s="1" t="n">
        <v>44980</v>
      </c>
      <c r="C2089" s="1" t="n">
        <v>45645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9845-2023</t>
        </is>
      </c>
      <c r="B2090" s="1" t="n">
        <v>44984</v>
      </c>
      <c r="C2090" s="1" t="n">
        <v>45645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9848-2023</t>
        </is>
      </c>
      <c r="B2091" s="1" t="n">
        <v>44984</v>
      </c>
      <c r="C2091" s="1" t="n">
        <v>45645</v>
      </c>
      <c r="D2091" t="inlineStr">
        <is>
          <t>VÄSTERNORRLANDS LÄN</t>
        </is>
      </c>
      <c r="E2091" t="inlineStr">
        <is>
          <t>ÖRNSKÖLDSVIK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10601-2023</t>
        </is>
      </c>
      <c r="B2092" s="1" t="n">
        <v>44984</v>
      </c>
      <c r="C2092" s="1" t="n">
        <v>45645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9970-2023</t>
        </is>
      </c>
      <c r="B2093" s="1" t="n">
        <v>44985</v>
      </c>
      <c r="C2093" s="1" t="n">
        <v>45645</v>
      </c>
      <c r="D2093" t="inlineStr">
        <is>
          <t>VÄSTERNORRLANDS LÄN</t>
        </is>
      </c>
      <c r="E2093" t="inlineStr">
        <is>
          <t>ÖRNSKÖLDSVIK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9950-2023</t>
        </is>
      </c>
      <c r="B2094" s="1" t="n">
        <v>44985</v>
      </c>
      <c r="C2094" s="1" t="n">
        <v>45645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10970-2023</t>
        </is>
      </c>
      <c r="B2095" s="1" t="n">
        <v>44985</v>
      </c>
      <c r="C2095" s="1" t="n">
        <v>45645</v>
      </c>
      <c r="D2095" t="inlineStr">
        <is>
          <t>VÄSTERNORRLANDS LÄN</t>
        </is>
      </c>
      <c r="E2095" t="inlineStr">
        <is>
          <t>ÖRNSKÖLDSVIK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10100-2023</t>
        </is>
      </c>
      <c r="B2096" s="1" t="n">
        <v>44985</v>
      </c>
      <c r="C2096" s="1" t="n">
        <v>45645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10296-2023</t>
        </is>
      </c>
      <c r="B2097" s="1" t="n">
        <v>44986</v>
      </c>
      <c r="C2097" s="1" t="n">
        <v>45645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10293-2023</t>
        </is>
      </c>
      <c r="B2098" s="1" t="n">
        <v>44986</v>
      </c>
      <c r="C2098" s="1" t="n">
        <v>45645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10297-2023</t>
        </is>
      </c>
      <c r="B2099" s="1" t="n">
        <v>44986</v>
      </c>
      <c r="C2099" s="1" t="n">
        <v>45645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10295-2023</t>
        </is>
      </c>
      <c r="B2100" s="1" t="n">
        <v>44986</v>
      </c>
      <c r="C2100" s="1" t="n">
        <v>45645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10385-2023</t>
        </is>
      </c>
      <c r="B2101" s="1" t="n">
        <v>44987</v>
      </c>
      <c r="C2101" s="1" t="n">
        <v>45645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10387-2023</t>
        </is>
      </c>
      <c r="B2102" s="1" t="n">
        <v>44987</v>
      </c>
      <c r="C2102" s="1" t="n">
        <v>45645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10756-2023</t>
        </is>
      </c>
      <c r="B2103" s="1" t="n">
        <v>44988</v>
      </c>
      <c r="C2103" s="1" t="n">
        <v>45645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10700-2023</t>
        </is>
      </c>
      <c r="B2104" s="1" t="n">
        <v>44988</v>
      </c>
      <c r="C2104" s="1" t="n">
        <v>45645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10784-2023</t>
        </is>
      </c>
      <c r="B2105" s="1" t="n">
        <v>44988</v>
      </c>
      <c r="C2105" s="1" t="n">
        <v>45645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11050-2023</t>
        </is>
      </c>
      <c r="B2106" s="1" t="n">
        <v>44991</v>
      </c>
      <c r="C2106" s="1" t="n">
        <v>45645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11051-2023</t>
        </is>
      </c>
      <c r="B2107" s="1" t="n">
        <v>44991</v>
      </c>
      <c r="C2107" s="1" t="n">
        <v>45645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11059-2023</t>
        </is>
      </c>
      <c r="B2108" s="1" t="n">
        <v>44991</v>
      </c>
      <c r="C2108" s="1" t="n">
        <v>45645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11724-2023</t>
        </is>
      </c>
      <c r="B2109" s="1" t="n">
        <v>44992</v>
      </c>
      <c r="C2109" s="1" t="n">
        <v>45645</v>
      </c>
      <c r="D2109" t="inlineStr">
        <is>
          <t>VÄSTERNORRLANDS LÄN</t>
        </is>
      </c>
      <c r="E2109" t="inlineStr">
        <is>
          <t>ÖRNSKÖLDSVIK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12823-2023</t>
        </is>
      </c>
      <c r="B2110" s="1" t="n">
        <v>45000</v>
      </c>
      <c r="C2110" s="1" t="n">
        <v>45645</v>
      </c>
      <c r="D2110" t="inlineStr">
        <is>
          <t>VÄSTERNORRLANDS LÄN</t>
        </is>
      </c>
      <c r="E2110" t="inlineStr">
        <is>
          <t>ÖRNSKÖLDSVIK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12980-2023</t>
        </is>
      </c>
      <c r="B2111" s="1" t="n">
        <v>45002</v>
      </c>
      <c r="C2111" s="1" t="n">
        <v>45645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12981-2023</t>
        </is>
      </c>
      <c r="B2112" s="1" t="n">
        <v>45002</v>
      </c>
      <c r="C2112" s="1" t="n">
        <v>45645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12978-2023</t>
        </is>
      </c>
      <c r="B2113" s="1" t="n">
        <v>45002</v>
      </c>
      <c r="C2113" s="1" t="n">
        <v>45645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13225-2023</t>
        </is>
      </c>
      <c r="B2114" s="1" t="n">
        <v>45002</v>
      </c>
      <c r="C2114" s="1" t="n">
        <v>45645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13226-2023</t>
        </is>
      </c>
      <c r="B2115" s="1" t="n">
        <v>45002</v>
      </c>
      <c r="C2115" s="1" t="n">
        <v>45645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13238-2023</t>
        </is>
      </c>
      <c r="B2116" s="1" t="n">
        <v>45002</v>
      </c>
      <c r="C2116" s="1" t="n">
        <v>45645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13232-2023</t>
        </is>
      </c>
      <c r="B2117" s="1" t="n">
        <v>45002</v>
      </c>
      <c r="C2117" s="1" t="n">
        <v>45645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13279-2023</t>
        </is>
      </c>
      <c r="B2118" s="1" t="n">
        <v>45004</v>
      </c>
      <c r="C2118" s="1" t="n">
        <v>45645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13310-2023</t>
        </is>
      </c>
      <c r="B2119" s="1" t="n">
        <v>45005</v>
      </c>
      <c r="C2119" s="1" t="n">
        <v>45645</v>
      </c>
      <c r="D2119" t="inlineStr">
        <is>
          <t>VÄSTERNORRLANDS LÄN</t>
        </is>
      </c>
      <c r="E2119" t="inlineStr">
        <is>
          <t>ÖRNSKÖLDSVIK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13427-2023</t>
        </is>
      </c>
      <c r="B2120" s="1" t="n">
        <v>45005</v>
      </c>
      <c r="C2120" s="1" t="n">
        <v>45645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13494-2023</t>
        </is>
      </c>
      <c r="B2121" s="1" t="n">
        <v>45005</v>
      </c>
      <c r="C2121" s="1" t="n">
        <v>45645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13496-2023</t>
        </is>
      </c>
      <c r="B2122" s="1" t="n">
        <v>45005</v>
      </c>
      <c r="C2122" s="1" t="n">
        <v>45645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13548-2023</t>
        </is>
      </c>
      <c r="B2123" s="1" t="n">
        <v>45006</v>
      </c>
      <c r="C2123" s="1" t="n">
        <v>45645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13550-2023</t>
        </is>
      </c>
      <c r="B2124" s="1" t="n">
        <v>45006</v>
      </c>
      <c r="C2124" s="1" t="n">
        <v>45645</v>
      </c>
      <c r="D2124" t="inlineStr">
        <is>
          <t>VÄSTERNORRLANDS LÄN</t>
        </is>
      </c>
      <c r="E2124" t="inlineStr">
        <is>
          <t>ÖRNSKÖLDSVIK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13698-2023</t>
        </is>
      </c>
      <c r="B2125" s="1" t="n">
        <v>45006</v>
      </c>
      <c r="C2125" s="1" t="n">
        <v>45645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13549-2023</t>
        </is>
      </c>
      <c r="B2126" s="1" t="n">
        <v>45006</v>
      </c>
      <c r="C2126" s="1" t="n">
        <v>45645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13733-2023</t>
        </is>
      </c>
      <c r="B2127" s="1" t="n">
        <v>45006</v>
      </c>
      <c r="C2127" s="1" t="n">
        <v>45645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13945-2023</t>
        </is>
      </c>
      <c r="B2128" s="1" t="n">
        <v>45007</v>
      </c>
      <c r="C2128" s="1" t="n">
        <v>45645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13815-2023</t>
        </is>
      </c>
      <c r="B2129" s="1" t="n">
        <v>45007</v>
      </c>
      <c r="C2129" s="1" t="n">
        <v>45645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13818-2023</t>
        </is>
      </c>
      <c r="B2130" s="1" t="n">
        <v>45007</v>
      </c>
      <c r="C2130" s="1" t="n">
        <v>45645</v>
      </c>
      <c r="D2130" t="inlineStr">
        <is>
          <t>VÄSTERNORRLANDS LÄN</t>
        </is>
      </c>
      <c r="E2130" t="inlineStr">
        <is>
          <t>ÖRNSKÖLDSVIK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13832-2023</t>
        </is>
      </c>
      <c r="B2131" s="1" t="n">
        <v>45007</v>
      </c>
      <c r="C2131" s="1" t="n">
        <v>45645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13862-2023</t>
        </is>
      </c>
      <c r="B2132" s="1" t="n">
        <v>45007</v>
      </c>
      <c r="C2132" s="1" t="n">
        <v>45645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13934-2023</t>
        </is>
      </c>
      <c r="B2133" s="1" t="n">
        <v>45007</v>
      </c>
      <c r="C2133" s="1" t="n">
        <v>45645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13959-2023</t>
        </is>
      </c>
      <c r="B2134" s="1" t="n">
        <v>45007</v>
      </c>
      <c r="C2134" s="1" t="n">
        <v>45645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13920-2023</t>
        </is>
      </c>
      <c r="B2135" s="1" t="n">
        <v>45007</v>
      </c>
      <c r="C2135" s="1" t="n">
        <v>45645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13895-2023</t>
        </is>
      </c>
      <c r="B2136" s="1" t="n">
        <v>45008</v>
      </c>
      <c r="C2136" s="1" t="n">
        <v>45645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13894-2023</t>
        </is>
      </c>
      <c r="B2137" s="1" t="n">
        <v>45008</v>
      </c>
      <c r="C2137" s="1" t="n">
        <v>45645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13893-2023</t>
        </is>
      </c>
      <c r="B2138" s="1" t="n">
        <v>45008</v>
      </c>
      <c r="C2138" s="1" t="n">
        <v>45645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14201-2023</t>
        </is>
      </c>
      <c r="B2139" s="1" t="n">
        <v>45009</v>
      </c>
      <c r="C2139" s="1" t="n">
        <v>45645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14337-2023</t>
        </is>
      </c>
      <c r="B2140" s="1" t="n">
        <v>45009</v>
      </c>
      <c r="C2140" s="1" t="n">
        <v>45645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14319-2023</t>
        </is>
      </c>
      <c r="B2141" s="1" t="n">
        <v>45012</v>
      </c>
      <c r="C2141" s="1" t="n">
        <v>45645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14318-2023</t>
        </is>
      </c>
      <c r="B2142" s="1" t="n">
        <v>45012</v>
      </c>
      <c r="C2142" s="1" t="n">
        <v>45645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14336-2023</t>
        </is>
      </c>
      <c r="B2143" s="1" t="n">
        <v>45012</v>
      </c>
      <c r="C2143" s="1" t="n">
        <v>45645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14713-2023</t>
        </is>
      </c>
      <c r="B2144" s="1" t="n">
        <v>45014</v>
      </c>
      <c r="C2144" s="1" t="n">
        <v>45645</v>
      </c>
      <c r="D2144" t="inlineStr">
        <is>
          <t>VÄSTERNORRLANDS LÄN</t>
        </is>
      </c>
      <c r="E2144" t="inlineStr">
        <is>
          <t>ÖRNSKÖLDSVIK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14963-2023</t>
        </is>
      </c>
      <c r="B2145" s="1" t="n">
        <v>45015</v>
      </c>
      <c r="C2145" s="1" t="n">
        <v>45645</v>
      </c>
      <c r="D2145" t="inlineStr">
        <is>
          <t>VÄSTERNORRLANDS LÄN</t>
        </is>
      </c>
      <c r="E2145" t="inlineStr">
        <is>
          <t>ÖRNSKÖLDSVIK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14929-2023</t>
        </is>
      </c>
      <c r="B2146" s="1" t="n">
        <v>45015</v>
      </c>
      <c r="C2146" s="1" t="n">
        <v>45645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15050-2023</t>
        </is>
      </c>
      <c r="B2147" s="1" t="n">
        <v>45015</v>
      </c>
      <c r="C2147" s="1" t="n">
        <v>45645</v>
      </c>
      <c r="D2147" t="inlineStr">
        <is>
          <t>VÄSTERNORRLANDS LÄN</t>
        </is>
      </c>
      <c r="E2147" t="inlineStr">
        <is>
          <t>ÖRNSKÖLDSVIK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15048-2023</t>
        </is>
      </c>
      <c r="B2148" s="1" t="n">
        <v>45015</v>
      </c>
      <c r="C2148" s="1" t="n">
        <v>45645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15419-2023</t>
        </is>
      </c>
      <c r="B2149" s="1" t="n">
        <v>45019</v>
      </c>
      <c r="C2149" s="1" t="n">
        <v>45645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15414-2023</t>
        </is>
      </c>
      <c r="B2150" s="1" t="n">
        <v>45019</v>
      </c>
      <c r="C2150" s="1" t="n">
        <v>45645</v>
      </c>
      <c r="D2150" t="inlineStr">
        <is>
          <t>VÄSTERNORRLANDS LÄN</t>
        </is>
      </c>
      <c r="E2150" t="inlineStr">
        <is>
          <t>ÖRNSKÖLDSVIK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15485-2023</t>
        </is>
      </c>
      <c r="B2151" s="1" t="n">
        <v>45020</v>
      </c>
      <c r="C2151" s="1" t="n">
        <v>45645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15982-2023</t>
        </is>
      </c>
      <c r="B2152" s="1" t="n">
        <v>45023</v>
      </c>
      <c r="C2152" s="1" t="n">
        <v>45645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16193-2023</t>
        </is>
      </c>
      <c r="B2153" s="1" t="n">
        <v>45028</v>
      </c>
      <c r="C2153" s="1" t="n">
        <v>45645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16486-2023</t>
        </is>
      </c>
      <c r="B2154" s="1" t="n">
        <v>45027</v>
      </c>
      <c r="C2154" s="1" t="n">
        <v>45645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16489-2023</t>
        </is>
      </c>
      <c r="B2155" s="1" t="n">
        <v>45027</v>
      </c>
      <c r="C2155" s="1" t="n">
        <v>45645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16250-2023</t>
        </is>
      </c>
      <c r="B2156" s="1" t="n">
        <v>45028</v>
      </c>
      <c r="C2156" s="1" t="n">
        <v>45645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16799-2023</t>
        </is>
      </c>
      <c r="B2157" s="1" t="n">
        <v>45028</v>
      </c>
      <c r="C2157" s="1" t="n">
        <v>45645</v>
      </c>
      <c r="D2157" t="inlineStr">
        <is>
          <t>VÄSTERNORRLANDS LÄN</t>
        </is>
      </c>
      <c r="E2157" t="inlineStr">
        <is>
          <t>ÖRNSKÖLDSVIK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16548-2023</t>
        </is>
      </c>
      <c r="B2158" s="1" t="n">
        <v>45029</v>
      </c>
      <c r="C2158" s="1" t="n">
        <v>45645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16549-2023</t>
        </is>
      </c>
      <c r="B2159" s="1" t="n">
        <v>45029</v>
      </c>
      <c r="C2159" s="1" t="n">
        <v>45645</v>
      </c>
      <c r="D2159" t="inlineStr">
        <is>
          <t>VÄSTERNORRLANDS LÄN</t>
        </is>
      </c>
      <c r="E2159" t="inlineStr">
        <is>
          <t>ÖRNSKÖLDSVIK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16764-2023</t>
        </is>
      </c>
      <c r="B2160" s="1" t="n">
        <v>45031</v>
      </c>
      <c r="C2160" s="1" t="n">
        <v>45645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17356-2023</t>
        </is>
      </c>
      <c r="B2161" s="1" t="n">
        <v>45033</v>
      </c>
      <c r="C2161" s="1" t="n">
        <v>45645</v>
      </c>
      <c r="D2161" t="inlineStr">
        <is>
          <t>VÄSTERNORRLANDS LÄN</t>
        </is>
      </c>
      <c r="E2161" t="inlineStr">
        <is>
          <t>ÖRNSKÖLDSVIK</t>
        </is>
      </c>
      <c r="G2161" t="n">
        <v>18.3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17099-2023</t>
        </is>
      </c>
      <c r="B2162" s="1" t="n">
        <v>45034</v>
      </c>
      <c r="C2162" s="1" t="n">
        <v>45645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17175-2023</t>
        </is>
      </c>
      <c r="B2163" s="1" t="n">
        <v>45034</v>
      </c>
      <c r="C2163" s="1" t="n">
        <v>45645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17214-2023</t>
        </is>
      </c>
      <c r="B2164" s="1" t="n">
        <v>45035</v>
      </c>
      <c r="C2164" s="1" t="n">
        <v>45645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17213-2023</t>
        </is>
      </c>
      <c r="B2165" s="1" t="n">
        <v>45035</v>
      </c>
      <c r="C2165" s="1" t="n">
        <v>45645</v>
      </c>
      <c r="D2165" t="inlineStr">
        <is>
          <t>VÄSTERNORRLANDS LÄN</t>
        </is>
      </c>
      <c r="E2165" t="inlineStr">
        <is>
          <t>ÖRNSKÖLDSVIK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17515-2023</t>
        </is>
      </c>
      <c r="B2166" s="1" t="n">
        <v>45034</v>
      </c>
      <c r="C2166" s="1" t="n">
        <v>45645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17514-2023</t>
        </is>
      </c>
      <c r="B2167" s="1" t="n">
        <v>45034</v>
      </c>
      <c r="C2167" s="1" t="n">
        <v>45645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17620-2023</t>
        </is>
      </c>
      <c r="B2168" s="1" t="n">
        <v>45035</v>
      </c>
      <c r="C2168" s="1" t="n">
        <v>45645</v>
      </c>
      <c r="D2168" t="inlineStr">
        <is>
          <t>VÄSTERNORRLANDS LÄN</t>
        </is>
      </c>
      <c r="E2168" t="inlineStr">
        <is>
          <t>ÖRNSKÖLDSVIK</t>
        </is>
      </c>
      <c r="G2168" t="n">
        <v>33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17845-2023</t>
        </is>
      </c>
      <c r="B2169" s="1" t="n">
        <v>45037</v>
      </c>
      <c r="C2169" s="1" t="n">
        <v>45645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17968-2023</t>
        </is>
      </c>
      <c r="B2170" s="1" t="n">
        <v>45037</v>
      </c>
      <c r="C2170" s="1" t="n">
        <v>45645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17948-2023</t>
        </is>
      </c>
      <c r="B2171" s="1" t="n">
        <v>45037</v>
      </c>
      <c r="C2171" s="1" t="n">
        <v>45645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17959-2023</t>
        </is>
      </c>
      <c r="B2172" s="1" t="n">
        <v>45037</v>
      </c>
      <c r="C2172" s="1" t="n">
        <v>45645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18094-2023</t>
        </is>
      </c>
      <c r="B2173" s="1" t="n">
        <v>45040</v>
      </c>
      <c r="C2173" s="1" t="n">
        <v>45645</v>
      </c>
      <c r="D2173" t="inlineStr">
        <is>
          <t>VÄSTERNORRLANDS LÄN</t>
        </is>
      </c>
      <c r="E2173" t="inlineStr">
        <is>
          <t>ÖRNSKÖLDSVIK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18054-2023</t>
        </is>
      </c>
      <c r="B2174" s="1" t="n">
        <v>45040</v>
      </c>
      <c r="C2174" s="1" t="n">
        <v>45645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18105-2023</t>
        </is>
      </c>
      <c r="B2175" s="1" t="n">
        <v>45040</v>
      </c>
      <c r="C2175" s="1" t="n">
        <v>45645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18148-2023</t>
        </is>
      </c>
      <c r="B2176" s="1" t="n">
        <v>45041</v>
      </c>
      <c r="C2176" s="1" t="n">
        <v>45645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18147-2023</t>
        </is>
      </c>
      <c r="B2177" s="1" t="n">
        <v>45041</v>
      </c>
      <c r="C2177" s="1" t="n">
        <v>45645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45645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18203-2023</t>
        </is>
      </c>
      <c r="B2179" s="1" t="n">
        <v>45041</v>
      </c>
      <c r="C2179" s="1" t="n">
        <v>45645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18198-2023</t>
        </is>
      </c>
      <c r="B2180" s="1" t="n">
        <v>45041</v>
      </c>
      <c r="C2180" s="1" t="n">
        <v>45645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18202-2023</t>
        </is>
      </c>
      <c r="B2181" s="1" t="n">
        <v>45041</v>
      </c>
      <c r="C2181" s="1" t="n">
        <v>45645</v>
      </c>
      <c r="D2181" t="inlineStr">
        <is>
          <t>VÄSTERNORRLANDS LÄN</t>
        </is>
      </c>
      <c r="E2181" t="inlineStr">
        <is>
          <t>ÖRNSKÖLDSVIK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18417-2023</t>
        </is>
      </c>
      <c r="B2182" s="1" t="n">
        <v>45042</v>
      </c>
      <c r="C2182" s="1" t="n">
        <v>45645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18704-2023</t>
        </is>
      </c>
      <c r="B2183" s="1" t="n">
        <v>45043</v>
      </c>
      <c r="C2183" s="1" t="n">
        <v>45645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18586-2023</t>
        </is>
      </c>
      <c r="B2184" s="1" t="n">
        <v>45043</v>
      </c>
      <c r="C2184" s="1" t="n">
        <v>45645</v>
      </c>
      <c r="D2184" t="inlineStr">
        <is>
          <t>VÄSTERNORRLANDS LÄN</t>
        </is>
      </c>
      <c r="E2184" t="inlineStr">
        <is>
          <t>ÖRNSKÖLDSVIK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19137-2023</t>
        </is>
      </c>
      <c r="B2185" s="1" t="n">
        <v>45044</v>
      </c>
      <c r="C2185" s="1" t="n">
        <v>45645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19308-2023</t>
        </is>
      </c>
      <c r="B2186" s="1" t="n">
        <v>45049</v>
      </c>
      <c r="C2186" s="1" t="n">
        <v>45645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19519-2023</t>
        </is>
      </c>
      <c r="B2187" s="1" t="n">
        <v>45050</v>
      </c>
      <c r="C2187" s="1" t="n">
        <v>45645</v>
      </c>
      <c r="D2187" t="inlineStr">
        <is>
          <t>VÄSTERNORRLANDS LÄN</t>
        </is>
      </c>
      <c r="E2187" t="inlineStr">
        <is>
          <t>ÖRNSKÖLDSVIK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19582-2023</t>
        </is>
      </c>
      <c r="B2188" s="1" t="n">
        <v>45050</v>
      </c>
      <c r="C2188" s="1" t="n">
        <v>45645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19509-2023</t>
        </is>
      </c>
      <c r="B2189" s="1" t="n">
        <v>45050</v>
      </c>
      <c r="C2189" s="1" t="n">
        <v>45645</v>
      </c>
      <c r="D2189" t="inlineStr">
        <is>
          <t>VÄSTERNORRLANDS LÄN</t>
        </is>
      </c>
      <c r="E2189" t="inlineStr">
        <is>
          <t>ÖRNSKÖLDSVIK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19514-2023</t>
        </is>
      </c>
      <c r="B2190" s="1" t="n">
        <v>45050</v>
      </c>
      <c r="C2190" s="1" t="n">
        <v>45645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19670-2023</t>
        </is>
      </c>
      <c r="B2191" s="1" t="n">
        <v>45051</v>
      </c>
      <c r="C2191" s="1" t="n">
        <v>45645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19648-2023</t>
        </is>
      </c>
      <c r="B2192" s="1" t="n">
        <v>45051</v>
      </c>
      <c r="C2192" s="1" t="n">
        <v>45645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19681-2023</t>
        </is>
      </c>
      <c r="B2193" s="1" t="n">
        <v>45051</v>
      </c>
      <c r="C2193" s="1" t="n">
        <v>45645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19710-2023</t>
        </is>
      </c>
      <c r="B2194" s="1" t="n">
        <v>45051</v>
      </c>
      <c r="C2194" s="1" t="n">
        <v>45645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19813-2023</t>
        </is>
      </c>
      <c r="B2195" s="1" t="n">
        <v>45051</v>
      </c>
      <c r="C2195" s="1" t="n">
        <v>45645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19983-2023</t>
        </is>
      </c>
      <c r="B2196" s="1" t="n">
        <v>45054</v>
      </c>
      <c r="C2196" s="1" t="n">
        <v>45645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19977-2023</t>
        </is>
      </c>
      <c r="B2197" s="1" t="n">
        <v>45054</v>
      </c>
      <c r="C2197" s="1" t="n">
        <v>45645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20217-2023</t>
        </is>
      </c>
      <c r="B2198" s="1" t="n">
        <v>45054</v>
      </c>
      <c r="C2198" s="1" t="n">
        <v>45645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19908-2023</t>
        </is>
      </c>
      <c r="B2199" s="1" t="n">
        <v>45054</v>
      </c>
      <c r="C2199" s="1" t="n">
        <v>45645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20319-2023</t>
        </is>
      </c>
      <c r="B2200" s="1" t="n">
        <v>45056</v>
      </c>
      <c r="C2200" s="1" t="n">
        <v>45645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21002-2023</t>
        </is>
      </c>
      <c r="B2201" s="1" t="n">
        <v>45056</v>
      </c>
      <c r="C2201" s="1" t="n">
        <v>45645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20483-2023</t>
        </is>
      </c>
      <c r="B2202" s="1" t="n">
        <v>45057</v>
      </c>
      <c r="C2202" s="1" t="n">
        <v>45645</v>
      </c>
      <c r="D2202" t="inlineStr">
        <is>
          <t>VÄSTERNORRLANDS LÄN</t>
        </is>
      </c>
      <c r="E2202" t="inlineStr">
        <is>
          <t>ÖRNSKÖLDSVIK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20488-2023</t>
        </is>
      </c>
      <c r="B2203" s="1" t="n">
        <v>45057</v>
      </c>
      <c r="C2203" s="1" t="n">
        <v>45645</v>
      </c>
      <c r="D2203" t="inlineStr">
        <is>
          <t>VÄSTERNORRLANDS LÄN</t>
        </is>
      </c>
      <c r="E2203" t="inlineStr">
        <is>
          <t>ÖRNSKÖLDSVIK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20497-2023</t>
        </is>
      </c>
      <c r="B2204" s="1" t="n">
        <v>45057</v>
      </c>
      <c r="C2204" s="1" t="n">
        <v>45645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20544-2023</t>
        </is>
      </c>
      <c r="B2205" s="1" t="n">
        <v>45057</v>
      </c>
      <c r="C2205" s="1" t="n">
        <v>45645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20523-2023</t>
        </is>
      </c>
      <c r="B2206" s="1" t="n">
        <v>45057</v>
      </c>
      <c r="C2206" s="1" t="n">
        <v>45645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20547-2023</t>
        </is>
      </c>
      <c r="B2207" s="1" t="n">
        <v>45057</v>
      </c>
      <c r="C2207" s="1" t="n">
        <v>45645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20548-2023</t>
        </is>
      </c>
      <c r="B2208" s="1" t="n">
        <v>45057</v>
      </c>
      <c r="C2208" s="1" t="n">
        <v>45645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20552-2023</t>
        </is>
      </c>
      <c r="B2209" s="1" t="n">
        <v>45057</v>
      </c>
      <c r="C2209" s="1" t="n">
        <v>45645</v>
      </c>
      <c r="D2209" t="inlineStr">
        <is>
          <t>VÄSTERNORRLANDS LÄN</t>
        </is>
      </c>
      <c r="E2209" t="inlineStr">
        <is>
          <t>ÖRNSKÖLDSVIK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20678-2023</t>
        </is>
      </c>
      <c r="B2210" s="1" t="n">
        <v>45058</v>
      </c>
      <c r="C2210" s="1" t="n">
        <v>45645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20649-2023</t>
        </is>
      </c>
      <c r="B2211" s="1" t="n">
        <v>45058</v>
      </c>
      <c r="C2211" s="1" t="n">
        <v>45645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20712-2023</t>
        </is>
      </c>
      <c r="B2212" s="1" t="n">
        <v>45058</v>
      </c>
      <c r="C2212" s="1" t="n">
        <v>45645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20807-2023</t>
        </is>
      </c>
      <c r="B2213" s="1" t="n">
        <v>45058</v>
      </c>
      <c r="C2213" s="1" t="n">
        <v>45645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21234-2023</t>
        </is>
      </c>
      <c r="B2214" s="1" t="n">
        <v>45058</v>
      </c>
      <c r="C2214" s="1" t="n">
        <v>45645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21264-2023</t>
        </is>
      </c>
      <c r="B2215" s="1" t="n">
        <v>45058</v>
      </c>
      <c r="C2215" s="1" t="n">
        <v>45645</v>
      </c>
      <c r="D2215" t="inlineStr">
        <is>
          <t>VÄSTERNORRLANDS LÄN</t>
        </is>
      </c>
      <c r="E2215" t="inlineStr">
        <is>
          <t>ÖRNSKÖLDSVIK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20943-2023</t>
        </is>
      </c>
      <c r="B2216" s="1" t="n">
        <v>45061</v>
      </c>
      <c r="C2216" s="1" t="n">
        <v>45645</v>
      </c>
      <c r="D2216" t="inlineStr">
        <is>
          <t>VÄSTERNORRLANDS LÄN</t>
        </is>
      </c>
      <c r="E2216" t="inlineStr">
        <is>
          <t>ÖRNSKÖLDSVIK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21323-2023</t>
        </is>
      </c>
      <c r="B2217" s="1" t="n">
        <v>45062</v>
      </c>
      <c r="C2217" s="1" t="n">
        <v>45645</v>
      </c>
      <c r="D2217" t="inlineStr">
        <is>
          <t>VÄSTERNORRLANDS LÄN</t>
        </is>
      </c>
      <c r="E2217" t="inlineStr">
        <is>
          <t>ÖRNSKÖLDSVIK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21479-2023</t>
        </is>
      </c>
      <c r="B2218" s="1" t="n">
        <v>45063</v>
      </c>
      <c r="C2218" s="1" t="n">
        <v>45645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21489-2023</t>
        </is>
      </c>
      <c r="B2219" s="1" t="n">
        <v>45063</v>
      </c>
      <c r="C2219" s="1" t="n">
        <v>45645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21535-2023</t>
        </is>
      </c>
      <c r="B2220" s="1" t="n">
        <v>45063</v>
      </c>
      <c r="C2220" s="1" t="n">
        <v>45645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21415-2023</t>
        </is>
      </c>
      <c r="B2221" s="1" t="n">
        <v>45063</v>
      </c>
      <c r="C2221" s="1" t="n">
        <v>45645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21461-2023</t>
        </is>
      </c>
      <c r="B2222" s="1" t="n">
        <v>45063</v>
      </c>
      <c r="C2222" s="1" t="n">
        <v>45645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21482-2023</t>
        </is>
      </c>
      <c r="B2223" s="1" t="n">
        <v>45063</v>
      </c>
      <c r="C2223" s="1" t="n">
        <v>45645</v>
      </c>
      <c r="D2223" t="inlineStr">
        <is>
          <t>VÄSTERNORRLANDS LÄN</t>
        </is>
      </c>
      <c r="E2223" t="inlineStr">
        <is>
          <t>ÖRNSKÖLDSVIK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21499-2023</t>
        </is>
      </c>
      <c r="B2224" s="1" t="n">
        <v>45063</v>
      </c>
      <c r="C2224" s="1" t="n">
        <v>45645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21490-2023</t>
        </is>
      </c>
      <c r="B2225" s="1" t="n">
        <v>45063</v>
      </c>
      <c r="C2225" s="1" t="n">
        <v>45645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21545-2023</t>
        </is>
      </c>
      <c r="B2226" s="1" t="n">
        <v>45063</v>
      </c>
      <c r="C2226" s="1" t="n">
        <v>45645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21623-2023</t>
        </is>
      </c>
      <c r="B2227" s="1" t="n">
        <v>45063</v>
      </c>
      <c r="C2227" s="1" t="n">
        <v>45645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21538-2023</t>
        </is>
      </c>
      <c r="B2228" s="1" t="n">
        <v>45063</v>
      </c>
      <c r="C2228" s="1" t="n">
        <v>45645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21640-2023</t>
        </is>
      </c>
      <c r="B2229" s="1" t="n">
        <v>45063</v>
      </c>
      <c r="C2229" s="1" t="n">
        <v>45645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21759-2023</t>
        </is>
      </c>
      <c r="B2230" s="1" t="n">
        <v>45063</v>
      </c>
      <c r="C2230" s="1" t="n">
        <v>45645</v>
      </c>
      <c r="D2230" t="inlineStr">
        <is>
          <t>VÄSTERNORRLANDS LÄN</t>
        </is>
      </c>
      <c r="E2230" t="inlineStr">
        <is>
          <t>ÖRNSKÖLDSVIK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21737-2023</t>
        </is>
      </c>
      <c r="B2231" s="1" t="n">
        <v>45065</v>
      </c>
      <c r="C2231" s="1" t="n">
        <v>45645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21881-2023</t>
        </is>
      </c>
      <c r="B2232" s="1" t="n">
        <v>45065</v>
      </c>
      <c r="C2232" s="1" t="n">
        <v>45645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22261-2023</t>
        </is>
      </c>
      <c r="B2233" s="1" t="n">
        <v>45068</v>
      </c>
      <c r="C2233" s="1" t="n">
        <v>45645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22256-2023</t>
        </is>
      </c>
      <c r="B2234" s="1" t="n">
        <v>45068</v>
      </c>
      <c r="C2234" s="1" t="n">
        <v>45645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21890-2023</t>
        </is>
      </c>
      <c r="B2235" s="1" t="n">
        <v>45068</v>
      </c>
      <c r="C2235" s="1" t="n">
        <v>45645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22263-2023</t>
        </is>
      </c>
      <c r="B2236" s="1" t="n">
        <v>45068</v>
      </c>
      <c r="C2236" s="1" t="n">
        <v>45645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22512-2023</t>
        </is>
      </c>
      <c r="B2237" s="1" t="n">
        <v>45069</v>
      </c>
      <c r="C2237" s="1" t="n">
        <v>45645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22515-2023</t>
        </is>
      </c>
      <c r="B2238" s="1" t="n">
        <v>45069</v>
      </c>
      <c r="C2238" s="1" t="n">
        <v>45645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22547-2023</t>
        </is>
      </c>
      <c r="B2239" s="1" t="n">
        <v>45069</v>
      </c>
      <c r="C2239" s="1" t="n">
        <v>45645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22532-2023</t>
        </is>
      </c>
      <c r="B2240" s="1" t="n">
        <v>45069</v>
      </c>
      <c r="C2240" s="1" t="n">
        <v>45645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22357-2023</t>
        </is>
      </c>
      <c r="B2241" s="1" t="n">
        <v>45070</v>
      </c>
      <c r="C2241" s="1" t="n">
        <v>45645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22388-2023</t>
        </is>
      </c>
      <c r="B2242" s="1" t="n">
        <v>45070</v>
      </c>
      <c r="C2242" s="1" t="n">
        <v>45645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22946-2023</t>
        </is>
      </c>
      <c r="B2243" s="1" t="n">
        <v>45070</v>
      </c>
      <c r="C2243" s="1" t="n">
        <v>45645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22861-2023</t>
        </is>
      </c>
      <c r="B2244" s="1" t="n">
        <v>45070</v>
      </c>
      <c r="C2244" s="1" t="n">
        <v>45645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22572-2023</t>
        </is>
      </c>
      <c r="B2245" s="1" t="n">
        <v>45071</v>
      </c>
      <c r="C2245" s="1" t="n">
        <v>45645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22552-2023</t>
        </is>
      </c>
      <c r="B2246" s="1" t="n">
        <v>45071</v>
      </c>
      <c r="C2246" s="1" t="n">
        <v>45645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22520-2023</t>
        </is>
      </c>
      <c r="B2247" s="1" t="n">
        <v>45071</v>
      </c>
      <c r="C2247" s="1" t="n">
        <v>45645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22565-2023</t>
        </is>
      </c>
      <c r="B2248" s="1" t="n">
        <v>45071</v>
      </c>
      <c r="C2248" s="1" t="n">
        <v>45645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23644-2023</t>
        </is>
      </c>
      <c r="B2249" s="1" t="n">
        <v>45072</v>
      </c>
      <c r="C2249" s="1" t="n">
        <v>45645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23596-2023</t>
        </is>
      </c>
      <c r="B2250" s="1" t="n">
        <v>45072</v>
      </c>
      <c r="C2250" s="1" t="n">
        <v>45645</v>
      </c>
      <c r="D2250" t="inlineStr">
        <is>
          <t>VÄSTERNORRLANDS LÄN</t>
        </is>
      </c>
      <c r="E2250" t="inlineStr">
        <is>
          <t>ÖRNSKÖLDSVIK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23100-2023</t>
        </is>
      </c>
      <c r="B2251" s="1" t="n">
        <v>45075</v>
      </c>
      <c r="C2251" s="1" t="n">
        <v>45645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23097-2023</t>
        </is>
      </c>
      <c r="B2252" s="1" t="n">
        <v>45075</v>
      </c>
      <c r="C2252" s="1" t="n">
        <v>45645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23336-2023</t>
        </is>
      </c>
      <c r="B2253" s="1" t="n">
        <v>45076</v>
      </c>
      <c r="C2253" s="1" t="n">
        <v>45645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23428-2023</t>
        </is>
      </c>
      <c r="B2254" s="1" t="n">
        <v>45076</v>
      </c>
      <c r="C2254" s="1" t="n">
        <v>45645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23432-2023</t>
        </is>
      </c>
      <c r="B2255" s="1" t="n">
        <v>45076</v>
      </c>
      <c r="C2255" s="1" t="n">
        <v>45645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23329-2023</t>
        </is>
      </c>
      <c r="B2256" s="1" t="n">
        <v>45076</v>
      </c>
      <c r="C2256" s="1" t="n">
        <v>45645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23471-2023</t>
        </is>
      </c>
      <c r="B2257" s="1" t="n">
        <v>45076</v>
      </c>
      <c r="C2257" s="1" t="n">
        <v>45645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23433-2023</t>
        </is>
      </c>
      <c r="B2258" s="1" t="n">
        <v>45076</v>
      </c>
      <c r="C2258" s="1" t="n">
        <v>45645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23470-2023</t>
        </is>
      </c>
      <c r="B2259" s="1" t="n">
        <v>45076</v>
      </c>
      <c r="C2259" s="1" t="n">
        <v>45645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23482-2023</t>
        </is>
      </c>
      <c r="B2260" s="1" t="n">
        <v>45076</v>
      </c>
      <c r="C2260" s="1" t="n">
        <v>45645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24366-2023</t>
        </is>
      </c>
      <c r="B2261" s="1" t="n">
        <v>45076</v>
      </c>
      <c r="C2261" s="1" t="n">
        <v>45645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23640-2023</t>
        </is>
      </c>
      <c r="B2262" s="1" t="n">
        <v>45077</v>
      </c>
      <c r="C2262" s="1" t="n">
        <v>45645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23725-2023</t>
        </is>
      </c>
      <c r="B2263" s="1" t="n">
        <v>45077</v>
      </c>
      <c r="C2263" s="1" t="n">
        <v>45645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23775-2023</t>
        </is>
      </c>
      <c r="B2264" s="1" t="n">
        <v>45078</v>
      </c>
      <c r="C2264" s="1" t="n">
        <v>45645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63.6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24531-2023</t>
        </is>
      </c>
      <c r="B2265" s="1" t="n">
        <v>45077</v>
      </c>
      <c r="C2265" s="1" t="n">
        <v>45645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23788-2023</t>
        </is>
      </c>
      <c r="B2266" s="1" t="n">
        <v>45078</v>
      </c>
      <c r="C2266" s="1" t="n">
        <v>45645</v>
      </c>
      <c r="D2266" t="inlineStr">
        <is>
          <t>VÄSTERNORRLANDS LÄN</t>
        </is>
      </c>
      <c r="E2266" t="inlineStr">
        <is>
          <t>ÖRNSKÖLDSVIK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23840-2023</t>
        </is>
      </c>
      <c r="B2267" s="1" t="n">
        <v>45078</v>
      </c>
      <c r="C2267" s="1" t="n">
        <v>45645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23804-2023</t>
        </is>
      </c>
      <c r="B2268" s="1" t="n">
        <v>45078</v>
      </c>
      <c r="C2268" s="1" t="n">
        <v>45645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23790-2023</t>
        </is>
      </c>
      <c r="B2269" s="1" t="n">
        <v>45078</v>
      </c>
      <c r="C2269" s="1" t="n">
        <v>45645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23891-2023</t>
        </is>
      </c>
      <c r="B2270" s="1" t="n">
        <v>45078</v>
      </c>
      <c r="C2270" s="1" t="n">
        <v>45645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23944-2023</t>
        </is>
      </c>
      <c r="B2271" s="1" t="n">
        <v>45078</v>
      </c>
      <c r="C2271" s="1" t="n">
        <v>45645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23976-2023</t>
        </is>
      </c>
      <c r="B2272" s="1" t="n">
        <v>45078</v>
      </c>
      <c r="C2272" s="1" t="n">
        <v>45645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24895-2023</t>
        </is>
      </c>
      <c r="B2273" s="1" t="n">
        <v>45078</v>
      </c>
      <c r="C2273" s="1" t="n">
        <v>45645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24902-2023</t>
        </is>
      </c>
      <c r="B2274" s="1" t="n">
        <v>45078</v>
      </c>
      <c r="C2274" s="1" t="n">
        <v>45645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25003-2023</t>
        </is>
      </c>
      <c r="B2275" s="1" t="n">
        <v>45078</v>
      </c>
      <c r="C2275" s="1" t="n">
        <v>45645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24915-2023</t>
        </is>
      </c>
      <c r="B2276" s="1" t="n">
        <v>45078</v>
      </c>
      <c r="C2276" s="1" t="n">
        <v>45645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25082-2023</t>
        </is>
      </c>
      <c r="B2277" s="1" t="n">
        <v>45078</v>
      </c>
      <c r="C2277" s="1" t="n">
        <v>45645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24102-2023</t>
        </is>
      </c>
      <c r="B2278" s="1" t="n">
        <v>45079</v>
      </c>
      <c r="C2278" s="1" t="n">
        <v>45645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24175-2023</t>
        </is>
      </c>
      <c r="B2279" s="1" t="n">
        <v>45079</v>
      </c>
      <c r="C2279" s="1" t="n">
        <v>45645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25210-2023</t>
        </is>
      </c>
      <c r="B2280" s="1" t="n">
        <v>45079</v>
      </c>
      <c r="C2280" s="1" t="n">
        <v>45645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24487-2023</t>
        </is>
      </c>
      <c r="B2281" s="1" t="n">
        <v>45082</v>
      </c>
      <c r="C2281" s="1" t="n">
        <v>45645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24497-2023</t>
        </is>
      </c>
      <c r="B2282" s="1" t="n">
        <v>45082</v>
      </c>
      <c r="C2282" s="1" t="n">
        <v>45645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24534-2023</t>
        </is>
      </c>
      <c r="B2283" s="1" t="n">
        <v>45082</v>
      </c>
      <c r="C2283" s="1" t="n">
        <v>45645</v>
      </c>
      <c r="D2283" t="inlineStr">
        <is>
          <t>VÄSTERNORRLANDS LÄN</t>
        </is>
      </c>
      <c r="E2283" t="inlineStr">
        <is>
          <t>ÖRNSKÖLDSVIK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24672-2023</t>
        </is>
      </c>
      <c r="B2284" s="1" t="n">
        <v>45084</v>
      </c>
      <c r="C2284" s="1" t="n">
        <v>45645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24754-2023</t>
        </is>
      </c>
      <c r="B2285" s="1" t="n">
        <v>45084</v>
      </c>
      <c r="C2285" s="1" t="n">
        <v>45645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24641-2023</t>
        </is>
      </c>
      <c r="B2286" s="1" t="n">
        <v>45084</v>
      </c>
      <c r="C2286" s="1" t="n">
        <v>45645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24786-2023</t>
        </is>
      </c>
      <c r="B2287" s="1" t="n">
        <v>45084</v>
      </c>
      <c r="C2287" s="1" t="n">
        <v>45645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24803-2023</t>
        </is>
      </c>
      <c r="B2288" s="1" t="n">
        <v>45084</v>
      </c>
      <c r="C2288" s="1" t="n">
        <v>45645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25620-2023</t>
        </is>
      </c>
      <c r="B2289" s="1" t="n">
        <v>45084</v>
      </c>
      <c r="C2289" s="1" t="n">
        <v>45645</v>
      </c>
      <c r="D2289" t="inlineStr">
        <is>
          <t>VÄSTERNORRLANDS LÄN</t>
        </is>
      </c>
      <c r="E2289" t="inlineStr">
        <is>
          <t>ÖRNSKÖLDSVIK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25774-2023</t>
        </is>
      </c>
      <c r="B2290" s="1" t="n">
        <v>45084</v>
      </c>
      <c r="C2290" s="1" t="n">
        <v>45645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25630-2023</t>
        </is>
      </c>
      <c r="B2291" s="1" t="n">
        <v>45084</v>
      </c>
      <c r="C2291" s="1" t="n">
        <v>45645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24848-2023</t>
        </is>
      </c>
      <c r="B2292" s="1" t="n">
        <v>45085</v>
      </c>
      <c r="C2292" s="1" t="n">
        <v>45645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24867-2023</t>
        </is>
      </c>
      <c r="B2293" s="1" t="n">
        <v>45085</v>
      </c>
      <c r="C2293" s="1" t="n">
        <v>45645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24842-2023</t>
        </is>
      </c>
      <c r="B2294" s="1" t="n">
        <v>45085</v>
      </c>
      <c r="C2294" s="1" t="n">
        <v>45645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25927-2023</t>
        </is>
      </c>
      <c r="B2295" s="1" t="n">
        <v>45085</v>
      </c>
      <c r="C2295" s="1" t="n">
        <v>45645</v>
      </c>
      <c r="D2295" t="inlineStr">
        <is>
          <t>VÄSTERNORRLANDS LÄN</t>
        </is>
      </c>
      <c r="E2295" t="inlineStr">
        <is>
          <t>ÖRNSKÖLDSVIK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24994-2023</t>
        </is>
      </c>
      <c r="B2296" s="1" t="n">
        <v>45085</v>
      </c>
      <c r="C2296" s="1" t="n">
        <v>45645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25796-2023</t>
        </is>
      </c>
      <c r="B2297" s="1" t="n">
        <v>45085</v>
      </c>
      <c r="C2297" s="1" t="n">
        <v>45645</v>
      </c>
      <c r="D2297" t="inlineStr">
        <is>
          <t>VÄSTERNORRLANDS LÄN</t>
        </is>
      </c>
      <c r="E2297" t="inlineStr">
        <is>
          <t>ÖRNSKÖLDSVIK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25072-2023</t>
        </is>
      </c>
      <c r="B2298" s="1" t="n">
        <v>45086</v>
      </c>
      <c r="C2298" s="1" t="n">
        <v>45645</v>
      </c>
      <c r="D2298" t="inlineStr">
        <is>
          <t>VÄSTERNORRLANDS LÄN</t>
        </is>
      </c>
      <c r="E2298" t="inlineStr">
        <is>
          <t>ÖRNSKÖLDSVIK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25146-2023</t>
        </is>
      </c>
      <c r="B2299" s="1" t="n">
        <v>45086</v>
      </c>
      <c r="C2299" s="1" t="n">
        <v>45645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45087</v>
      </c>
      <c r="C2300" s="1" t="n">
        <v>45645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25151-2023</t>
        </is>
      </c>
      <c r="B2301" s="1" t="n">
        <v>45086</v>
      </c>
      <c r="C2301" s="1" t="n">
        <v>45645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25447-2023</t>
        </is>
      </c>
      <c r="B2302" s="1" t="n">
        <v>45089</v>
      </c>
      <c r="C2302" s="1" t="n">
        <v>45645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25480-2023</t>
        </is>
      </c>
      <c r="B2303" s="1" t="n">
        <v>45089</v>
      </c>
      <c r="C2303" s="1" t="n">
        <v>45645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26429-2023</t>
        </is>
      </c>
      <c r="B2304" s="1" t="n">
        <v>45089</v>
      </c>
      <c r="C2304" s="1" t="n">
        <v>45645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26457-2023</t>
        </is>
      </c>
      <c r="B2305" s="1" t="n">
        <v>45089</v>
      </c>
      <c r="C2305" s="1" t="n">
        <v>45645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25985-2023</t>
        </is>
      </c>
      <c r="B2306" s="1" t="n">
        <v>45091</v>
      </c>
      <c r="C2306" s="1" t="n">
        <v>45645</v>
      </c>
      <c r="D2306" t="inlineStr">
        <is>
          <t>VÄSTERNORRLANDS LÄN</t>
        </is>
      </c>
      <c r="E2306" t="inlineStr">
        <is>
          <t>ÖRNSKÖLDSVIK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26835-2023</t>
        </is>
      </c>
      <c r="B2307" s="1" t="n">
        <v>45090</v>
      </c>
      <c r="C2307" s="1" t="n">
        <v>45645</v>
      </c>
      <c r="D2307" t="inlineStr">
        <is>
          <t>VÄSTERNORRLANDS LÄN</t>
        </is>
      </c>
      <c r="E2307" t="inlineStr">
        <is>
          <t>ÖRNSKÖLDSVIK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26235-2023</t>
        </is>
      </c>
      <c r="B2308" s="1" t="n">
        <v>45091</v>
      </c>
      <c r="C2308" s="1" t="n">
        <v>45645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26974-2023</t>
        </is>
      </c>
      <c r="B2309" s="1" t="n">
        <v>45091</v>
      </c>
      <c r="C2309" s="1" t="n">
        <v>45645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26658-2023</t>
        </is>
      </c>
      <c r="B2310" s="1" t="n">
        <v>45093</v>
      </c>
      <c r="C2310" s="1" t="n">
        <v>45645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27197-2023</t>
        </is>
      </c>
      <c r="B2311" s="1" t="n">
        <v>45092</v>
      </c>
      <c r="C2311" s="1" t="n">
        <v>45645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27211-2023</t>
        </is>
      </c>
      <c r="B2312" s="1" t="n">
        <v>45092</v>
      </c>
      <c r="C2312" s="1" t="n">
        <v>45645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26878-2023</t>
        </is>
      </c>
      <c r="B2313" s="1" t="n">
        <v>45093</v>
      </c>
      <c r="C2313" s="1" t="n">
        <v>45645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26899-2023</t>
        </is>
      </c>
      <c r="B2314" s="1" t="n">
        <v>45093</v>
      </c>
      <c r="C2314" s="1" t="n">
        <v>45645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27111-2023</t>
        </is>
      </c>
      <c r="B2315" s="1" t="n">
        <v>45096</v>
      </c>
      <c r="C2315" s="1" t="n">
        <v>45645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27087-2023</t>
        </is>
      </c>
      <c r="B2316" s="1" t="n">
        <v>45096</v>
      </c>
      <c r="C2316" s="1" t="n">
        <v>45645</v>
      </c>
      <c r="D2316" t="inlineStr">
        <is>
          <t>VÄSTERNORRLANDS LÄN</t>
        </is>
      </c>
      <c r="E2316" t="inlineStr">
        <is>
          <t>ÖRNSKÖLDSVIK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27092-2023</t>
        </is>
      </c>
      <c r="B2317" s="1" t="n">
        <v>45096</v>
      </c>
      <c r="C2317" s="1" t="n">
        <v>45645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27158-2023</t>
        </is>
      </c>
      <c r="B2318" s="1" t="n">
        <v>45096</v>
      </c>
      <c r="C2318" s="1" t="n">
        <v>45645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27276-2023</t>
        </is>
      </c>
      <c r="B2319" s="1" t="n">
        <v>45096</v>
      </c>
      <c r="C2319" s="1" t="n">
        <v>45645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27316-2023</t>
        </is>
      </c>
      <c r="B2320" s="1" t="n">
        <v>45096</v>
      </c>
      <c r="C2320" s="1" t="n">
        <v>45645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28651-2023</t>
        </is>
      </c>
      <c r="B2321" s="1" t="n">
        <v>45096</v>
      </c>
      <c r="C2321" s="1" t="n">
        <v>45645</v>
      </c>
      <c r="D2321" t="inlineStr">
        <is>
          <t>VÄSTERNORRLANDS LÄN</t>
        </is>
      </c>
      <c r="E2321" t="inlineStr">
        <is>
          <t>ÖRNSKÖLDSVIK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27428-2023</t>
        </is>
      </c>
      <c r="B2322" s="1" t="n">
        <v>45097</v>
      </c>
      <c r="C2322" s="1" t="n">
        <v>45645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27432-2023</t>
        </is>
      </c>
      <c r="B2323" s="1" t="n">
        <v>45097</v>
      </c>
      <c r="C2323" s="1" t="n">
        <v>45645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27498-2023</t>
        </is>
      </c>
      <c r="B2324" s="1" t="n">
        <v>45097</v>
      </c>
      <c r="C2324" s="1" t="n">
        <v>45645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27419-2023</t>
        </is>
      </c>
      <c r="B2325" s="1" t="n">
        <v>45097</v>
      </c>
      <c r="C2325" s="1" t="n">
        <v>45645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27649-2023</t>
        </is>
      </c>
      <c r="B2326" s="1" t="n">
        <v>45097</v>
      </c>
      <c r="C2326" s="1" t="n">
        <v>45645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28.2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27468-2023</t>
        </is>
      </c>
      <c r="B2327" s="1" t="n">
        <v>45097</v>
      </c>
      <c r="C2327" s="1" t="n">
        <v>45645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29136-2023</t>
        </is>
      </c>
      <c r="B2328" s="1" t="n">
        <v>45097</v>
      </c>
      <c r="C2328" s="1" t="n">
        <v>45645</v>
      </c>
      <c r="D2328" t="inlineStr">
        <is>
          <t>VÄSTERNORRLANDS LÄN</t>
        </is>
      </c>
      <c r="E2328" t="inlineStr">
        <is>
          <t>ÖRNSKÖLDSVIK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29187-2023</t>
        </is>
      </c>
      <c r="B2329" s="1" t="n">
        <v>45097</v>
      </c>
      <c r="C2329" s="1" t="n">
        <v>45645</v>
      </c>
      <c r="D2329" t="inlineStr">
        <is>
          <t>VÄSTERNORRLANDS LÄN</t>
        </is>
      </c>
      <c r="E2329" t="inlineStr">
        <is>
          <t>ÖRNSKÖLDSVIK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27825-2023</t>
        </is>
      </c>
      <c r="B2330" s="1" t="n">
        <v>45098</v>
      </c>
      <c r="C2330" s="1" t="n">
        <v>45645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27818-2023</t>
        </is>
      </c>
      <c r="B2331" s="1" t="n">
        <v>45098</v>
      </c>
      <c r="C2331" s="1" t="n">
        <v>45645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27847-2023</t>
        </is>
      </c>
      <c r="B2332" s="1" t="n">
        <v>45098</v>
      </c>
      <c r="C2332" s="1" t="n">
        <v>45645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27799-2023</t>
        </is>
      </c>
      <c r="B2333" s="1" t="n">
        <v>45098</v>
      </c>
      <c r="C2333" s="1" t="n">
        <v>45645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27874-2023</t>
        </is>
      </c>
      <c r="B2334" s="1" t="n">
        <v>45098</v>
      </c>
      <c r="C2334" s="1" t="n">
        <v>45645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27842-2023</t>
        </is>
      </c>
      <c r="B2335" s="1" t="n">
        <v>45098</v>
      </c>
      <c r="C2335" s="1" t="n">
        <v>45645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27872-2023</t>
        </is>
      </c>
      <c r="B2336" s="1" t="n">
        <v>45098</v>
      </c>
      <c r="C2336" s="1" t="n">
        <v>45645</v>
      </c>
      <c r="D2336" t="inlineStr">
        <is>
          <t>VÄSTERNORRLANDS LÄN</t>
        </is>
      </c>
      <c r="E2336" t="inlineStr">
        <is>
          <t>ÖRNSKÖLDSVIK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27819-2023</t>
        </is>
      </c>
      <c r="B2337" s="1" t="n">
        <v>45098</v>
      </c>
      <c r="C2337" s="1" t="n">
        <v>45645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27863-2023</t>
        </is>
      </c>
      <c r="B2338" s="1" t="n">
        <v>45098</v>
      </c>
      <c r="C2338" s="1" t="n">
        <v>45645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27897-2023</t>
        </is>
      </c>
      <c r="B2339" s="1" t="n">
        <v>45098</v>
      </c>
      <c r="C2339" s="1" t="n">
        <v>45645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27952-2023</t>
        </is>
      </c>
      <c r="B2340" s="1" t="n">
        <v>45098</v>
      </c>
      <c r="C2340" s="1" t="n">
        <v>45645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27938-2023</t>
        </is>
      </c>
      <c r="B2341" s="1" t="n">
        <v>45098</v>
      </c>
      <c r="C2341" s="1" t="n">
        <v>45645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29479-2023</t>
        </is>
      </c>
      <c r="B2342" s="1" t="n">
        <v>45098</v>
      </c>
      <c r="C2342" s="1" t="n">
        <v>45645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28030-2023</t>
        </is>
      </c>
      <c r="B2343" s="1" t="n">
        <v>45099</v>
      </c>
      <c r="C2343" s="1" t="n">
        <v>45645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28052-2023</t>
        </is>
      </c>
      <c r="B2344" s="1" t="n">
        <v>45099</v>
      </c>
      <c r="C2344" s="1" t="n">
        <v>45645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28091-2023</t>
        </is>
      </c>
      <c r="B2345" s="1" t="n">
        <v>45099</v>
      </c>
      <c r="C2345" s="1" t="n">
        <v>45645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28222-2023</t>
        </is>
      </c>
      <c r="B2346" s="1" t="n">
        <v>45099</v>
      </c>
      <c r="C2346" s="1" t="n">
        <v>45645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30186-2023</t>
        </is>
      </c>
      <c r="B2347" s="1" t="n">
        <v>45099</v>
      </c>
      <c r="C2347" s="1" t="n">
        <v>45645</v>
      </c>
      <c r="D2347" t="inlineStr">
        <is>
          <t>VÄSTERNORRLANDS LÄN</t>
        </is>
      </c>
      <c r="E2347" t="inlineStr">
        <is>
          <t>ÖRNSKÖLDSVIK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30268-2023</t>
        </is>
      </c>
      <c r="B2348" s="1" t="n">
        <v>45099</v>
      </c>
      <c r="C2348" s="1" t="n">
        <v>45645</v>
      </c>
      <c r="D2348" t="inlineStr">
        <is>
          <t>VÄSTERNORRLANDS LÄN</t>
        </is>
      </c>
      <c r="E2348" t="inlineStr">
        <is>
          <t>ÖRNSKÖLDSVIK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30171-2023</t>
        </is>
      </c>
      <c r="B2349" s="1" t="n">
        <v>45099</v>
      </c>
      <c r="C2349" s="1" t="n">
        <v>45645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28467-2023</t>
        </is>
      </c>
      <c r="B2350" s="1" t="n">
        <v>45103</v>
      </c>
      <c r="C2350" s="1" t="n">
        <v>45645</v>
      </c>
      <c r="D2350" t="inlineStr">
        <is>
          <t>VÄSTERNORRLANDS LÄN</t>
        </is>
      </c>
      <c r="E2350" t="inlineStr">
        <is>
          <t>ÖRNSKÖLDSVIK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28472-2023</t>
        </is>
      </c>
      <c r="B2351" s="1" t="n">
        <v>45103</v>
      </c>
      <c r="C2351" s="1" t="n">
        <v>45645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28514-2023</t>
        </is>
      </c>
      <c r="B2352" s="1" t="n">
        <v>45103</v>
      </c>
      <c r="C2352" s="1" t="n">
        <v>45645</v>
      </c>
      <c r="D2352" t="inlineStr">
        <is>
          <t>VÄSTERNORRLANDS LÄN</t>
        </is>
      </c>
      <c r="E2352" t="inlineStr">
        <is>
          <t>ÖRNSKÖLDSVIK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28518-2023</t>
        </is>
      </c>
      <c r="B2353" s="1" t="n">
        <v>45103</v>
      </c>
      <c r="C2353" s="1" t="n">
        <v>45645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28730-2023</t>
        </is>
      </c>
      <c r="B2354" s="1" t="n">
        <v>45103</v>
      </c>
      <c r="C2354" s="1" t="n">
        <v>45645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30972-2023</t>
        </is>
      </c>
      <c r="B2355" s="1" t="n">
        <v>45103</v>
      </c>
      <c r="C2355" s="1" t="n">
        <v>45645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31003-2023</t>
        </is>
      </c>
      <c r="B2356" s="1" t="n">
        <v>45103</v>
      </c>
      <c r="C2356" s="1" t="n">
        <v>45645</v>
      </c>
      <c r="D2356" t="inlineStr">
        <is>
          <t>VÄSTERNORRLANDS LÄN</t>
        </is>
      </c>
      <c r="E2356" t="inlineStr">
        <is>
          <t>ÖRNSKÖLDSVIK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28602-2023</t>
        </is>
      </c>
      <c r="B2357" s="1" t="n">
        <v>45103</v>
      </c>
      <c r="C2357" s="1" t="n">
        <v>45645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30978-2023</t>
        </is>
      </c>
      <c r="B2358" s="1" t="n">
        <v>45103</v>
      </c>
      <c r="C2358" s="1" t="n">
        <v>45645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28850-2023</t>
        </is>
      </c>
      <c r="B2359" s="1" t="n">
        <v>45104</v>
      </c>
      <c r="C2359" s="1" t="n">
        <v>45645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28861-2023</t>
        </is>
      </c>
      <c r="B2360" s="1" t="n">
        <v>45104</v>
      </c>
      <c r="C2360" s="1" t="n">
        <v>45645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28995-2023</t>
        </is>
      </c>
      <c r="B2361" s="1" t="n">
        <v>45104</v>
      </c>
      <c r="C2361" s="1" t="n">
        <v>45645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28830-2023</t>
        </is>
      </c>
      <c r="B2362" s="1" t="n">
        <v>45104</v>
      </c>
      <c r="C2362" s="1" t="n">
        <v>45645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28868-2023</t>
        </is>
      </c>
      <c r="B2363" s="1" t="n">
        <v>45104</v>
      </c>
      <c r="C2363" s="1" t="n">
        <v>45645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28886-2023</t>
        </is>
      </c>
      <c r="B2364" s="1" t="n">
        <v>45104</v>
      </c>
      <c r="C2364" s="1" t="n">
        <v>45645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28827-2023</t>
        </is>
      </c>
      <c r="B2365" s="1" t="n">
        <v>45104</v>
      </c>
      <c r="C2365" s="1" t="n">
        <v>45645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28849-2023</t>
        </is>
      </c>
      <c r="B2366" s="1" t="n">
        <v>45104</v>
      </c>
      <c r="C2366" s="1" t="n">
        <v>45645</v>
      </c>
      <c r="D2366" t="inlineStr">
        <is>
          <t>VÄSTERNORRLANDS LÄN</t>
        </is>
      </c>
      <c r="E2366" t="inlineStr">
        <is>
          <t>ÖRNSKÖLDSVIK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31476-2023</t>
        </is>
      </c>
      <c r="B2367" s="1" t="n">
        <v>45104</v>
      </c>
      <c r="C2367" s="1" t="n">
        <v>45645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31475-2023</t>
        </is>
      </c>
      <c r="B2368" s="1" t="n">
        <v>45104</v>
      </c>
      <c r="C2368" s="1" t="n">
        <v>45645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45645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29370-2023</t>
        </is>
      </c>
      <c r="B2370" s="1" t="n">
        <v>45104</v>
      </c>
      <c r="C2370" s="1" t="n">
        <v>45645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29151-2023</t>
        </is>
      </c>
      <c r="B2371" s="1" t="n">
        <v>45105</v>
      </c>
      <c r="C2371" s="1" t="n">
        <v>45645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29200-2023</t>
        </is>
      </c>
      <c r="B2372" s="1" t="n">
        <v>45105</v>
      </c>
      <c r="C2372" s="1" t="n">
        <v>45645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29206-2023</t>
        </is>
      </c>
      <c r="B2373" s="1" t="n">
        <v>45105</v>
      </c>
      <c r="C2373" s="1" t="n">
        <v>45645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29249-2023</t>
        </is>
      </c>
      <c r="B2374" s="1" t="n">
        <v>45105</v>
      </c>
      <c r="C2374" s="1" t="n">
        <v>45645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29169-2023</t>
        </is>
      </c>
      <c r="B2375" s="1" t="n">
        <v>45105</v>
      </c>
      <c r="C2375" s="1" t="n">
        <v>45645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29184-2023</t>
        </is>
      </c>
      <c r="B2376" s="1" t="n">
        <v>45105</v>
      </c>
      <c r="C2376" s="1" t="n">
        <v>45645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29341-2023</t>
        </is>
      </c>
      <c r="B2377" s="1" t="n">
        <v>45106</v>
      </c>
      <c r="C2377" s="1" t="n">
        <v>45645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37.5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29338-2023</t>
        </is>
      </c>
      <c r="B2378" s="1" t="n">
        <v>45106</v>
      </c>
      <c r="C2378" s="1" t="n">
        <v>45645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29111-2023</t>
        </is>
      </c>
      <c r="B2379" s="1" t="n">
        <v>45105</v>
      </c>
      <c r="C2379" s="1" t="n">
        <v>45645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29406-2023</t>
        </is>
      </c>
      <c r="B2380" s="1" t="n">
        <v>45106</v>
      </c>
      <c r="C2380" s="1" t="n">
        <v>45645</v>
      </c>
      <c r="D2380" t="inlineStr">
        <is>
          <t>VÄSTERNORRLANDS LÄN</t>
        </is>
      </c>
      <c r="E2380" t="inlineStr">
        <is>
          <t>ÖRNSKÖLDSVIK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29468-2023</t>
        </is>
      </c>
      <c r="B2381" s="1" t="n">
        <v>45106</v>
      </c>
      <c r="C2381" s="1" t="n">
        <v>45645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29423-2023</t>
        </is>
      </c>
      <c r="B2382" s="1" t="n">
        <v>45106</v>
      </c>
      <c r="C2382" s="1" t="n">
        <v>45645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29428-2023</t>
        </is>
      </c>
      <c r="B2383" s="1" t="n">
        <v>45106</v>
      </c>
      <c r="C2383" s="1" t="n">
        <v>45645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29462-2023</t>
        </is>
      </c>
      <c r="B2384" s="1" t="n">
        <v>45106</v>
      </c>
      <c r="C2384" s="1" t="n">
        <v>45645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29369-2023</t>
        </is>
      </c>
      <c r="B2385" s="1" t="n">
        <v>45106</v>
      </c>
      <c r="C2385" s="1" t="n">
        <v>45645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29409-2023</t>
        </is>
      </c>
      <c r="B2386" s="1" t="n">
        <v>45106</v>
      </c>
      <c r="C2386" s="1" t="n">
        <v>45645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29498-2023</t>
        </is>
      </c>
      <c r="B2387" s="1" t="n">
        <v>45106</v>
      </c>
      <c r="C2387" s="1" t="n">
        <v>45645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29525-2023</t>
        </is>
      </c>
      <c r="B2388" s="1" t="n">
        <v>45106</v>
      </c>
      <c r="C2388" s="1" t="n">
        <v>45645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29541-2023</t>
        </is>
      </c>
      <c r="B2389" s="1" t="n">
        <v>45106</v>
      </c>
      <c r="C2389" s="1" t="n">
        <v>45645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29501-2023</t>
        </is>
      </c>
      <c r="B2390" s="1" t="n">
        <v>45106</v>
      </c>
      <c r="C2390" s="1" t="n">
        <v>45645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29417-2023</t>
        </is>
      </c>
      <c r="B2391" s="1" t="n">
        <v>45106</v>
      </c>
      <c r="C2391" s="1" t="n">
        <v>45645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29425-2023</t>
        </is>
      </c>
      <c r="B2392" s="1" t="n">
        <v>45106</v>
      </c>
      <c r="C2392" s="1" t="n">
        <v>45645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29474-2023</t>
        </is>
      </c>
      <c r="B2393" s="1" t="n">
        <v>45106</v>
      </c>
      <c r="C2393" s="1" t="n">
        <v>45645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31770-2023</t>
        </is>
      </c>
      <c r="B2394" s="1" t="n">
        <v>45106</v>
      </c>
      <c r="C2394" s="1" t="n">
        <v>45645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29671-2023</t>
        </is>
      </c>
      <c r="B2395" s="1" t="n">
        <v>45107</v>
      </c>
      <c r="C2395" s="1" t="n">
        <v>45645</v>
      </c>
      <c r="D2395" t="inlineStr">
        <is>
          <t>VÄSTERNORRLANDS LÄN</t>
        </is>
      </c>
      <c r="E2395" t="inlineStr">
        <is>
          <t>ÖRNSKÖLDSVIK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29809-2023</t>
        </is>
      </c>
      <c r="B2396" s="1" t="n">
        <v>45107</v>
      </c>
      <c r="C2396" s="1" t="n">
        <v>45645</v>
      </c>
      <c r="D2396" t="inlineStr">
        <is>
          <t>VÄSTERNORRLANDS LÄN</t>
        </is>
      </c>
      <c r="E2396" t="inlineStr">
        <is>
          <t>ÖRNSKÖLDSVIK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29838-2023</t>
        </is>
      </c>
      <c r="B2397" s="1" t="n">
        <v>45107</v>
      </c>
      <c r="C2397" s="1" t="n">
        <v>45645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29740-2023</t>
        </is>
      </c>
      <c r="B2398" s="1" t="n">
        <v>45107</v>
      </c>
      <c r="C2398" s="1" t="n">
        <v>45645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29722-2023</t>
        </is>
      </c>
      <c r="B2399" s="1" t="n">
        <v>45107</v>
      </c>
      <c r="C2399" s="1" t="n">
        <v>45645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29842-2023</t>
        </is>
      </c>
      <c r="B2400" s="1" t="n">
        <v>45107</v>
      </c>
      <c r="C2400" s="1" t="n">
        <v>45645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32133-2023</t>
        </is>
      </c>
      <c r="B2401" s="1" t="n">
        <v>45107</v>
      </c>
      <c r="C2401" s="1" t="n">
        <v>45645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32137-2023</t>
        </is>
      </c>
      <c r="B2402" s="1" t="n">
        <v>45107</v>
      </c>
      <c r="C2402" s="1" t="n">
        <v>45645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30033-2023</t>
        </is>
      </c>
      <c r="B2403" s="1" t="n">
        <v>45110</v>
      </c>
      <c r="C2403" s="1" t="n">
        <v>45645</v>
      </c>
      <c r="D2403" t="inlineStr">
        <is>
          <t>VÄSTERNORRLANDS LÄN</t>
        </is>
      </c>
      <c r="E2403" t="inlineStr">
        <is>
          <t>ÖRNSKÖLDSVIK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30146-2023</t>
        </is>
      </c>
      <c r="B2404" s="1" t="n">
        <v>45110</v>
      </c>
      <c r="C2404" s="1" t="n">
        <v>45645</v>
      </c>
      <c r="D2404" t="inlineStr">
        <is>
          <t>VÄSTERNORRLANDS LÄN</t>
        </is>
      </c>
      <c r="E2404" t="inlineStr">
        <is>
          <t>ÖRNSKÖLDSVIK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32355-2023</t>
        </is>
      </c>
      <c r="B2405" s="1" t="n">
        <v>45110</v>
      </c>
      <c r="C2405" s="1" t="n">
        <v>45645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32406-2023</t>
        </is>
      </c>
      <c r="B2406" s="1" t="n">
        <v>45110</v>
      </c>
      <c r="C2406" s="1" t="n">
        <v>45645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32328-2023</t>
        </is>
      </c>
      <c r="B2407" s="1" t="n">
        <v>45110</v>
      </c>
      <c r="C2407" s="1" t="n">
        <v>45645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10.1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32348-2023</t>
        </is>
      </c>
      <c r="B2408" s="1" t="n">
        <v>45110</v>
      </c>
      <c r="C2408" s="1" t="n">
        <v>45645</v>
      </c>
      <c r="D2408" t="inlineStr">
        <is>
          <t>VÄSTERNORRLANDS LÄN</t>
        </is>
      </c>
      <c r="E2408" t="inlineStr">
        <is>
          <t>ÖRNSKÖLDSVIK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32388-2023</t>
        </is>
      </c>
      <c r="B2409" s="1" t="n">
        <v>45110</v>
      </c>
      <c r="C2409" s="1" t="n">
        <v>45645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32383-2023</t>
        </is>
      </c>
      <c r="B2410" s="1" t="n">
        <v>45110</v>
      </c>
      <c r="C2410" s="1" t="n">
        <v>45645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30492-2023</t>
        </is>
      </c>
      <c r="B2411" s="1" t="n">
        <v>45111</v>
      </c>
      <c r="C2411" s="1" t="n">
        <v>45645</v>
      </c>
      <c r="D2411" t="inlineStr">
        <is>
          <t>VÄSTERNORRLANDS LÄN</t>
        </is>
      </c>
      <c r="E2411" t="inlineStr">
        <is>
          <t>ÖRNSKÖLDSVIK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30453-2023</t>
        </is>
      </c>
      <c r="B2412" s="1" t="n">
        <v>45111</v>
      </c>
      <c r="C2412" s="1" t="n">
        <v>45645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30366-2023</t>
        </is>
      </c>
      <c r="B2413" s="1" t="n">
        <v>45111</v>
      </c>
      <c r="C2413" s="1" t="n">
        <v>45645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30317-2023</t>
        </is>
      </c>
      <c r="B2414" s="1" t="n">
        <v>45111</v>
      </c>
      <c r="C2414" s="1" t="n">
        <v>45645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30346-2023</t>
        </is>
      </c>
      <c r="B2415" s="1" t="n">
        <v>45111</v>
      </c>
      <c r="C2415" s="1" t="n">
        <v>45645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30316-2023</t>
        </is>
      </c>
      <c r="B2416" s="1" t="n">
        <v>45111</v>
      </c>
      <c r="C2416" s="1" t="n">
        <v>45645</v>
      </c>
      <c r="D2416" t="inlineStr">
        <is>
          <t>VÄSTERNORRLANDS LÄN</t>
        </is>
      </c>
      <c r="E2416" t="inlineStr">
        <is>
          <t>ÖRNSKÖLDSVIK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32549-2023</t>
        </is>
      </c>
      <c r="B2417" s="1" t="n">
        <v>45111</v>
      </c>
      <c r="C2417" s="1" t="n">
        <v>45645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30376-2023</t>
        </is>
      </c>
      <c r="B2418" s="1" t="n">
        <v>45111</v>
      </c>
      <c r="C2418" s="1" t="n">
        <v>45645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30381-2023</t>
        </is>
      </c>
      <c r="B2419" s="1" t="n">
        <v>45111</v>
      </c>
      <c r="C2419" s="1" t="n">
        <v>45645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30449-2023</t>
        </is>
      </c>
      <c r="B2420" s="1" t="n">
        <v>45111</v>
      </c>
      <c r="C2420" s="1" t="n">
        <v>45645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30579-2023</t>
        </is>
      </c>
      <c r="B2421" s="1" t="n">
        <v>45112</v>
      </c>
      <c r="C2421" s="1" t="n">
        <v>45645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30635-2023</t>
        </is>
      </c>
      <c r="B2422" s="1" t="n">
        <v>45112</v>
      </c>
      <c r="C2422" s="1" t="n">
        <v>45645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30696-2023</t>
        </is>
      </c>
      <c r="B2423" s="1" t="n">
        <v>45112</v>
      </c>
      <c r="C2423" s="1" t="n">
        <v>45645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30689-2023</t>
        </is>
      </c>
      <c r="B2424" s="1" t="n">
        <v>45112</v>
      </c>
      <c r="C2424" s="1" t="n">
        <v>45645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32634-2023</t>
        </is>
      </c>
      <c r="B2425" s="1" t="n">
        <v>45112</v>
      </c>
      <c r="C2425" s="1" t="n">
        <v>45645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30631-2023</t>
        </is>
      </c>
      <c r="B2426" s="1" t="n">
        <v>45112</v>
      </c>
      <c r="C2426" s="1" t="n">
        <v>45645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30644-2023</t>
        </is>
      </c>
      <c r="B2427" s="1" t="n">
        <v>45112</v>
      </c>
      <c r="C2427" s="1" t="n">
        <v>45645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30755-2023</t>
        </is>
      </c>
      <c r="B2428" s="1" t="n">
        <v>45112</v>
      </c>
      <c r="C2428" s="1" t="n">
        <v>45645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32630-2023</t>
        </is>
      </c>
      <c r="B2429" s="1" t="n">
        <v>45112</v>
      </c>
      <c r="C2429" s="1" t="n">
        <v>45645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30993-2023</t>
        </is>
      </c>
      <c r="B2430" s="1" t="n">
        <v>45113</v>
      </c>
      <c r="C2430" s="1" t="n">
        <v>45645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30948-2023</t>
        </is>
      </c>
      <c r="B2431" s="1" t="n">
        <v>45113</v>
      </c>
      <c r="C2431" s="1" t="n">
        <v>45645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31188-2023</t>
        </is>
      </c>
      <c r="B2432" s="1" t="n">
        <v>45114</v>
      </c>
      <c r="C2432" s="1" t="n">
        <v>45645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31192-2023</t>
        </is>
      </c>
      <c r="B2433" s="1" t="n">
        <v>45113</v>
      </c>
      <c r="C2433" s="1" t="n">
        <v>45645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31244-2023</t>
        </is>
      </c>
      <c r="B2434" s="1" t="n">
        <v>45114</v>
      </c>
      <c r="C2434" s="1" t="n">
        <v>45645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31344-2023</t>
        </is>
      </c>
      <c r="B2435" s="1" t="n">
        <v>45114</v>
      </c>
      <c r="C2435" s="1" t="n">
        <v>45645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31285-2023</t>
        </is>
      </c>
      <c r="B2436" s="1" t="n">
        <v>45114</v>
      </c>
      <c r="C2436" s="1" t="n">
        <v>45645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31415-2023</t>
        </is>
      </c>
      <c r="B2437" s="1" t="n">
        <v>45114</v>
      </c>
      <c r="C2437" s="1" t="n">
        <v>45645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31256-2023</t>
        </is>
      </c>
      <c r="B2438" s="1" t="n">
        <v>45114</v>
      </c>
      <c r="C2438" s="1" t="n">
        <v>45645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31308-2023</t>
        </is>
      </c>
      <c r="B2439" s="1" t="n">
        <v>45114</v>
      </c>
      <c r="C2439" s="1" t="n">
        <v>45645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31399-2023</t>
        </is>
      </c>
      <c r="B2440" s="1" t="n">
        <v>45114</v>
      </c>
      <c r="C2440" s="1" t="n">
        <v>45645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33233-2023</t>
        </is>
      </c>
      <c r="B2441" s="1" t="n">
        <v>45114</v>
      </c>
      <c r="C2441" s="1" t="n">
        <v>45645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33244-2023</t>
        </is>
      </c>
      <c r="B2442" s="1" t="n">
        <v>45114</v>
      </c>
      <c r="C2442" s="1" t="n">
        <v>45645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33248-2023</t>
        </is>
      </c>
      <c r="B2443" s="1" t="n">
        <v>45114</v>
      </c>
      <c r="C2443" s="1" t="n">
        <v>45645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33258-2023</t>
        </is>
      </c>
      <c r="B2444" s="1" t="n">
        <v>45114</v>
      </c>
      <c r="C2444" s="1" t="n">
        <v>45645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33242-2023</t>
        </is>
      </c>
      <c r="B2445" s="1" t="n">
        <v>45114</v>
      </c>
      <c r="C2445" s="1" t="n">
        <v>45645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33261-2023</t>
        </is>
      </c>
      <c r="B2446" s="1" t="n">
        <v>45114</v>
      </c>
      <c r="C2446" s="1" t="n">
        <v>45645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31609-2023</t>
        </is>
      </c>
      <c r="B2447" s="1" t="n">
        <v>45117</v>
      </c>
      <c r="C2447" s="1" t="n">
        <v>45645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31805-2023</t>
        </is>
      </c>
      <c r="B2448" s="1" t="n">
        <v>45118</v>
      </c>
      <c r="C2448" s="1" t="n">
        <v>45645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31930-2023</t>
        </is>
      </c>
      <c r="B2449" s="1" t="n">
        <v>45118</v>
      </c>
      <c r="C2449" s="1" t="n">
        <v>45645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31934-2023</t>
        </is>
      </c>
      <c r="B2450" s="1" t="n">
        <v>45119</v>
      </c>
      <c r="C2450" s="1" t="n">
        <v>45645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31932-2023</t>
        </is>
      </c>
      <c r="B2451" s="1" t="n">
        <v>45119</v>
      </c>
      <c r="C2451" s="1" t="n">
        <v>45645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31931-2023</t>
        </is>
      </c>
      <c r="B2452" s="1" t="n">
        <v>45119</v>
      </c>
      <c r="C2452" s="1" t="n">
        <v>45645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32030-2023</t>
        </is>
      </c>
      <c r="B2453" s="1" t="n">
        <v>45119</v>
      </c>
      <c r="C2453" s="1" t="n">
        <v>45645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32185-2023</t>
        </is>
      </c>
      <c r="B2454" s="1" t="n">
        <v>45119</v>
      </c>
      <c r="C2454" s="1" t="n">
        <v>45645</v>
      </c>
      <c r="D2454" t="inlineStr">
        <is>
          <t>VÄSTERNORRLANDS LÄN</t>
        </is>
      </c>
      <c r="E2454" t="inlineStr">
        <is>
          <t>ÖRNSKÖLDSVIK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32189-2023</t>
        </is>
      </c>
      <c r="B2455" s="1" t="n">
        <v>45119</v>
      </c>
      <c r="C2455" s="1" t="n">
        <v>45645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32213-2023</t>
        </is>
      </c>
      <c r="B2456" s="1" t="n">
        <v>45120</v>
      </c>
      <c r="C2456" s="1" t="n">
        <v>45645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32188-2023</t>
        </is>
      </c>
      <c r="B2457" s="1" t="n">
        <v>45119</v>
      </c>
      <c r="C2457" s="1" t="n">
        <v>45645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32356-2023</t>
        </is>
      </c>
      <c r="B2458" s="1" t="n">
        <v>45120</v>
      </c>
      <c r="C2458" s="1" t="n">
        <v>45645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33920-2023</t>
        </is>
      </c>
      <c r="B2459" s="1" t="n">
        <v>45122</v>
      </c>
      <c r="C2459" s="1" t="n">
        <v>45645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33901-2023</t>
        </is>
      </c>
      <c r="B2460" s="1" t="n">
        <v>45122</v>
      </c>
      <c r="C2460" s="1" t="n">
        <v>45645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33924-2023</t>
        </is>
      </c>
      <c r="B2461" s="1" t="n">
        <v>45122</v>
      </c>
      <c r="C2461" s="1" t="n">
        <v>45645</v>
      </c>
      <c r="D2461" t="inlineStr">
        <is>
          <t>VÄSTERNORRLANDS LÄN</t>
        </is>
      </c>
      <c r="E2461" t="inlineStr">
        <is>
          <t>ÖRNSKÖLDSVIK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32751-2023</t>
        </is>
      </c>
      <c r="B2462" s="1" t="n">
        <v>45122</v>
      </c>
      <c r="C2462" s="1" t="n">
        <v>45645</v>
      </c>
      <c r="D2462" t="inlineStr">
        <is>
          <t>VÄSTERNORRLANDS LÄN</t>
        </is>
      </c>
      <c r="E2462" t="inlineStr">
        <is>
          <t>ÖRNSKÖLDSVIK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45645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32844-2023</t>
        </is>
      </c>
      <c r="B2464" s="1" t="n">
        <v>45124</v>
      </c>
      <c r="C2464" s="1" t="n">
        <v>45645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34016-2023</t>
        </is>
      </c>
      <c r="B2465" s="1" t="n">
        <v>45124</v>
      </c>
      <c r="C2465" s="1" t="n">
        <v>45645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34028-2023</t>
        </is>
      </c>
      <c r="B2466" s="1" t="n">
        <v>45124</v>
      </c>
      <c r="C2466" s="1" t="n">
        <v>45645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34017-2023</t>
        </is>
      </c>
      <c r="B2467" s="1" t="n">
        <v>45124</v>
      </c>
      <c r="C2467" s="1" t="n">
        <v>45645</v>
      </c>
      <c r="D2467" t="inlineStr">
        <is>
          <t>VÄSTERNORRLANDS LÄN</t>
        </is>
      </c>
      <c r="E2467" t="inlineStr">
        <is>
          <t>ÖRNSKÖLDSVIK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34030-2023</t>
        </is>
      </c>
      <c r="B2468" s="1" t="n">
        <v>45124</v>
      </c>
      <c r="C2468" s="1" t="n">
        <v>45645</v>
      </c>
      <c r="D2468" t="inlineStr">
        <is>
          <t>VÄSTERNORRLANDS LÄN</t>
        </is>
      </c>
      <c r="E2468" t="inlineStr">
        <is>
          <t>ÖRNSKÖLDSVIK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34015-2023</t>
        </is>
      </c>
      <c r="B2469" s="1" t="n">
        <v>45124</v>
      </c>
      <c r="C2469" s="1" t="n">
        <v>45645</v>
      </c>
      <c r="D2469" t="inlineStr">
        <is>
          <t>VÄSTERNORRLANDS LÄN</t>
        </is>
      </c>
      <c r="E2469" t="inlineStr">
        <is>
          <t>ÖRNSKÖLDSVIK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34026-2023</t>
        </is>
      </c>
      <c r="B2470" s="1" t="n">
        <v>45124</v>
      </c>
      <c r="C2470" s="1" t="n">
        <v>45645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34014-2023</t>
        </is>
      </c>
      <c r="B2471" s="1" t="n">
        <v>45124</v>
      </c>
      <c r="C2471" s="1" t="n">
        <v>45645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34023-2023</t>
        </is>
      </c>
      <c r="B2472" s="1" t="n">
        <v>45124</v>
      </c>
      <c r="C2472" s="1" t="n">
        <v>45645</v>
      </c>
      <c r="D2472" t="inlineStr">
        <is>
          <t>VÄSTERNORRLANDS LÄN</t>
        </is>
      </c>
      <c r="E2472" t="inlineStr">
        <is>
          <t>ÖRNSKÖLDSVIK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34031-2023</t>
        </is>
      </c>
      <c r="B2473" s="1" t="n">
        <v>45124</v>
      </c>
      <c r="C2473" s="1" t="n">
        <v>45645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32976-2023</t>
        </is>
      </c>
      <c r="B2474" s="1" t="n">
        <v>45125</v>
      </c>
      <c r="C2474" s="1" t="n">
        <v>45645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33169-2023</t>
        </is>
      </c>
      <c r="B2475" s="1" t="n">
        <v>45127</v>
      </c>
      <c r="C2475" s="1" t="n">
        <v>45645</v>
      </c>
      <c r="D2475" t="inlineStr">
        <is>
          <t>VÄSTERNORRLANDS LÄN</t>
        </is>
      </c>
      <c r="E2475" t="inlineStr">
        <is>
          <t>ÖRNSKÖLDSVIK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33285-2023</t>
        </is>
      </c>
      <c r="B2476" s="1" t="n">
        <v>45127</v>
      </c>
      <c r="C2476" s="1" t="n">
        <v>45645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33288-2023</t>
        </is>
      </c>
      <c r="B2477" s="1" t="n">
        <v>45127</v>
      </c>
      <c r="C2477" s="1" t="n">
        <v>45645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33363-2023</t>
        </is>
      </c>
      <c r="B2478" s="1" t="n">
        <v>45128</v>
      </c>
      <c r="C2478" s="1" t="n">
        <v>45645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33479-2023</t>
        </is>
      </c>
      <c r="B2479" s="1" t="n">
        <v>45131</v>
      </c>
      <c r="C2479" s="1" t="n">
        <v>45645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33547-2023</t>
        </is>
      </c>
      <c r="B2480" s="1" t="n">
        <v>45131</v>
      </c>
      <c r="C2480" s="1" t="n">
        <v>45645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33662-2023</t>
        </is>
      </c>
      <c r="B2481" s="1" t="n">
        <v>45132</v>
      </c>
      <c r="C2481" s="1" t="n">
        <v>45645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33906-2023</t>
        </is>
      </c>
      <c r="B2482" s="1" t="n">
        <v>45134</v>
      </c>
      <c r="C2482" s="1" t="n">
        <v>45645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33926-2023</t>
        </is>
      </c>
      <c r="B2483" s="1" t="n">
        <v>45134</v>
      </c>
      <c r="C2483" s="1" t="n">
        <v>45645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34020-2023</t>
        </is>
      </c>
      <c r="B2484" s="1" t="n">
        <v>45135</v>
      </c>
      <c r="C2484" s="1" t="n">
        <v>45645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34129-2023</t>
        </is>
      </c>
      <c r="B2485" s="1" t="n">
        <v>45135</v>
      </c>
      <c r="C2485" s="1" t="n">
        <v>45645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34123-2023</t>
        </is>
      </c>
      <c r="B2486" s="1" t="n">
        <v>45135</v>
      </c>
      <c r="C2486" s="1" t="n">
        <v>45645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34127-2023</t>
        </is>
      </c>
      <c r="B2487" s="1" t="n">
        <v>45135</v>
      </c>
      <c r="C2487" s="1" t="n">
        <v>45645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34592-2023</t>
        </is>
      </c>
      <c r="B2488" s="1" t="n">
        <v>45137</v>
      </c>
      <c r="C2488" s="1" t="n">
        <v>45645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34588-2023</t>
        </is>
      </c>
      <c r="B2489" s="1" t="n">
        <v>45137</v>
      </c>
      <c r="C2489" s="1" t="n">
        <v>45645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34175-2023</t>
        </is>
      </c>
      <c r="B2490" s="1" t="n">
        <v>45138</v>
      </c>
      <c r="C2490" s="1" t="n">
        <v>45645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34243-2023</t>
        </is>
      </c>
      <c r="B2491" s="1" t="n">
        <v>45138</v>
      </c>
      <c r="C2491" s="1" t="n">
        <v>45645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34411-2023</t>
        </is>
      </c>
      <c r="B2492" s="1" t="n">
        <v>45139</v>
      </c>
      <c r="C2492" s="1" t="n">
        <v>45645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34632-2023</t>
        </is>
      </c>
      <c r="B2493" s="1" t="n">
        <v>45140</v>
      </c>
      <c r="C2493" s="1" t="n">
        <v>45645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34640-2023</t>
        </is>
      </c>
      <c r="B2494" s="1" t="n">
        <v>45140</v>
      </c>
      <c r="C2494" s="1" t="n">
        <v>45645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34796-2023</t>
        </is>
      </c>
      <c r="B2495" s="1" t="n">
        <v>45141</v>
      </c>
      <c r="C2495" s="1" t="n">
        <v>45645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34847-2023</t>
        </is>
      </c>
      <c r="B2496" s="1" t="n">
        <v>45142</v>
      </c>
      <c r="C2496" s="1" t="n">
        <v>45645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34795-2023</t>
        </is>
      </c>
      <c r="B2497" s="1" t="n">
        <v>45141</v>
      </c>
      <c r="C2497" s="1" t="n">
        <v>45645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34846-2023</t>
        </is>
      </c>
      <c r="B2498" s="1" t="n">
        <v>45142</v>
      </c>
      <c r="C2498" s="1" t="n">
        <v>45645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34908-2023</t>
        </is>
      </c>
      <c r="B2499" s="1" t="n">
        <v>45142</v>
      </c>
      <c r="C2499" s="1" t="n">
        <v>45645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35030-2023</t>
        </is>
      </c>
      <c r="B2500" s="1" t="n">
        <v>45145</v>
      </c>
      <c r="C2500" s="1" t="n">
        <v>45645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35130-2023</t>
        </is>
      </c>
      <c r="B2501" s="1" t="n">
        <v>45145</v>
      </c>
      <c r="C2501" s="1" t="n">
        <v>45645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35231-2023</t>
        </is>
      </c>
      <c r="B2502" s="1" t="n">
        <v>45145</v>
      </c>
      <c r="C2502" s="1" t="n">
        <v>45645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35193-2023</t>
        </is>
      </c>
      <c r="B2503" s="1" t="n">
        <v>45145</v>
      </c>
      <c r="C2503" s="1" t="n">
        <v>45645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35266-2023</t>
        </is>
      </c>
      <c r="B2504" s="1" t="n">
        <v>45146</v>
      </c>
      <c r="C2504" s="1" t="n">
        <v>45645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82.3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35379-2023</t>
        </is>
      </c>
      <c r="B2505" s="1" t="n">
        <v>45145</v>
      </c>
      <c r="C2505" s="1" t="n">
        <v>45645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35395-2023</t>
        </is>
      </c>
      <c r="B2506" s="1" t="n">
        <v>45146</v>
      </c>
      <c r="C2506" s="1" t="n">
        <v>45645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35399-2023</t>
        </is>
      </c>
      <c r="B2507" s="1" t="n">
        <v>45146</v>
      </c>
      <c r="C2507" s="1" t="n">
        <v>45645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35451-2023</t>
        </is>
      </c>
      <c r="B2508" s="1" t="n">
        <v>45146</v>
      </c>
      <c r="C2508" s="1" t="n">
        <v>45645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35441-2023</t>
        </is>
      </c>
      <c r="B2509" s="1" t="n">
        <v>45146</v>
      </c>
      <c r="C2509" s="1" t="n">
        <v>45645</v>
      </c>
      <c r="D2509" t="inlineStr">
        <is>
          <t>VÄSTERNORRLANDS LÄN</t>
        </is>
      </c>
      <c r="E2509" t="inlineStr">
        <is>
          <t>ÖRNSKÖLDSVIK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35422-2023</t>
        </is>
      </c>
      <c r="B2510" s="1" t="n">
        <v>45146</v>
      </c>
      <c r="C2510" s="1" t="n">
        <v>45645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35507-2023</t>
        </is>
      </c>
      <c r="B2511" s="1" t="n">
        <v>45147</v>
      </c>
      <c r="C2511" s="1" t="n">
        <v>45645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35555-2023</t>
        </is>
      </c>
      <c r="B2512" s="1" t="n">
        <v>45146</v>
      </c>
      <c r="C2512" s="1" t="n">
        <v>45645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35637-2023</t>
        </is>
      </c>
      <c r="B2513" s="1" t="n">
        <v>45146</v>
      </c>
      <c r="C2513" s="1" t="n">
        <v>45645</v>
      </c>
      <c r="D2513" t="inlineStr">
        <is>
          <t>VÄSTERNORRLANDS LÄN</t>
        </is>
      </c>
      <c r="E2513" t="inlineStr">
        <is>
          <t>ÖRNSKÖLDSVIK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35578-2023</t>
        </is>
      </c>
      <c r="B2514" s="1" t="n">
        <v>45147</v>
      </c>
      <c r="C2514" s="1" t="n">
        <v>45645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35601-2023</t>
        </is>
      </c>
      <c r="B2515" s="1" t="n">
        <v>45147</v>
      </c>
      <c r="C2515" s="1" t="n">
        <v>45645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35624-2023</t>
        </is>
      </c>
      <c r="B2516" s="1" t="n">
        <v>45147</v>
      </c>
      <c r="C2516" s="1" t="n">
        <v>45645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35602-2023</t>
        </is>
      </c>
      <c r="B2517" s="1" t="n">
        <v>45147</v>
      </c>
      <c r="C2517" s="1" t="n">
        <v>45645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35656-2023</t>
        </is>
      </c>
      <c r="B2518" s="1" t="n">
        <v>45147</v>
      </c>
      <c r="C2518" s="1" t="n">
        <v>45645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35544-2023</t>
        </is>
      </c>
      <c r="B2519" s="1" t="n">
        <v>45147</v>
      </c>
      <c r="C2519" s="1" t="n">
        <v>45645</v>
      </c>
      <c r="D2519" t="inlineStr">
        <is>
          <t>VÄSTERNORRLANDS LÄN</t>
        </is>
      </c>
      <c r="E2519" t="inlineStr">
        <is>
          <t>ÖRNSKÖLDSVIK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35805-2023</t>
        </is>
      </c>
      <c r="B2520" s="1" t="n">
        <v>45147</v>
      </c>
      <c r="C2520" s="1" t="n">
        <v>45645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35783-2023</t>
        </is>
      </c>
      <c r="B2521" s="1" t="n">
        <v>45148</v>
      </c>
      <c r="C2521" s="1" t="n">
        <v>45645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35870-2023</t>
        </is>
      </c>
      <c r="B2522" s="1" t="n">
        <v>45148</v>
      </c>
      <c r="C2522" s="1" t="n">
        <v>45645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35881-2023</t>
        </is>
      </c>
      <c r="B2523" s="1" t="n">
        <v>45148</v>
      </c>
      <c r="C2523" s="1" t="n">
        <v>45645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35949-2023</t>
        </is>
      </c>
      <c r="B2524" s="1" t="n">
        <v>45148</v>
      </c>
      <c r="C2524" s="1" t="n">
        <v>45645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36172-2023</t>
        </is>
      </c>
      <c r="B2525" s="1" t="n">
        <v>45149</v>
      </c>
      <c r="C2525" s="1" t="n">
        <v>45645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36194-2023</t>
        </is>
      </c>
      <c r="B2526" s="1" t="n">
        <v>45149</v>
      </c>
      <c r="C2526" s="1" t="n">
        <v>45645</v>
      </c>
      <c r="D2526" t="inlineStr">
        <is>
          <t>VÄSTERNORRLANDS LÄN</t>
        </is>
      </c>
      <c r="E2526" t="inlineStr">
        <is>
          <t>ÖRNSKÖLDSVIK</t>
        </is>
      </c>
      <c r="G2526" t="n">
        <v>14.6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36223-2023</t>
        </is>
      </c>
      <c r="B2527" s="1" t="n">
        <v>45150</v>
      </c>
      <c r="C2527" s="1" t="n">
        <v>45645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36169-2023</t>
        </is>
      </c>
      <c r="B2528" s="1" t="n">
        <v>45149</v>
      </c>
      <c r="C2528" s="1" t="n">
        <v>45645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36283-2023</t>
        </is>
      </c>
      <c r="B2529" s="1" t="n">
        <v>45149</v>
      </c>
      <c r="C2529" s="1" t="n">
        <v>45645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36282-2023</t>
        </is>
      </c>
      <c r="B2530" s="1" t="n">
        <v>45149</v>
      </c>
      <c r="C2530" s="1" t="n">
        <v>45645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36077-2023</t>
        </is>
      </c>
      <c r="B2531" s="1" t="n">
        <v>45149</v>
      </c>
      <c r="C2531" s="1" t="n">
        <v>45645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36086-2023</t>
        </is>
      </c>
      <c r="B2532" s="1" t="n">
        <v>45149</v>
      </c>
      <c r="C2532" s="1" t="n">
        <v>45645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36363-2023</t>
        </is>
      </c>
      <c r="B2533" s="1" t="n">
        <v>45152</v>
      </c>
      <c r="C2533" s="1" t="n">
        <v>45645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36323-2023</t>
        </is>
      </c>
      <c r="B2534" s="1" t="n">
        <v>45152</v>
      </c>
      <c r="C2534" s="1" t="n">
        <v>45645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36326-2023</t>
        </is>
      </c>
      <c r="B2535" s="1" t="n">
        <v>45152</v>
      </c>
      <c r="C2535" s="1" t="n">
        <v>45645</v>
      </c>
      <c r="D2535" t="inlineStr">
        <is>
          <t>VÄSTERNORRLANDS LÄN</t>
        </is>
      </c>
      <c r="E2535" t="inlineStr">
        <is>
          <t>ÖRNSKÖLDSVIK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36432-2023</t>
        </is>
      </c>
      <c r="B2536" s="1" t="n">
        <v>45152</v>
      </c>
      <c r="C2536" s="1" t="n">
        <v>45645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36477-2023</t>
        </is>
      </c>
      <c r="B2537" s="1" t="n">
        <v>45152</v>
      </c>
      <c r="C2537" s="1" t="n">
        <v>45645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36583-2023</t>
        </is>
      </c>
      <c r="B2538" s="1" t="n">
        <v>45152</v>
      </c>
      <c r="C2538" s="1" t="n">
        <v>45645</v>
      </c>
      <c r="D2538" t="inlineStr">
        <is>
          <t>VÄSTERNORRLANDS LÄN</t>
        </is>
      </c>
      <c r="E2538" t="inlineStr">
        <is>
          <t>ÖRNSKÖLDSVIK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36684-2023</t>
        </is>
      </c>
      <c r="B2539" s="1" t="n">
        <v>45152</v>
      </c>
      <c r="C2539" s="1" t="n">
        <v>45645</v>
      </c>
      <c r="D2539" t="inlineStr">
        <is>
          <t>VÄSTERNORRLANDS LÄN</t>
        </is>
      </c>
      <c r="E2539" t="inlineStr">
        <is>
          <t>ÖRNSKÖLDSVIK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36509-2023</t>
        </is>
      </c>
      <c r="B2540" s="1" t="n">
        <v>45153</v>
      </c>
      <c r="C2540" s="1" t="n">
        <v>45645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36577-2023</t>
        </is>
      </c>
      <c r="B2541" s="1" t="n">
        <v>45152</v>
      </c>
      <c r="C2541" s="1" t="n">
        <v>45645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36685-2023</t>
        </is>
      </c>
      <c r="B2542" s="1" t="n">
        <v>45153</v>
      </c>
      <c r="C2542" s="1" t="n">
        <v>45645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36726-2023</t>
        </is>
      </c>
      <c r="B2543" s="1" t="n">
        <v>45153</v>
      </c>
      <c r="C2543" s="1" t="n">
        <v>45645</v>
      </c>
      <c r="D2543" t="inlineStr">
        <is>
          <t>VÄSTERNORRLANDS LÄN</t>
        </is>
      </c>
      <c r="E2543" t="inlineStr">
        <is>
          <t>ÖRNSKÖLDSVIK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36734-2023</t>
        </is>
      </c>
      <c r="B2544" s="1" t="n">
        <v>45153</v>
      </c>
      <c r="C2544" s="1" t="n">
        <v>45645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36681-2023</t>
        </is>
      </c>
      <c r="B2545" s="1" t="n">
        <v>45153</v>
      </c>
      <c r="C2545" s="1" t="n">
        <v>45645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36654-2023</t>
        </is>
      </c>
      <c r="B2546" s="1" t="n">
        <v>45153</v>
      </c>
      <c r="C2546" s="1" t="n">
        <v>45645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36727-2023</t>
        </is>
      </c>
      <c r="B2547" s="1" t="n">
        <v>45153</v>
      </c>
      <c r="C2547" s="1" t="n">
        <v>45645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36836-2023</t>
        </is>
      </c>
      <c r="B2548" s="1" t="n">
        <v>45154</v>
      </c>
      <c r="C2548" s="1" t="n">
        <v>45645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36863-2023</t>
        </is>
      </c>
      <c r="B2549" s="1" t="n">
        <v>45154</v>
      </c>
      <c r="C2549" s="1" t="n">
        <v>45645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36923-2023</t>
        </is>
      </c>
      <c r="B2550" s="1" t="n">
        <v>45154</v>
      </c>
      <c r="C2550" s="1" t="n">
        <v>45645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36775-2023</t>
        </is>
      </c>
      <c r="B2551" s="1" t="n">
        <v>45154</v>
      </c>
      <c r="C2551" s="1" t="n">
        <v>45645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36918-2023</t>
        </is>
      </c>
      <c r="B2552" s="1" t="n">
        <v>45154</v>
      </c>
      <c r="C2552" s="1" t="n">
        <v>45645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37087-2023</t>
        </is>
      </c>
      <c r="B2553" s="1" t="n">
        <v>45154</v>
      </c>
      <c r="C2553" s="1" t="n">
        <v>45645</v>
      </c>
      <c r="D2553" t="inlineStr">
        <is>
          <t>VÄSTERNORRLANDS LÄN</t>
        </is>
      </c>
      <c r="E2553" t="inlineStr">
        <is>
          <t>ÖRNSKÖLDSVIK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36866-2023</t>
        </is>
      </c>
      <c r="B2554" s="1" t="n">
        <v>45154</v>
      </c>
      <c r="C2554" s="1" t="n">
        <v>45645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36919-2023</t>
        </is>
      </c>
      <c r="B2555" s="1" t="n">
        <v>45154</v>
      </c>
      <c r="C2555" s="1" t="n">
        <v>45645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36925-2023</t>
        </is>
      </c>
      <c r="B2556" s="1" t="n">
        <v>45154</v>
      </c>
      <c r="C2556" s="1" t="n">
        <v>45645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37055-2023</t>
        </is>
      </c>
      <c r="B2557" s="1" t="n">
        <v>45155</v>
      </c>
      <c r="C2557" s="1" t="n">
        <v>45645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37056-2023</t>
        </is>
      </c>
      <c r="B2558" s="1" t="n">
        <v>45155</v>
      </c>
      <c r="C2558" s="1" t="n">
        <v>45645</v>
      </c>
      <c r="D2558" t="inlineStr">
        <is>
          <t>VÄSTERNORRLANDS LÄN</t>
        </is>
      </c>
      <c r="E2558" t="inlineStr">
        <is>
          <t>ÖRNSKÖLDSVIK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37150-2023</t>
        </is>
      </c>
      <c r="B2559" s="1" t="n">
        <v>45155</v>
      </c>
      <c r="C2559" s="1" t="n">
        <v>45645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37058-2023</t>
        </is>
      </c>
      <c r="B2560" s="1" t="n">
        <v>45155</v>
      </c>
      <c r="C2560" s="1" t="n">
        <v>45645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37279-2023</t>
        </is>
      </c>
      <c r="B2561" s="1" t="n">
        <v>45156</v>
      </c>
      <c r="C2561" s="1" t="n">
        <v>45645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37288-2023</t>
        </is>
      </c>
      <c r="B2562" s="1" t="n">
        <v>45156</v>
      </c>
      <c r="C2562" s="1" t="n">
        <v>45645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37348-2023</t>
        </is>
      </c>
      <c r="B2563" s="1" t="n">
        <v>45156</v>
      </c>
      <c r="C2563" s="1" t="n">
        <v>45645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37338-2023</t>
        </is>
      </c>
      <c r="B2564" s="1" t="n">
        <v>45156</v>
      </c>
      <c r="C2564" s="1" t="n">
        <v>45645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37395-2023</t>
        </is>
      </c>
      <c r="B2565" s="1" t="n">
        <v>45156</v>
      </c>
      <c r="C2565" s="1" t="n">
        <v>45645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37403-2023</t>
        </is>
      </c>
      <c r="B2566" s="1" t="n">
        <v>45156</v>
      </c>
      <c r="C2566" s="1" t="n">
        <v>45645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37579-2023</t>
        </is>
      </c>
      <c r="B2567" s="1" t="n">
        <v>45159</v>
      </c>
      <c r="C2567" s="1" t="n">
        <v>45645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37578-2023</t>
        </is>
      </c>
      <c r="B2568" s="1" t="n">
        <v>45159</v>
      </c>
      <c r="C2568" s="1" t="n">
        <v>45645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37636-2023</t>
        </is>
      </c>
      <c r="B2569" s="1" t="n">
        <v>45159</v>
      </c>
      <c r="C2569" s="1" t="n">
        <v>45645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37640-2023</t>
        </is>
      </c>
      <c r="B2570" s="1" t="n">
        <v>45159</v>
      </c>
      <c r="C2570" s="1" t="n">
        <v>45645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37674-2023</t>
        </is>
      </c>
      <c r="B2571" s="1" t="n">
        <v>45159</v>
      </c>
      <c r="C2571" s="1" t="n">
        <v>45645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37736-2023</t>
        </is>
      </c>
      <c r="B2572" s="1" t="n">
        <v>45159</v>
      </c>
      <c r="C2572" s="1" t="n">
        <v>45645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37761-2023</t>
        </is>
      </c>
      <c r="B2573" s="1" t="n">
        <v>45159</v>
      </c>
      <c r="C2573" s="1" t="n">
        <v>45645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37737-2023</t>
        </is>
      </c>
      <c r="B2574" s="1" t="n">
        <v>45159</v>
      </c>
      <c r="C2574" s="1" t="n">
        <v>45645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37862-2023</t>
        </is>
      </c>
      <c r="B2575" s="1" t="n">
        <v>45160</v>
      </c>
      <c r="C2575" s="1" t="n">
        <v>45645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37885-2023</t>
        </is>
      </c>
      <c r="B2576" s="1" t="n">
        <v>45160</v>
      </c>
      <c r="C2576" s="1" t="n">
        <v>45645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37893-2023</t>
        </is>
      </c>
      <c r="B2577" s="1" t="n">
        <v>45160</v>
      </c>
      <c r="C2577" s="1" t="n">
        <v>45645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37912-2023</t>
        </is>
      </c>
      <c r="B2578" s="1" t="n">
        <v>45160</v>
      </c>
      <c r="C2578" s="1" t="n">
        <v>45645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9.5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37826-2023</t>
        </is>
      </c>
      <c r="B2579" s="1" t="n">
        <v>45160</v>
      </c>
      <c r="C2579" s="1" t="n">
        <v>45645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37846-2023</t>
        </is>
      </c>
      <c r="B2580" s="1" t="n">
        <v>45160</v>
      </c>
      <c r="C2580" s="1" t="n">
        <v>45645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38028-2023</t>
        </is>
      </c>
      <c r="B2581" s="1" t="n">
        <v>45160</v>
      </c>
      <c r="C2581" s="1" t="n">
        <v>45645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37913-2023</t>
        </is>
      </c>
      <c r="B2582" s="1" t="n">
        <v>45160</v>
      </c>
      <c r="C2582" s="1" t="n">
        <v>45645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37947-2023</t>
        </is>
      </c>
      <c r="B2583" s="1" t="n">
        <v>45160</v>
      </c>
      <c r="C2583" s="1" t="n">
        <v>45645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45645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37999-2023</t>
        </is>
      </c>
      <c r="B2585" s="1" t="n">
        <v>45160</v>
      </c>
      <c r="C2585" s="1" t="n">
        <v>45645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38012-2023</t>
        </is>
      </c>
      <c r="B2586" s="1" t="n">
        <v>45160</v>
      </c>
      <c r="C2586" s="1" t="n">
        <v>45645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38098-2023</t>
        </is>
      </c>
      <c r="B2587" s="1" t="n">
        <v>45161</v>
      </c>
      <c r="C2587" s="1" t="n">
        <v>45645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38292-2023</t>
        </is>
      </c>
      <c r="B2588" s="1" t="n">
        <v>45161</v>
      </c>
      <c r="C2588" s="1" t="n">
        <v>45645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38368-2023</t>
        </is>
      </c>
      <c r="B2589" s="1" t="n">
        <v>45161</v>
      </c>
      <c r="C2589" s="1" t="n">
        <v>45645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124.7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38202-2023</t>
        </is>
      </c>
      <c r="B2590" s="1" t="n">
        <v>45161</v>
      </c>
      <c r="C2590" s="1" t="n">
        <v>45645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38275-2023</t>
        </is>
      </c>
      <c r="B2591" s="1" t="n">
        <v>45161</v>
      </c>
      <c r="C2591" s="1" t="n">
        <v>45645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38121-2023</t>
        </is>
      </c>
      <c r="B2592" s="1" t="n">
        <v>45161</v>
      </c>
      <c r="C2592" s="1" t="n">
        <v>45645</v>
      </c>
      <c r="D2592" t="inlineStr">
        <is>
          <t>VÄSTERNORRLANDS LÄN</t>
        </is>
      </c>
      <c r="E2592" t="inlineStr">
        <is>
          <t>ÖRNSKÖLDSVIK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38388-2023</t>
        </is>
      </c>
      <c r="B2593" s="1" t="n">
        <v>45162</v>
      </c>
      <c r="C2593" s="1" t="n">
        <v>45645</v>
      </c>
      <c r="D2593" t="inlineStr">
        <is>
          <t>VÄSTERNORRLANDS LÄN</t>
        </is>
      </c>
      <c r="E2593" t="inlineStr">
        <is>
          <t>ÖRNSKÖLDSVIK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38386-2023</t>
        </is>
      </c>
      <c r="B2594" s="1" t="n">
        <v>45162</v>
      </c>
      <c r="C2594" s="1" t="n">
        <v>45645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38390-2023</t>
        </is>
      </c>
      <c r="B2595" s="1" t="n">
        <v>45162</v>
      </c>
      <c r="C2595" s="1" t="n">
        <v>45645</v>
      </c>
      <c r="D2595" t="inlineStr">
        <is>
          <t>VÄSTERNORRLANDS LÄN</t>
        </is>
      </c>
      <c r="E2595" t="inlineStr">
        <is>
          <t>ÖRNSKÖLDSVIK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39268-2023</t>
        </is>
      </c>
      <c r="B2596" s="1" t="n">
        <v>45162</v>
      </c>
      <c r="C2596" s="1" t="n">
        <v>45645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38601-2023</t>
        </is>
      </c>
      <c r="B2597" s="1" t="n">
        <v>45162</v>
      </c>
      <c r="C2597" s="1" t="n">
        <v>45645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38605-2023</t>
        </is>
      </c>
      <c r="B2598" s="1" t="n">
        <v>45162</v>
      </c>
      <c r="C2598" s="1" t="n">
        <v>45645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38532-2023</t>
        </is>
      </c>
      <c r="B2599" s="1" t="n">
        <v>45162</v>
      </c>
      <c r="C2599" s="1" t="n">
        <v>45645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39294-2023</t>
        </is>
      </c>
      <c r="B2600" s="1" t="n">
        <v>45162</v>
      </c>
      <c r="C2600" s="1" t="n">
        <v>45645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39300-2023</t>
        </is>
      </c>
      <c r="B2601" s="1" t="n">
        <v>45162</v>
      </c>
      <c r="C2601" s="1" t="n">
        <v>45645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38566-2023</t>
        </is>
      </c>
      <c r="B2602" s="1" t="n">
        <v>45162</v>
      </c>
      <c r="C2602" s="1" t="n">
        <v>45645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38604-2023</t>
        </is>
      </c>
      <c r="B2603" s="1" t="n">
        <v>45162</v>
      </c>
      <c r="C2603" s="1" t="n">
        <v>45645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38684-2023</t>
        </is>
      </c>
      <c r="B2604" s="1" t="n">
        <v>45163</v>
      </c>
      <c r="C2604" s="1" t="n">
        <v>45645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38685-2023</t>
        </is>
      </c>
      <c r="B2605" s="1" t="n">
        <v>45162</v>
      </c>
      <c r="C2605" s="1" t="n">
        <v>45645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38845-2023</t>
        </is>
      </c>
      <c r="B2606" s="1" t="n">
        <v>45163</v>
      </c>
      <c r="C2606" s="1" t="n">
        <v>45645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39079-2023</t>
        </is>
      </c>
      <c r="B2607" s="1" t="n">
        <v>45164</v>
      </c>
      <c r="C2607" s="1" t="n">
        <v>45645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38831-2023</t>
        </is>
      </c>
      <c r="B2608" s="1" t="n">
        <v>45163</v>
      </c>
      <c r="C2608" s="1" t="n">
        <v>45645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39435-2023</t>
        </is>
      </c>
      <c r="B2609" s="1" t="n">
        <v>45163</v>
      </c>
      <c r="C2609" s="1" t="n">
        <v>45645</v>
      </c>
      <c r="D2609" t="inlineStr">
        <is>
          <t>VÄSTERNORRLANDS LÄN</t>
        </is>
      </c>
      <c r="E2609" t="inlineStr">
        <is>
          <t>ÖRNSKÖLDSVIK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38704-2023</t>
        </is>
      </c>
      <c r="B2610" s="1" t="n">
        <v>45163</v>
      </c>
      <c r="C2610" s="1" t="n">
        <v>45645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39536-2023</t>
        </is>
      </c>
      <c r="B2611" s="1" t="n">
        <v>45163</v>
      </c>
      <c r="C2611" s="1" t="n">
        <v>45645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39448-2023</t>
        </is>
      </c>
      <c r="B2612" s="1" t="n">
        <v>45163</v>
      </c>
      <c r="C2612" s="1" t="n">
        <v>45645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39545-2023</t>
        </is>
      </c>
      <c r="B2613" s="1" t="n">
        <v>45163</v>
      </c>
      <c r="C2613" s="1" t="n">
        <v>45645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39541-2023</t>
        </is>
      </c>
      <c r="B2614" s="1" t="n">
        <v>45163</v>
      </c>
      <c r="C2614" s="1" t="n">
        <v>45645</v>
      </c>
      <c r="D2614" t="inlineStr">
        <is>
          <t>VÄSTERNORRLANDS LÄN</t>
        </is>
      </c>
      <c r="E2614" t="inlineStr">
        <is>
          <t>ÖRNSKÖLDSVIK</t>
        </is>
      </c>
      <c r="G2614" t="n">
        <v>8.5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39569-2023</t>
        </is>
      </c>
      <c r="B2615" s="1" t="n">
        <v>45163</v>
      </c>
      <c r="C2615" s="1" t="n">
        <v>45645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38784-2023</t>
        </is>
      </c>
      <c r="B2616" s="1" t="n">
        <v>45163</v>
      </c>
      <c r="C2616" s="1" t="n">
        <v>45645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39449-2023</t>
        </is>
      </c>
      <c r="B2617" s="1" t="n">
        <v>45163</v>
      </c>
      <c r="C2617" s="1" t="n">
        <v>45645</v>
      </c>
      <c r="D2617" t="inlineStr">
        <is>
          <t>VÄSTERNORRLANDS LÄN</t>
        </is>
      </c>
      <c r="E2617" t="inlineStr">
        <is>
          <t>ÖRNSKÖLDSVIK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39216-2023</t>
        </is>
      </c>
      <c r="B2618" s="1" t="n">
        <v>45166</v>
      </c>
      <c r="C2618" s="1" t="n">
        <v>45645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39302-2023</t>
        </is>
      </c>
      <c r="B2619" s="1" t="n">
        <v>45166</v>
      </c>
      <c r="C2619" s="1" t="n">
        <v>45645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39313-2023</t>
        </is>
      </c>
      <c r="B2620" s="1" t="n">
        <v>45166</v>
      </c>
      <c r="C2620" s="1" t="n">
        <v>45645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39318-2023</t>
        </is>
      </c>
      <c r="B2621" s="1" t="n">
        <v>45166</v>
      </c>
      <c r="C2621" s="1" t="n">
        <v>45645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39446-2023</t>
        </is>
      </c>
      <c r="B2622" s="1" t="n">
        <v>45166</v>
      </c>
      <c r="C2622" s="1" t="n">
        <v>45645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39485-2023</t>
        </is>
      </c>
      <c r="B2623" s="1" t="n">
        <v>45167</v>
      </c>
      <c r="C2623" s="1" t="n">
        <v>45645</v>
      </c>
      <c r="D2623" t="inlineStr">
        <is>
          <t>VÄSTERNORRLANDS LÄN</t>
        </is>
      </c>
      <c r="E2623" t="inlineStr">
        <is>
          <t>ÖRNSKÖLDSVIK</t>
        </is>
      </c>
      <c r="G2623" t="n">
        <v>12.1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39909-2023</t>
        </is>
      </c>
      <c r="B2624" s="1" t="n">
        <v>45166</v>
      </c>
      <c r="C2624" s="1" t="n">
        <v>45645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39486-2023</t>
        </is>
      </c>
      <c r="B2625" s="1" t="n">
        <v>45167</v>
      </c>
      <c r="C2625" s="1" t="n">
        <v>45645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39532-2023</t>
        </is>
      </c>
      <c r="B2626" s="1" t="n">
        <v>45167</v>
      </c>
      <c r="C2626" s="1" t="n">
        <v>45645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39546-2023</t>
        </is>
      </c>
      <c r="B2627" s="1" t="n">
        <v>45167</v>
      </c>
      <c r="C2627" s="1" t="n">
        <v>45645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39697-2023</t>
        </is>
      </c>
      <c r="B2628" s="1" t="n">
        <v>45167</v>
      </c>
      <c r="C2628" s="1" t="n">
        <v>45645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39751-2023</t>
        </is>
      </c>
      <c r="B2629" s="1" t="n">
        <v>45167</v>
      </c>
      <c r="C2629" s="1" t="n">
        <v>45645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39625-2023</t>
        </is>
      </c>
      <c r="B2630" s="1" t="n">
        <v>45167</v>
      </c>
      <c r="C2630" s="1" t="n">
        <v>45645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40036-2023</t>
        </is>
      </c>
      <c r="B2631" s="1" t="n">
        <v>45167</v>
      </c>
      <c r="C2631" s="1" t="n">
        <v>45645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39729-2023</t>
        </is>
      </c>
      <c r="B2632" s="1" t="n">
        <v>45167</v>
      </c>
      <c r="C2632" s="1" t="n">
        <v>45645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39827-2023</t>
        </is>
      </c>
      <c r="B2633" s="1" t="n">
        <v>45168</v>
      </c>
      <c r="C2633" s="1" t="n">
        <v>45645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40022-2023</t>
        </is>
      </c>
      <c r="B2634" s="1" t="n">
        <v>45168</v>
      </c>
      <c r="C2634" s="1" t="n">
        <v>45645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39825-2023</t>
        </is>
      </c>
      <c r="B2635" s="1" t="n">
        <v>45168</v>
      </c>
      <c r="C2635" s="1" t="n">
        <v>45645</v>
      </c>
      <c r="D2635" t="inlineStr">
        <is>
          <t>VÄSTERNORRLANDS LÄN</t>
        </is>
      </c>
      <c r="E2635" t="inlineStr">
        <is>
          <t>ÖRNSKÖLDSVIK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40012-2023</t>
        </is>
      </c>
      <c r="B2636" s="1" t="n">
        <v>45168</v>
      </c>
      <c r="C2636" s="1" t="n">
        <v>45645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40071-2023</t>
        </is>
      </c>
      <c r="B2637" s="1" t="n">
        <v>45168</v>
      </c>
      <c r="C2637" s="1" t="n">
        <v>45645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40066-2023</t>
        </is>
      </c>
      <c r="B2638" s="1" t="n">
        <v>45168</v>
      </c>
      <c r="C2638" s="1" t="n">
        <v>45645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40368-2023</t>
        </is>
      </c>
      <c r="B2639" s="1" t="n">
        <v>45168</v>
      </c>
      <c r="C2639" s="1" t="n">
        <v>45645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</v>
      </c>
      <c r="C2640" s="1" t="n">
        <v>45645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40056-2023</t>
        </is>
      </c>
      <c r="B2641" s="1" t="n">
        <v>45168</v>
      </c>
      <c r="C2641" s="1" t="n">
        <v>45645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40223-2023</t>
        </is>
      </c>
      <c r="B2642" s="1" t="n">
        <v>45168</v>
      </c>
      <c r="C2642" s="1" t="n">
        <v>45645</v>
      </c>
      <c r="D2642" t="inlineStr">
        <is>
          <t>VÄSTERNORRLANDS LÄN</t>
        </is>
      </c>
      <c r="E2642" t="inlineStr">
        <is>
          <t>ÖRNSKÖLDSVIK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40134-2023</t>
        </is>
      </c>
      <c r="B2643" s="1" t="n">
        <v>45169</v>
      </c>
      <c r="C2643" s="1" t="n">
        <v>45645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40200-2023</t>
        </is>
      </c>
      <c r="B2644" s="1" t="n">
        <v>45169</v>
      </c>
      <c r="C2644" s="1" t="n">
        <v>45645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40909-2023</t>
        </is>
      </c>
      <c r="B2645" s="1" t="n">
        <v>45169</v>
      </c>
      <c r="C2645" s="1" t="n">
        <v>45645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40586-2023</t>
        </is>
      </c>
      <c r="B2646" s="1" t="n">
        <v>45170</v>
      </c>
      <c r="C2646" s="1" t="n">
        <v>45645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40454-2023</t>
        </is>
      </c>
      <c r="B2647" s="1" t="n">
        <v>45170</v>
      </c>
      <c r="C2647" s="1" t="n">
        <v>45645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40590-2023</t>
        </is>
      </c>
      <c r="B2648" s="1" t="n">
        <v>45170</v>
      </c>
      <c r="C2648" s="1" t="n">
        <v>45645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40722-2023</t>
        </is>
      </c>
      <c r="B2649" s="1" t="n">
        <v>45170</v>
      </c>
      <c r="C2649" s="1" t="n">
        <v>45645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40550-2023</t>
        </is>
      </c>
      <c r="B2650" s="1" t="n">
        <v>45170</v>
      </c>
      <c r="C2650" s="1" t="n">
        <v>45645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40598-2023</t>
        </is>
      </c>
      <c r="B2651" s="1" t="n">
        <v>45170</v>
      </c>
      <c r="C2651" s="1" t="n">
        <v>45645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40724-2023</t>
        </is>
      </c>
      <c r="B2652" s="1" t="n">
        <v>45170</v>
      </c>
      <c r="C2652" s="1" t="n">
        <v>45645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41298-2023</t>
        </is>
      </c>
      <c r="B2653" s="1" t="n">
        <v>45170</v>
      </c>
      <c r="C2653" s="1" t="n">
        <v>45645</v>
      </c>
      <c r="D2653" t="inlineStr">
        <is>
          <t>VÄSTERNORRLANDS LÄN</t>
        </is>
      </c>
      <c r="E2653" t="inlineStr">
        <is>
          <t>ÖRNSKÖLDSVIK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40867-2023</t>
        </is>
      </c>
      <c r="B2654" s="1" t="n">
        <v>45173</v>
      </c>
      <c r="C2654" s="1" t="n">
        <v>45645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40889-2023</t>
        </is>
      </c>
      <c r="B2655" s="1" t="n">
        <v>45173</v>
      </c>
      <c r="C2655" s="1" t="n">
        <v>45645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41149-2023</t>
        </is>
      </c>
      <c r="B2656" s="1" t="n">
        <v>45174</v>
      </c>
      <c r="C2656" s="1" t="n">
        <v>45645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41153-2023</t>
        </is>
      </c>
      <c r="B2657" s="1" t="n">
        <v>45174</v>
      </c>
      <c r="C2657" s="1" t="n">
        <v>45645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41503-2023</t>
        </is>
      </c>
      <c r="B2658" s="1" t="n">
        <v>45173</v>
      </c>
      <c r="C2658" s="1" t="n">
        <v>45645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41561-2023</t>
        </is>
      </c>
      <c r="B2659" s="1" t="n">
        <v>45173</v>
      </c>
      <c r="C2659" s="1" t="n">
        <v>45645</v>
      </c>
      <c r="D2659" t="inlineStr">
        <is>
          <t>VÄSTERNORRLANDS LÄN</t>
        </is>
      </c>
      <c r="E2659" t="inlineStr">
        <is>
          <t>ÖRNSKÖLDSVIK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41710-2023</t>
        </is>
      </c>
      <c r="B2660" s="1" t="n">
        <v>45173</v>
      </c>
      <c r="C2660" s="1" t="n">
        <v>45645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41532-2023</t>
        </is>
      </c>
      <c r="B2661" s="1" t="n">
        <v>45173</v>
      </c>
      <c r="C2661" s="1" t="n">
        <v>45645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41618-2023</t>
        </is>
      </c>
      <c r="B2662" s="1" t="n">
        <v>45173</v>
      </c>
      <c r="C2662" s="1" t="n">
        <v>45645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41174-2023</t>
        </is>
      </c>
      <c r="B2663" s="1" t="n">
        <v>45174</v>
      </c>
      <c r="C2663" s="1" t="n">
        <v>45645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41159-2023</t>
        </is>
      </c>
      <c r="B2664" s="1" t="n">
        <v>45174</v>
      </c>
      <c r="C2664" s="1" t="n">
        <v>45645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41201-2023</t>
        </is>
      </c>
      <c r="B2665" s="1" t="n">
        <v>45174</v>
      </c>
      <c r="C2665" s="1" t="n">
        <v>45645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41213-2023</t>
        </is>
      </c>
      <c r="B2666" s="1" t="n">
        <v>45174</v>
      </c>
      <c r="C2666" s="1" t="n">
        <v>45645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41232-2023</t>
        </is>
      </c>
      <c r="B2667" s="1" t="n">
        <v>45174</v>
      </c>
      <c r="C2667" s="1" t="n">
        <v>45645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41393-2023</t>
        </is>
      </c>
      <c r="B2668" s="1" t="n">
        <v>45174</v>
      </c>
      <c r="C2668" s="1" t="n">
        <v>45645</v>
      </c>
      <c r="D2668" t="inlineStr">
        <is>
          <t>VÄSTERNORRLANDS LÄN</t>
        </is>
      </c>
      <c r="E2668" t="inlineStr">
        <is>
          <t>ÖRNSKÖLDSVIK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41999-2023</t>
        </is>
      </c>
      <c r="B2669" s="1" t="n">
        <v>45174</v>
      </c>
      <c r="C2669" s="1" t="n">
        <v>45645</v>
      </c>
      <c r="D2669" t="inlineStr">
        <is>
          <t>VÄSTERNORRLANDS LÄN</t>
        </is>
      </c>
      <c r="E2669" t="inlineStr">
        <is>
          <t>ÖRNSKÖLDSVIK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41187-2023</t>
        </is>
      </c>
      <c r="B2670" s="1" t="n">
        <v>45174</v>
      </c>
      <c r="C2670" s="1" t="n">
        <v>45645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41394-2023</t>
        </is>
      </c>
      <c r="B2671" s="1" t="n">
        <v>45174</v>
      </c>
      <c r="C2671" s="1" t="n">
        <v>45645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41392-2023</t>
        </is>
      </c>
      <c r="B2672" s="1" t="n">
        <v>45175</v>
      </c>
      <c r="C2672" s="1" t="n">
        <v>45645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41984-2023</t>
        </is>
      </c>
      <c r="B2673" s="1" t="n">
        <v>45174</v>
      </c>
      <c r="C2673" s="1" t="n">
        <v>45645</v>
      </c>
      <c r="D2673" t="inlineStr">
        <is>
          <t>VÄSTERNORRLANDS LÄN</t>
        </is>
      </c>
      <c r="E2673" t="inlineStr">
        <is>
          <t>ÖRNSKÖLDSVIK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41863-2023</t>
        </is>
      </c>
      <c r="B2674" s="1" t="n">
        <v>45174</v>
      </c>
      <c r="C2674" s="1" t="n">
        <v>45645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41428-2023</t>
        </is>
      </c>
      <c r="B2675" s="1" t="n">
        <v>45175</v>
      </c>
      <c r="C2675" s="1" t="n">
        <v>45645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41415-2023</t>
        </is>
      </c>
      <c r="B2676" s="1" t="n">
        <v>45175</v>
      </c>
      <c r="C2676" s="1" t="n">
        <v>45645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9.800000000000001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42396-2023</t>
        </is>
      </c>
      <c r="B2677" s="1" t="n">
        <v>45175</v>
      </c>
      <c r="C2677" s="1" t="n">
        <v>45645</v>
      </c>
      <c r="D2677" t="inlineStr">
        <is>
          <t>VÄSTERNORRLANDS LÄN</t>
        </is>
      </c>
      <c r="E2677" t="inlineStr">
        <is>
          <t>ÖRNSKÖLDSVIK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41472-2023</t>
        </is>
      </c>
      <c r="B2678" s="1" t="n">
        <v>45175</v>
      </c>
      <c r="C2678" s="1" t="n">
        <v>45645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41550-2023</t>
        </is>
      </c>
      <c r="B2679" s="1" t="n">
        <v>45175</v>
      </c>
      <c r="C2679" s="1" t="n">
        <v>45645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41612-2023</t>
        </is>
      </c>
      <c r="B2680" s="1" t="n">
        <v>45175</v>
      </c>
      <c r="C2680" s="1" t="n">
        <v>45645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42405-2023</t>
        </is>
      </c>
      <c r="B2681" s="1" t="n">
        <v>45175</v>
      </c>
      <c r="C2681" s="1" t="n">
        <v>45645</v>
      </c>
      <c r="D2681" t="inlineStr">
        <is>
          <t>VÄSTERNORRLANDS LÄN</t>
        </is>
      </c>
      <c r="E2681" t="inlineStr">
        <is>
          <t>ÖRNSKÖLDSVIK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42307-2023</t>
        </is>
      </c>
      <c r="B2682" s="1" t="n">
        <v>45175</v>
      </c>
      <c r="C2682" s="1" t="n">
        <v>45645</v>
      </c>
      <c r="D2682" t="inlineStr">
        <is>
          <t>VÄSTERNORRLANDS LÄN</t>
        </is>
      </c>
      <c r="E2682" t="inlineStr">
        <is>
          <t>ÖRNSKÖLDSVIK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42393-2023</t>
        </is>
      </c>
      <c r="B2683" s="1" t="n">
        <v>45175</v>
      </c>
      <c r="C2683" s="1" t="n">
        <v>45645</v>
      </c>
      <c r="D2683" t="inlineStr">
        <is>
          <t>VÄSTERNORRLANDS LÄN</t>
        </is>
      </c>
      <c r="E2683" t="inlineStr">
        <is>
          <t>ÖRNSKÖLDSVIK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41686-2023</t>
        </is>
      </c>
      <c r="B2684" s="1" t="n">
        <v>45176</v>
      </c>
      <c r="C2684" s="1" t="n">
        <v>45645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41848-2023</t>
        </is>
      </c>
      <c r="B2685" s="1" t="n">
        <v>45176</v>
      </c>
      <c r="C2685" s="1" t="n">
        <v>45645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41859-2023</t>
        </is>
      </c>
      <c r="B2686" s="1" t="n">
        <v>45176</v>
      </c>
      <c r="C2686" s="1" t="n">
        <v>45645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42544-2023</t>
        </is>
      </c>
      <c r="B2687" s="1" t="n">
        <v>45176</v>
      </c>
      <c r="C2687" s="1" t="n">
        <v>45645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42698-2023</t>
        </is>
      </c>
      <c r="B2688" s="1" t="n">
        <v>45176</v>
      </c>
      <c r="C2688" s="1" t="n">
        <v>45645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42614-2023</t>
        </is>
      </c>
      <c r="B2689" s="1" t="n">
        <v>45176</v>
      </c>
      <c r="C2689" s="1" t="n">
        <v>45645</v>
      </c>
      <c r="D2689" t="inlineStr">
        <is>
          <t>VÄSTERNORRLANDS LÄN</t>
        </is>
      </c>
      <c r="E2689" t="inlineStr">
        <is>
          <t>ÖRNSKÖLDSVIK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42535-2023</t>
        </is>
      </c>
      <c r="B2690" s="1" t="n">
        <v>45176</v>
      </c>
      <c r="C2690" s="1" t="n">
        <v>45645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42670-2023</t>
        </is>
      </c>
      <c r="B2691" s="1" t="n">
        <v>45176</v>
      </c>
      <c r="C2691" s="1" t="n">
        <v>45645</v>
      </c>
      <c r="D2691" t="inlineStr">
        <is>
          <t>VÄSTERNORRLANDS LÄN</t>
        </is>
      </c>
      <c r="E2691" t="inlineStr">
        <is>
          <t>ÖRNSKÖLDSVIK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41942-2023</t>
        </is>
      </c>
      <c r="B2692" s="1" t="n">
        <v>45177</v>
      </c>
      <c r="C2692" s="1" t="n">
        <v>45645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41956-2023</t>
        </is>
      </c>
      <c r="B2693" s="1" t="n">
        <v>45177</v>
      </c>
      <c r="C2693" s="1" t="n">
        <v>45645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41979-2023</t>
        </is>
      </c>
      <c r="B2694" s="1" t="n">
        <v>45177</v>
      </c>
      <c r="C2694" s="1" t="n">
        <v>45645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42002-2023</t>
        </is>
      </c>
      <c r="B2695" s="1" t="n">
        <v>45177</v>
      </c>
      <c r="C2695" s="1" t="n">
        <v>45645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41953-2023</t>
        </is>
      </c>
      <c r="B2696" s="1" t="n">
        <v>45177</v>
      </c>
      <c r="C2696" s="1" t="n">
        <v>45645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41976-2023</t>
        </is>
      </c>
      <c r="B2697" s="1" t="n">
        <v>45177</v>
      </c>
      <c r="C2697" s="1" t="n">
        <v>45645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41995-2023</t>
        </is>
      </c>
      <c r="B2698" s="1" t="n">
        <v>45177</v>
      </c>
      <c r="C2698" s="1" t="n">
        <v>45645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42163-2023</t>
        </is>
      </c>
      <c r="B2699" s="1" t="n">
        <v>45178</v>
      </c>
      <c r="C2699" s="1" t="n">
        <v>45645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42847-2023</t>
        </is>
      </c>
      <c r="B2700" s="1" t="n">
        <v>45177</v>
      </c>
      <c r="C2700" s="1" t="n">
        <v>45645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42059-2023</t>
        </is>
      </c>
      <c r="B2701" s="1" t="n">
        <v>45177</v>
      </c>
      <c r="C2701" s="1" t="n">
        <v>45645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42237-2023</t>
        </is>
      </c>
      <c r="B2702" s="1" t="n">
        <v>45180</v>
      </c>
      <c r="C2702" s="1" t="n">
        <v>45645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42264-2023</t>
        </is>
      </c>
      <c r="B2703" s="1" t="n">
        <v>45180</v>
      </c>
      <c r="C2703" s="1" t="n">
        <v>45645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42235-2023</t>
        </is>
      </c>
      <c r="B2704" s="1" t="n">
        <v>45180</v>
      </c>
      <c r="C2704" s="1" t="n">
        <v>45645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42271-2023</t>
        </is>
      </c>
      <c r="B2705" s="1" t="n">
        <v>45180</v>
      </c>
      <c r="C2705" s="1" t="n">
        <v>45645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42265-2023</t>
        </is>
      </c>
      <c r="B2706" s="1" t="n">
        <v>45180</v>
      </c>
      <c r="C2706" s="1" t="n">
        <v>45645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42347-2023</t>
        </is>
      </c>
      <c r="B2707" s="1" t="n">
        <v>45180</v>
      </c>
      <c r="C2707" s="1" t="n">
        <v>45645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42356-2023</t>
        </is>
      </c>
      <c r="B2708" s="1" t="n">
        <v>45180</v>
      </c>
      <c r="C2708" s="1" t="n">
        <v>45645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42458-2023</t>
        </is>
      </c>
      <c r="B2709" s="1" t="n">
        <v>45180</v>
      </c>
      <c r="C2709" s="1" t="n">
        <v>45645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42461-2023</t>
        </is>
      </c>
      <c r="B2710" s="1" t="n">
        <v>45180</v>
      </c>
      <c r="C2710" s="1" t="n">
        <v>45645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43013-2023</t>
        </is>
      </c>
      <c r="B2711" s="1" t="n">
        <v>45180</v>
      </c>
      <c r="C2711" s="1" t="n">
        <v>45645</v>
      </c>
      <c r="D2711" t="inlineStr">
        <is>
          <t>VÄSTERNORRLANDS LÄN</t>
        </is>
      </c>
      <c r="E2711" t="inlineStr">
        <is>
          <t>ÖRNSKÖLDSVIK</t>
        </is>
      </c>
      <c r="G2711" t="n">
        <v>12.8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43024-2023</t>
        </is>
      </c>
      <c r="B2712" s="1" t="n">
        <v>45180</v>
      </c>
      <c r="C2712" s="1" t="n">
        <v>45645</v>
      </c>
      <c r="D2712" t="inlineStr">
        <is>
          <t>VÄSTERNORRLANDS LÄN</t>
        </is>
      </c>
      <c r="E2712" t="inlineStr">
        <is>
          <t>ÖRNSKÖLDSVIK</t>
        </is>
      </c>
      <c r="G2712" t="n">
        <v>19.3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42522-2023</t>
        </is>
      </c>
      <c r="B2713" s="1" t="n">
        <v>45181</v>
      </c>
      <c r="C2713" s="1" t="n">
        <v>45645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42533-2023</t>
        </is>
      </c>
      <c r="B2714" s="1" t="n">
        <v>45181</v>
      </c>
      <c r="C2714" s="1" t="n">
        <v>45645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42556-2023</t>
        </is>
      </c>
      <c r="B2715" s="1" t="n">
        <v>45181</v>
      </c>
      <c r="C2715" s="1" t="n">
        <v>45645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42764-2023</t>
        </is>
      </c>
      <c r="B2716" s="1" t="n">
        <v>45181</v>
      </c>
      <c r="C2716" s="1" t="n">
        <v>45645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42603-2023</t>
        </is>
      </c>
      <c r="B2717" s="1" t="n">
        <v>45181</v>
      </c>
      <c r="C2717" s="1" t="n">
        <v>45645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42561-2023</t>
        </is>
      </c>
      <c r="B2718" s="1" t="n">
        <v>45181</v>
      </c>
      <c r="C2718" s="1" t="n">
        <v>45645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42865-2023</t>
        </is>
      </c>
      <c r="B2719" s="1" t="n">
        <v>45182</v>
      </c>
      <c r="C2719" s="1" t="n">
        <v>45645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42866-2023</t>
        </is>
      </c>
      <c r="B2720" s="1" t="n">
        <v>45182</v>
      </c>
      <c r="C2720" s="1" t="n">
        <v>45645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42805-2023</t>
        </is>
      </c>
      <c r="B2721" s="1" t="n">
        <v>45182</v>
      </c>
      <c r="C2721" s="1" t="n">
        <v>45645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42813-2023</t>
        </is>
      </c>
      <c r="B2722" s="1" t="n">
        <v>45182</v>
      </c>
      <c r="C2722" s="1" t="n">
        <v>45645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42999-2023</t>
        </is>
      </c>
      <c r="B2723" s="1" t="n">
        <v>45182</v>
      </c>
      <c r="C2723" s="1" t="n">
        <v>45645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43100-2023</t>
        </is>
      </c>
      <c r="B2724" s="1" t="n">
        <v>45182</v>
      </c>
      <c r="C2724" s="1" t="n">
        <v>45645</v>
      </c>
      <c r="D2724" t="inlineStr">
        <is>
          <t>VÄSTERNORRLANDS LÄN</t>
        </is>
      </c>
      <c r="E2724" t="inlineStr">
        <is>
          <t>ÖRNSKÖLDSVIK</t>
        </is>
      </c>
      <c r="G2724" t="n">
        <v>12.9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43927-2023</t>
        </is>
      </c>
      <c r="B2725" s="1" t="n">
        <v>45182</v>
      </c>
      <c r="C2725" s="1" t="n">
        <v>45645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45645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43924-2023</t>
        </is>
      </c>
      <c r="B2727" s="1" t="n">
        <v>45182</v>
      </c>
      <c r="C2727" s="1" t="n">
        <v>45645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44059-2023</t>
        </is>
      </c>
      <c r="B2728" s="1" t="n">
        <v>45182</v>
      </c>
      <c r="C2728" s="1" t="n">
        <v>45645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44011-2023</t>
        </is>
      </c>
      <c r="B2729" s="1" t="n">
        <v>45182</v>
      </c>
      <c r="C2729" s="1" t="n">
        <v>45645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43189-2023</t>
        </is>
      </c>
      <c r="B2730" s="1" t="n">
        <v>45183</v>
      </c>
      <c r="C2730" s="1" t="n">
        <v>45645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43283-2023</t>
        </is>
      </c>
      <c r="B2731" s="1" t="n">
        <v>45183</v>
      </c>
      <c r="C2731" s="1" t="n">
        <v>45645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43191-2023</t>
        </is>
      </c>
      <c r="B2732" s="1" t="n">
        <v>45183</v>
      </c>
      <c r="C2732" s="1" t="n">
        <v>45645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43236-2023</t>
        </is>
      </c>
      <c r="B2733" s="1" t="n">
        <v>45183</v>
      </c>
      <c r="C2733" s="1" t="n">
        <v>45645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43242-2023</t>
        </is>
      </c>
      <c r="B2734" s="1" t="n">
        <v>45183</v>
      </c>
      <c r="C2734" s="1" t="n">
        <v>45645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43325-2023</t>
        </is>
      </c>
      <c r="B2735" s="1" t="n">
        <v>45183</v>
      </c>
      <c r="C2735" s="1" t="n">
        <v>45645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43282-2023</t>
        </is>
      </c>
      <c r="B2736" s="1" t="n">
        <v>45183</v>
      </c>
      <c r="C2736" s="1" t="n">
        <v>45645</v>
      </c>
      <c r="D2736" t="inlineStr">
        <is>
          <t>VÄSTERNORRLANDS LÄN</t>
        </is>
      </c>
      <c r="E2736" t="inlineStr">
        <is>
          <t>ÖRNSKÖLDSVIK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43334-2023</t>
        </is>
      </c>
      <c r="B2737" s="1" t="n">
        <v>45183</v>
      </c>
      <c r="C2737" s="1" t="n">
        <v>45645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45645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43427-2023</t>
        </is>
      </c>
      <c r="B2739" s="1" t="n">
        <v>45184</v>
      </c>
      <c r="C2739" s="1" t="n">
        <v>45645</v>
      </c>
      <c r="D2739" t="inlineStr">
        <is>
          <t>VÄSTERNORRLANDS LÄN</t>
        </is>
      </c>
      <c r="E2739" t="inlineStr">
        <is>
          <t>ÖRNSKÖLDSVIK</t>
        </is>
      </c>
      <c r="G2739" t="n">
        <v>7.7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43597-2023</t>
        </is>
      </c>
      <c r="B2740" s="1" t="n">
        <v>45184</v>
      </c>
      <c r="C2740" s="1" t="n">
        <v>45645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43617-2023</t>
        </is>
      </c>
      <c r="B2741" s="1" t="n">
        <v>45184</v>
      </c>
      <c r="C2741" s="1" t="n">
        <v>45645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43664-2023</t>
        </is>
      </c>
      <c r="B2742" s="1" t="n">
        <v>45187</v>
      </c>
      <c r="C2742" s="1" t="n">
        <v>45645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43672-2023</t>
        </is>
      </c>
      <c r="B2743" s="1" t="n">
        <v>45187</v>
      </c>
      <c r="C2743" s="1" t="n">
        <v>45645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43733-2023</t>
        </is>
      </c>
      <c r="B2744" s="1" t="n">
        <v>45187</v>
      </c>
      <c r="C2744" s="1" t="n">
        <v>45645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43691-2023</t>
        </is>
      </c>
      <c r="B2745" s="1" t="n">
        <v>45187</v>
      </c>
      <c r="C2745" s="1" t="n">
        <v>45645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43909-2023</t>
        </is>
      </c>
      <c r="B2746" s="1" t="n">
        <v>45187</v>
      </c>
      <c r="C2746" s="1" t="n">
        <v>45645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43913-2023</t>
        </is>
      </c>
      <c r="B2747" s="1" t="n">
        <v>45187</v>
      </c>
      <c r="C2747" s="1" t="n">
        <v>45645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43985-2023</t>
        </is>
      </c>
      <c r="B2748" s="1" t="n">
        <v>45187</v>
      </c>
      <c r="C2748" s="1" t="n">
        <v>45645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43986-2023</t>
        </is>
      </c>
      <c r="B2749" s="1" t="n">
        <v>45187</v>
      </c>
      <c r="C2749" s="1" t="n">
        <v>45645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43966-2023</t>
        </is>
      </c>
      <c r="B2750" s="1" t="n">
        <v>45188</v>
      </c>
      <c r="C2750" s="1" t="n">
        <v>45645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44037-2023</t>
        </is>
      </c>
      <c r="B2751" s="1" t="n">
        <v>45188</v>
      </c>
      <c r="C2751" s="1" t="n">
        <v>45645</v>
      </c>
      <c r="D2751" t="inlineStr">
        <is>
          <t>VÄSTERNORRLANDS LÄN</t>
        </is>
      </c>
      <c r="E2751" t="inlineStr">
        <is>
          <t>ÖRNSKÖLDSVIK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44210-2023</t>
        </is>
      </c>
      <c r="B2752" s="1" t="n">
        <v>45188</v>
      </c>
      <c r="C2752" s="1" t="n">
        <v>45645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44288-2023</t>
        </is>
      </c>
      <c r="B2753" s="1" t="n">
        <v>45188</v>
      </c>
      <c r="C2753" s="1" t="n">
        <v>45645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45645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44236-2023</t>
        </is>
      </c>
      <c r="B2755" s="1" t="n">
        <v>45188</v>
      </c>
      <c r="C2755" s="1" t="n">
        <v>45645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</v>
      </c>
      <c r="C2756" s="1" t="n">
        <v>45645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44275-2023</t>
        </is>
      </c>
      <c r="B2757" s="1" t="n">
        <v>45188</v>
      </c>
      <c r="C2757" s="1" t="n">
        <v>45645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44160-2023</t>
        </is>
      </c>
      <c r="B2758" s="1" t="n">
        <v>45188</v>
      </c>
      <c r="C2758" s="1" t="n">
        <v>45645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44202-2023</t>
        </is>
      </c>
      <c r="B2759" s="1" t="n">
        <v>45188</v>
      </c>
      <c r="C2759" s="1" t="n">
        <v>45645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44348-2023</t>
        </is>
      </c>
      <c r="B2760" s="1" t="n">
        <v>45188</v>
      </c>
      <c r="C2760" s="1" t="n">
        <v>45645</v>
      </c>
      <c r="D2760" t="inlineStr">
        <is>
          <t>VÄSTERNORRLANDS LÄN</t>
        </is>
      </c>
      <c r="E2760" t="inlineStr">
        <is>
          <t>ÖRNSKÖLDSVIK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45590-2023</t>
        </is>
      </c>
      <c r="B2761" s="1" t="n">
        <v>45188</v>
      </c>
      <c r="C2761" s="1" t="n">
        <v>45645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44500-2023</t>
        </is>
      </c>
      <c r="B2762" s="1" t="n">
        <v>45189</v>
      </c>
      <c r="C2762" s="1" t="n">
        <v>45645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44522-2023</t>
        </is>
      </c>
      <c r="B2763" s="1" t="n">
        <v>45189</v>
      </c>
      <c r="C2763" s="1" t="n">
        <v>45645</v>
      </c>
      <c r="D2763" t="inlineStr">
        <is>
          <t>VÄSTERNORRLANDS LÄN</t>
        </is>
      </c>
      <c r="E2763" t="inlineStr">
        <is>
          <t>ÖRNSKÖLDSVIK</t>
        </is>
      </c>
      <c r="G2763" t="n">
        <v>22.6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44574-2023</t>
        </is>
      </c>
      <c r="B2764" s="1" t="n">
        <v>45189</v>
      </c>
      <c r="C2764" s="1" t="n">
        <v>45645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44525-2023</t>
        </is>
      </c>
      <c r="B2765" s="1" t="n">
        <v>45189</v>
      </c>
      <c r="C2765" s="1" t="n">
        <v>45645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45704-2023</t>
        </is>
      </c>
      <c r="B2766" s="1" t="n">
        <v>45189</v>
      </c>
      <c r="C2766" s="1" t="n">
        <v>45645</v>
      </c>
      <c r="D2766" t="inlineStr">
        <is>
          <t>VÄSTERNORRLANDS LÄN</t>
        </is>
      </c>
      <c r="E2766" t="inlineStr">
        <is>
          <t>ÖRNSKÖLDSVIK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45784-2023</t>
        </is>
      </c>
      <c r="B2767" s="1" t="n">
        <v>45189</v>
      </c>
      <c r="C2767" s="1" t="n">
        <v>45645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45815-2023</t>
        </is>
      </c>
      <c r="B2768" s="1" t="n">
        <v>45189</v>
      </c>
      <c r="C2768" s="1" t="n">
        <v>45645</v>
      </c>
      <c r="D2768" t="inlineStr">
        <is>
          <t>VÄSTERNORRLANDS LÄN</t>
        </is>
      </c>
      <c r="E2768" t="inlineStr">
        <is>
          <t>ÖRNSKÖLDSVIK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45824-2023</t>
        </is>
      </c>
      <c r="B2769" s="1" t="n">
        <v>45189</v>
      </c>
      <c r="C2769" s="1" t="n">
        <v>45645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44492-2023</t>
        </is>
      </c>
      <c r="B2770" s="1" t="n">
        <v>45189</v>
      </c>
      <c r="C2770" s="1" t="n">
        <v>45645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44498-2023</t>
        </is>
      </c>
      <c r="B2771" s="1" t="n">
        <v>45189</v>
      </c>
      <c r="C2771" s="1" t="n">
        <v>45645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44591-2023</t>
        </is>
      </c>
      <c r="B2772" s="1" t="n">
        <v>45189</v>
      </c>
      <c r="C2772" s="1" t="n">
        <v>45645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45820-2023</t>
        </is>
      </c>
      <c r="B2773" s="1" t="n">
        <v>45189</v>
      </c>
      <c r="C2773" s="1" t="n">
        <v>45645</v>
      </c>
      <c r="D2773" t="inlineStr">
        <is>
          <t>VÄSTERNORRLANDS LÄN</t>
        </is>
      </c>
      <c r="E2773" t="inlineStr">
        <is>
          <t>ÖRNSKÖLDSVIK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44687-2023</t>
        </is>
      </c>
      <c r="B2774" s="1" t="n">
        <v>45189</v>
      </c>
      <c r="C2774" s="1" t="n">
        <v>45645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45715-2023</t>
        </is>
      </c>
      <c r="B2775" s="1" t="n">
        <v>45189</v>
      </c>
      <c r="C2775" s="1" t="n">
        <v>45645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45773-2023</t>
        </is>
      </c>
      <c r="B2776" s="1" t="n">
        <v>45189</v>
      </c>
      <c r="C2776" s="1" t="n">
        <v>45645</v>
      </c>
      <c r="D2776" t="inlineStr">
        <is>
          <t>VÄSTERNORRLANDS LÄN</t>
        </is>
      </c>
      <c r="E2776" t="inlineStr">
        <is>
          <t>ÖRNSKÖLDSVIK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44727-2023</t>
        </is>
      </c>
      <c r="B2777" s="1" t="n">
        <v>45190</v>
      </c>
      <c r="C2777" s="1" t="n">
        <v>45645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44726-2023</t>
        </is>
      </c>
      <c r="B2778" s="1" t="n">
        <v>45190</v>
      </c>
      <c r="C2778" s="1" t="n">
        <v>45645</v>
      </c>
      <c r="D2778" t="inlineStr">
        <is>
          <t>VÄSTERNORRLANDS LÄN</t>
        </is>
      </c>
      <c r="E2778" t="inlineStr">
        <is>
          <t>ÖRNSKÖLDSVIK</t>
        </is>
      </c>
      <c r="G2778" t="n">
        <v>15.9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44861-2023</t>
        </is>
      </c>
      <c r="B2779" s="1" t="n">
        <v>45190</v>
      </c>
      <c r="C2779" s="1" t="n">
        <v>45645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44873-2023</t>
        </is>
      </c>
      <c r="B2780" s="1" t="n">
        <v>45190</v>
      </c>
      <c r="C2780" s="1" t="n">
        <v>45645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8.5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44945-2023</t>
        </is>
      </c>
      <c r="B2781" s="1" t="n">
        <v>45190</v>
      </c>
      <c r="C2781" s="1" t="n">
        <v>45645</v>
      </c>
      <c r="D2781" t="inlineStr">
        <is>
          <t>VÄSTERNORRLANDS LÄN</t>
        </is>
      </c>
      <c r="E2781" t="inlineStr">
        <is>
          <t>ÖRNSKÖLDSVIK</t>
        </is>
      </c>
      <c r="G2781" t="n">
        <v>10.2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45067-2023</t>
        </is>
      </c>
      <c r="B2782" s="1" t="n">
        <v>45191</v>
      </c>
      <c r="C2782" s="1" t="n">
        <v>45645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45105-2023</t>
        </is>
      </c>
      <c r="B2783" s="1" t="n">
        <v>45191</v>
      </c>
      <c r="C2783" s="1" t="n">
        <v>45645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46225-2023</t>
        </is>
      </c>
      <c r="B2784" s="1" t="n">
        <v>45191</v>
      </c>
      <c r="C2784" s="1" t="n">
        <v>45645</v>
      </c>
      <c r="D2784" t="inlineStr">
        <is>
          <t>VÄSTERNORRLANDS LÄN</t>
        </is>
      </c>
      <c r="E2784" t="inlineStr">
        <is>
          <t>ÖRNSKÖLDSVIK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45362-2023</t>
        </is>
      </c>
      <c r="B2785" s="1" t="n">
        <v>45192</v>
      </c>
      <c r="C2785" s="1" t="n">
        <v>45645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45363-2023</t>
        </is>
      </c>
      <c r="B2786" s="1" t="n">
        <v>45192</v>
      </c>
      <c r="C2786" s="1" t="n">
        <v>45645</v>
      </c>
      <c r="D2786" t="inlineStr">
        <is>
          <t>VÄSTERNORRLANDS LÄN</t>
        </is>
      </c>
      <c r="E2786" t="inlineStr">
        <is>
          <t>ÖRNSKÖLDSVIK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45560-2023</t>
        </is>
      </c>
      <c r="B2787" s="1" t="n">
        <v>45194</v>
      </c>
      <c r="C2787" s="1" t="n">
        <v>45645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45619-2023</t>
        </is>
      </c>
      <c r="B2788" s="1" t="n">
        <v>45194</v>
      </c>
      <c r="C2788" s="1" t="n">
        <v>45645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45610-2023</t>
        </is>
      </c>
      <c r="B2789" s="1" t="n">
        <v>45194</v>
      </c>
      <c r="C2789" s="1" t="n">
        <v>45645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46481-2023</t>
        </is>
      </c>
      <c r="B2790" s="1" t="n">
        <v>45194</v>
      </c>
      <c r="C2790" s="1" t="n">
        <v>45645</v>
      </c>
      <c r="D2790" t="inlineStr">
        <is>
          <t>VÄSTERNORRLANDS LÄN</t>
        </is>
      </c>
      <c r="E2790" t="inlineStr">
        <is>
          <t>ÖRNSKÖLDSVIK</t>
        </is>
      </c>
      <c r="G2790" t="n">
        <v>18.8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45676-2023</t>
        </is>
      </c>
      <c r="B2791" s="1" t="n">
        <v>45195</v>
      </c>
      <c r="C2791" s="1" t="n">
        <v>45645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45794-2023</t>
        </is>
      </c>
      <c r="B2792" s="1" t="n">
        <v>45195</v>
      </c>
      <c r="C2792" s="1" t="n">
        <v>45645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45945-2023</t>
        </is>
      </c>
      <c r="B2793" s="1" t="n">
        <v>45195</v>
      </c>
      <c r="C2793" s="1" t="n">
        <v>45645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45914-2023</t>
        </is>
      </c>
      <c r="B2794" s="1" t="n">
        <v>45195</v>
      </c>
      <c r="C2794" s="1" t="n">
        <v>45645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45966-2023</t>
        </is>
      </c>
      <c r="B2795" s="1" t="n">
        <v>45195</v>
      </c>
      <c r="C2795" s="1" t="n">
        <v>45645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45942-2023</t>
        </is>
      </c>
      <c r="B2796" s="1" t="n">
        <v>45195</v>
      </c>
      <c r="C2796" s="1" t="n">
        <v>45645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45797-2023</t>
        </is>
      </c>
      <c r="B2797" s="1" t="n">
        <v>45195</v>
      </c>
      <c r="C2797" s="1" t="n">
        <v>45645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45944-2023</t>
        </is>
      </c>
      <c r="B2798" s="1" t="n">
        <v>45195</v>
      </c>
      <c r="C2798" s="1" t="n">
        <v>45645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45943-2023</t>
        </is>
      </c>
      <c r="B2799" s="1" t="n">
        <v>45195</v>
      </c>
      <c r="C2799" s="1" t="n">
        <v>45645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46142-2023</t>
        </is>
      </c>
      <c r="B2800" s="1" t="n">
        <v>45196</v>
      </c>
      <c r="C2800" s="1" t="n">
        <v>45645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47330-2023</t>
        </is>
      </c>
      <c r="B2801" s="1" t="n">
        <v>45196</v>
      </c>
      <c r="C2801" s="1" t="n">
        <v>45645</v>
      </c>
      <c r="D2801" t="inlineStr">
        <is>
          <t>VÄSTERNORRLANDS LÄN</t>
        </is>
      </c>
      <c r="E2801" t="inlineStr">
        <is>
          <t>ÖRNSKÖLDSVIK</t>
        </is>
      </c>
      <c r="G2801" t="n">
        <v>12.7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47334-2023</t>
        </is>
      </c>
      <c r="B2802" s="1" t="n">
        <v>45196</v>
      </c>
      <c r="C2802" s="1" t="n">
        <v>45645</v>
      </c>
      <c r="D2802" t="inlineStr">
        <is>
          <t>VÄSTERNORRLANDS LÄN</t>
        </is>
      </c>
      <c r="E2802" t="inlineStr">
        <is>
          <t>ÖRNSKÖLDSVIK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47342-2023</t>
        </is>
      </c>
      <c r="B2803" s="1" t="n">
        <v>45196</v>
      </c>
      <c r="C2803" s="1" t="n">
        <v>45645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47348-2023</t>
        </is>
      </c>
      <c r="B2804" s="1" t="n">
        <v>45196</v>
      </c>
      <c r="C2804" s="1" t="n">
        <v>45645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46284-2023</t>
        </is>
      </c>
      <c r="B2805" s="1" t="n">
        <v>45197</v>
      </c>
      <c r="C2805" s="1" t="n">
        <v>45645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46307-2023</t>
        </is>
      </c>
      <c r="B2806" s="1" t="n">
        <v>45197</v>
      </c>
      <c r="C2806" s="1" t="n">
        <v>45645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46428-2023</t>
        </is>
      </c>
      <c r="B2807" s="1" t="n">
        <v>45197</v>
      </c>
      <c r="C2807" s="1" t="n">
        <v>45645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46519-2023</t>
        </is>
      </c>
      <c r="B2808" s="1" t="n">
        <v>45197</v>
      </c>
      <c r="C2808" s="1" t="n">
        <v>45645</v>
      </c>
      <c r="D2808" t="inlineStr">
        <is>
          <t>VÄSTERNORRLANDS LÄN</t>
        </is>
      </c>
      <c r="E2808" t="inlineStr">
        <is>
          <t>ÖRNSKÖLDSVIK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46324-2023</t>
        </is>
      </c>
      <c r="B2809" s="1" t="n">
        <v>45197</v>
      </c>
      <c r="C2809" s="1" t="n">
        <v>45645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46295-2023</t>
        </is>
      </c>
      <c r="B2810" s="1" t="n">
        <v>45197</v>
      </c>
      <c r="C2810" s="1" t="n">
        <v>45645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47582-2023</t>
        </is>
      </c>
      <c r="B2811" s="1" t="n">
        <v>45197</v>
      </c>
      <c r="C2811" s="1" t="n">
        <v>45645</v>
      </c>
      <c r="D2811" t="inlineStr">
        <is>
          <t>VÄSTERNORRLANDS LÄN</t>
        </is>
      </c>
      <c r="E2811" t="inlineStr">
        <is>
          <t>ÖRNSKÖLDSVIK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47511-2023</t>
        </is>
      </c>
      <c r="B2812" s="1" t="n">
        <v>45197</v>
      </c>
      <c r="C2812" s="1" t="n">
        <v>45645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47598-2023</t>
        </is>
      </c>
      <c r="B2813" s="1" t="n">
        <v>45197</v>
      </c>
      <c r="C2813" s="1" t="n">
        <v>45645</v>
      </c>
      <c r="D2813" t="inlineStr">
        <is>
          <t>VÄSTERNORRLANDS LÄN</t>
        </is>
      </c>
      <c r="E2813" t="inlineStr">
        <is>
          <t>ÖRNSKÖLDSVIK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47523-2023</t>
        </is>
      </c>
      <c r="B2814" s="1" t="n">
        <v>45197</v>
      </c>
      <c r="C2814" s="1" t="n">
        <v>45645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47588-2023</t>
        </is>
      </c>
      <c r="B2815" s="1" t="n">
        <v>45197</v>
      </c>
      <c r="C2815" s="1" t="n">
        <v>45645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47514-2023</t>
        </is>
      </c>
      <c r="B2816" s="1" t="n">
        <v>45197</v>
      </c>
      <c r="C2816" s="1" t="n">
        <v>45645</v>
      </c>
      <c r="D2816" t="inlineStr">
        <is>
          <t>VÄSTERNORRLANDS LÄN</t>
        </is>
      </c>
      <c r="E2816" t="inlineStr">
        <is>
          <t>ÖRNSKÖLDSVIK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46716-2023</t>
        </is>
      </c>
      <c r="B2817" s="1" t="n">
        <v>45198</v>
      </c>
      <c r="C2817" s="1" t="n">
        <v>45645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46821-2023</t>
        </is>
      </c>
      <c r="B2818" s="1" t="n">
        <v>45198</v>
      </c>
      <c r="C2818" s="1" t="n">
        <v>45645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47109-2023</t>
        </is>
      </c>
      <c r="B2819" s="1" t="n">
        <v>45201</v>
      </c>
      <c r="C2819" s="1" t="n">
        <v>45645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47164-2023</t>
        </is>
      </c>
      <c r="B2820" s="1" t="n">
        <v>45201</v>
      </c>
      <c r="C2820" s="1" t="n">
        <v>45645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46974-2023</t>
        </is>
      </c>
      <c r="B2821" s="1" t="n">
        <v>45201</v>
      </c>
      <c r="C2821" s="1" t="n">
        <v>45645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46996-2023</t>
        </is>
      </c>
      <c r="B2822" s="1" t="n">
        <v>45201</v>
      </c>
      <c r="C2822" s="1" t="n">
        <v>45645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47072-2023</t>
        </is>
      </c>
      <c r="B2823" s="1" t="n">
        <v>45201</v>
      </c>
      <c r="C2823" s="1" t="n">
        <v>45645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46950-2023</t>
        </is>
      </c>
      <c r="B2824" s="1" t="n">
        <v>45201</v>
      </c>
      <c r="C2824" s="1" t="n">
        <v>45645</v>
      </c>
      <c r="D2824" t="inlineStr">
        <is>
          <t>VÄSTERNORRLANDS LÄN</t>
        </is>
      </c>
      <c r="E2824" t="inlineStr">
        <is>
          <t>ÖRNSKÖLDSVIK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46976-2023</t>
        </is>
      </c>
      <c r="B2825" s="1" t="n">
        <v>45201</v>
      </c>
      <c r="C2825" s="1" t="n">
        <v>45645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46988-2023</t>
        </is>
      </c>
      <c r="B2826" s="1" t="n">
        <v>45201</v>
      </c>
      <c r="C2826" s="1" t="n">
        <v>45645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48308-2023</t>
        </is>
      </c>
      <c r="B2827" s="1" t="n">
        <v>45201</v>
      </c>
      <c r="C2827" s="1" t="n">
        <v>45645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48323-2023</t>
        </is>
      </c>
      <c r="B2828" s="1" t="n">
        <v>45201</v>
      </c>
      <c r="C2828" s="1" t="n">
        <v>45645</v>
      </c>
      <c r="D2828" t="inlineStr">
        <is>
          <t>VÄSTERNORRLANDS LÄN</t>
        </is>
      </c>
      <c r="E2828" t="inlineStr">
        <is>
          <t>ÖRNSKÖLDSVIK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47190-2023</t>
        </is>
      </c>
      <c r="B2829" s="1" t="n">
        <v>45202</v>
      </c>
      <c r="C2829" s="1" t="n">
        <v>45645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47378-2023</t>
        </is>
      </c>
      <c r="B2830" s="1" t="n">
        <v>45202</v>
      </c>
      <c r="C2830" s="1" t="n">
        <v>45645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48653-2023</t>
        </is>
      </c>
      <c r="B2831" s="1" t="n">
        <v>45202</v>
      </c>
      <c r="C2831" s="1" t="n">
        <v>45645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48617-2023</t>
        </is>
      </c>
      <c r="B2832" s="1" t="n">
        <v>45202</v>
      </c>
      <c r="C2832" s="1" t="n">
        <v>45645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47508-2023</t>
        </is>
      </c>
      <c r="B2833" s="1" t="n">
        <v>45203</v>
      </c>
      <c r="C2833" s="1" t="n">
        <v>45645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47555-2023</t>
        </is>
      </c>
      <c r="B2834" s="1" t="n">
        <v>45203</v>
      </c>
      <c r="C2834" s="1" t="n">
        <v>45645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47560-2023</t>
        </is>
      </c>
      <c r="B2835" s="1" t="n">
        <v>45203</v>
      </c>
      <c r="C2835" s="1" t="n">
        <v>45645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47614-2023</t>
        </is>
      </c>
      <c r="B2836" s="1" t="n">
        <v>45203</v>
      </c>
      <c r="C2836" s="1" t="n">
        <v>45645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47590-2023</t>
        </is>
      </c>
      <c r="B2837" s="1" t="n">
        <v>45203</v>
      </c>
      <c r="C2837" s="1" t="n">
        <v>45645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47677-2023</t>
        </is>
      </c>
      <c r="B2838" s="1" t="n">
        <v>45203</v>
      </c>
      <c r="C2838" s="1" t="n">
        <v>45645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47667-2023</t>
        </is>
      </c>
      <c r="B2839" s="1" t="n">
        <v>45203</v>
      </c>
      <c r="C2839" s="1" t="n">
        <v>45645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47757-2023</t>
        </is>
      </c>
      <c r="B2840" s="1" t="n">
        <v>45203</v>
      </c>
      <c r="C2840" s="1" t="n">
        <v>45645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47755-2023</t>
        </is>
      </c>
      <c r="B2841" s="1" t="n">
        <v>45203</v>
      </c>
      <c r="C2841" s="1" t="n">
        <v>45645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47563-2023</t>
        </is>
      </c>
      <c r="B2842" s="1" t="n">
        <v>45203</v>
      </c>
      <c r="C2842" s="1" t="n">
        <v>45645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47718-2023</t>
        </is>
      </c>
      <c r="B2843" s="1" t="n">
        <v>45203</v>
      </c>
      <c r="C2843" s="1" t="n">
        <v>45645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47752-2023</t>
        </is>
      </c>
      <c r="B2844" s="1" t="n">
        <v>45203</v>
      </c>
      <c r="C2844" s="1" t="n">
        <v>45645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47798-2023</t>
        </is>
      </c>
      <c r="B2845" s="1" t="n">
        <v>45203</v>
      </c>
      <c r="C2845" s="1" t="n">
        <v>45645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48720-2023</t>
        </is>
      </c>
      <c r="B2846" s="1" t="n">
        <v>45203</v>
      </c>
      <c r="C2846" s="1" t="n">
        <v>45645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48715-2023</t>
        </is>
      </c>
      <c r="B2847" s="1" t="n">
        <v>45203</v>
      </c>
      <c r="C2847" s="1" t="n">
        <v>45645</v>
      </c>
      <c r="D2847" t="inlineStr">
        <is>
          <t>VÄSTERNORRLANDS LÄN</t>
        </is>
      </c>
      <c r="E2847" t="inlineStr">
        <is>
          <t>ÖRNSKÖLDSVIK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47810-2023</t>
        </is>
      </c>
      <c r="B2848" s="1" t="n">
        <v>45204</v>
      </c>
      <c r="C2848" s="1" t="n">
        <v>45645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47837-2023</t>
        </is>
      </c>
      <c r="B2849" s="1" t="n">
        <v>45204</v>
      </c>
      <c r="C2849" s="1" t="n">
        <v>45645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48009-2023</t>
        </is>
      </c>
      <c r="B2850" s="1" t="n">
        <v>45204</v>
      </c>
      <c r="C2850" s="1" t="n">
        <v>45645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45645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48082-2023</t>
        </is>
      </c>
      <c r="B2852" s="1" t="n">
        <v>45204</v>
      </c>
      <c r="C2852" s="1" t="n">
        <v>45645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47861-2023</t>
        </is>
      </c>
      <c r="B2853" s="1" t="n">
        <v>45204</v>
      </c>
      <c r="C2853" s="1" t="n">
        <v>45645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48001-2023</t>
        </is>
      </c>
      <c r="B2854" s="1" t="n">
        <v>45204</v>
      </c>
      <c r="C2854" s="1" t="n">
        <v>45645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48010-2023</t>
        </is>
      </c>
      <c r="B2855" s="1" t="n">
        <v>45204</v>
      </c>
      <c r="C2855" s="1" t="n">
        <v>45645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48056-2023</t>
        </is>
      </c>
      <c r="B2856" s="1" t="n">
        <v>45205</v>
      </c>
      <c r="C2856" s="1" t="n">
        <v>45645</v>
      </c>
      <c r="D2856" t="inlineStr">
        <is>
          <t>VÄSTERNORRLANDS LÄN</t>
        </is>
      </c>
      <c r="E2856" t="inlineStr">
        <is>
          <t>ÖRNSKÖLDSVIK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49075-2023</t>
        </is>
      </c>
      <c r="B2857" s="1" t="n">
        <v>45204</v>
      </c>
      <c r="C2857" s="1" t="n">
        <v>45645</v>
      </c>
      <c r="D2857" t="inlineStr">
        <is>
          <t>VÄSTERNORRLANDS LÄN</t>
        </is>
      </c>
      <c r="E2857" t="inlineStr">
        <is>
          <t>ÖRNSKÖLDSVIK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49087-2023</t>
        </is>
      </c>
      <c r="B2858" s="1" t="n">
        <v>45204</v>
      </c>
      <c r="C2858" s="1" t="n">
        <v>45645</v>
      </c>
      <c r="D2858" t="inlineStr">
        <is>
          <t>VÄSTERNORRLANDS LÄN</t>
        </is>
      </c>
      <c r="E2858" t="inlineStr">
        <is>
          <t>ÖRNSKÖLDSVIK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48913-2023</t>
        </is>
      </c>
      <c r="B2859" s="1" t="n">
        <v>45204</v>
      </c>
      <c r="C2859" s="1" t="n">
        <v>45645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48098-2023</t>
        </is>
      </c>
      <c r="B2860" s="1" t="n">
        <v>45205</v>
      </c>
      <c r="C2860" s="1" t="n">
        <v>45645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48115-2023</t>
        </is>
      </c>
      <c r="B2861" s="1" t="n">
        <v>45205</v>
      </c>
      <c r="C2861" s="1" t="n">
        <v>45645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48134-2023</t>
        </is>
      </c>
      <c r="B2862" s="1" t="n">
        <v>45205</v>
      </c>
      <c r="C2862" s="1" t="n">
        <v>45645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48127-2023</t>
        </is>
      </c>
      <c r="B2863" s="1" t="n">
        <v>45205</v>
      </c>
      <c r="C2863" s="1" t="n">
        <v>45645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48191-2023</t>
        </is>
      </c>
      <c r="B2864" s="1" t="n">
        <v>45205</v>
      </c>
      <c r="C2864" s="1" t="n">
        <v>45645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48218-2023</t>
        </is>
      </c>
      <c r="B2865" s="1" t="n">
        <v>45205</v>
      </c>
      <c r="C2865" s="1" t="n">
        <v>45645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48202-2023</t>
        </is>
      </c>
      <c r="B2866" s="1" t="n">
        <v>45205</v>
      </c>
      <c r="C2866" s="1" t="n">
        <v>45645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48215-2023</t>
        </is>
      </c>
      <c r="B2867" s="1" t="n">
        <v>45205</v>
      </c>
      <c r="C2867" s="1" t="n">
        <v>45645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48189-2023</t>
        </is>
      </c>
      <c r="B2868" s="1" t="n">
        <v>45205</v>
      </c>
      <c r="C2868" s="1" t="n">
        <v>45645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48199-2023</t>
        </is>
      </c>
      <c r="B2869" s="1" t="n">
        <v>45205</v>
      </c>
      <c r="C2869" s="1" t="n">
        <v>45645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48239-2023</t>
        </is>
      </c>
      <c r="B2870" s="1" t="n">
        <v>45205</v>
      </c>
      <c r="C2870" s="1" t="n">
        <v>45645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48441-2023</t>
        </is>
      </c>
      <c r="B2871" s="1" t="n">
        <v>45205</v>
      </c>
      <c r="C2871" s="1" t="n">
        <v>45645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48436-2023</t>
        </is>
      </c>
      <c r="B2872" s="1" t="n">
        <v>45205</v>
      </c>
      <c r="C2872" s="1" t="n">
        <v>45645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49435-2023</t>
        </is>
      </c>
      <c r="B2873" s="1" t="n">
        <v>45205</v>
      </c>
      <c r="C2873" s="1" t="n">
        <v>45645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Kyrkan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48439-2023</t>
        </is>
      </c>
      <c r="B2874" s="1" t="n">
        <v>45205</v>
      </c>
      <c r="C2874" s="1" t="n">
        <v>45645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48486-2023</t>
        </is>
      </c>
      <c r="B2875" s="1" t="n">
        <v>45206</v>
      </c>
      <c r="C2875" s="1" t="n">
        <v>45645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48487-2023</t>
        </is>
      </c>
      <c r="B2876" s="1" t="n">
        <v>45206</v>
      </c>
      <c r="C2876" s="1" t="n">
        <v>45645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48496-2023</t>
        </is>
      </c>
      <c r="B2877" s="1" t="n">
        <v>45207</v>
      </c>
      <c r="C2877" s="1" t="n">
        <v>45645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48497-2023</t>
        </is>
      </c>
      <c r="B2878" s="1" t="n">
        <v>45207</v>
      </c>
      <c r="C2878" s="1" t="n">
        <v>45645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48498-2023</t>
        </is>
      </c>
      <c r="B2879" s="1" t="n">
        <v>45207</v>
      </c>
      <c r="C2879" s="1" t="n">
        <v>45645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48529-2023</t>
        </is>
      </c>
      <c r="B2880" s="1" t="n">
        <v>45208</v>
      </c>
      <c r="C2880" s="1" t="n">
        <v>45645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48523-2023</t>
        </is>
      </c>
      <c r="B2881" s="1" t="n">
        <v>45208</v>
      </c>
      <c r="C2881" s="1" t="n">
        <v>45645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48537-2023</t>
        </is>
      </c>
      <c r="B2882" s="1" t="n">
        <v>45208</v>
      </c>
      <c r="C2882" s="1" t="n">
        <v>45645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48554-2023</t>
        </is>
      </c>
      <c r="B2883" s="1" t="n">
        <v>45208</v>
      </c>
      <c r="C2883" s="1" t="n">
        <v>45645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48700-2023</t>
        </is>
      </c>
      <c r="B2884" s="1" t="n">
        <v>45208</v>
      </c>
      <c r="C2884" s="1" t="n">
        <v>45645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48704-2023</t>
        </is>
      </c>
      <c r="B2885" s="1" t="n">
        <v>45208</v>
      </c>
      <c r="C2885" s="1" t="n">
        <v>45645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45645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48741-2023</t>
        </is>
      </c>
      <c r="B2887" s="1" t="n">
        <v>45208</v>
      </c>
      <c r="C2887" s="1" t="n">
        <v>45645</v>
      </c>
      <c r="D2887" t="inlineStr">
        <is>
          <t>VÄSTERNORRLANDS LÄN</t>
        </is>
      </c>
      <c r="E2887" t="inlineStr">
        <is>
          <t>ÖRNSKÖLDSVIK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48705-2023</t>
        </is>
      </c>
      <c r="B2888" s="1" t="n">
        <v>45208</v>
      </c>
      <c r="C2888" s="1" t="n">
        <v>45645</v>
      </c>
      <c r="D2888" t="inlineStr">
        <is>
          <t>VÄSTERNORRLANDS LÄN</t>
        </is>
      </c>
      <c r="E2888" t="inlineStr">
        <is>
          <t>ÖRNSKÖLDSVIK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48608-2023</t>
        </is>
      </c>
      <c r="B2889" s="1" t="n">
        <v>45208</v>
      </c>
      <c r="C2889" s="1" t="n">
        <v>45645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48666-2023</t>
        </is>
      </c>
      <c r="B2890" s="1" t="n">
        <v>45208</v>
      </c>
      <c r="C2890" s="1" t="n">
        <v>45645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50134-2023</t>
        </is>
      </c>
      <c r="B2891" s="1" t="n">
        <v>45208</v>
      </c>
      <c r="C2891" s="1" t="n">
        <v>45645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48942-2023</t>
        </is>
      </c>
      <c r="B2892" s="1" t="n">
        <v>45209</v>
      </c>
      <c r="C2892" s="1" t="n">
        <v>45645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48977-2023</t>
        </is>
      </c>
      <c r="B2893" s="1" t="n">
        <v>45209</v>
      </c>
      <c r="C2893" s="1" t="n">
        <v>45645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48979-2023</t>
        </is>
      </c>
      <c r="B2894" s="1" t="n">
        <v>45209</v>
      </c>
      <c r="C2894" s="1" t="n">
        <v>45645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49023-2023</t>
        </is>
      </c>
      <c r="B2895" s="1" t="n">
        <v>45209</v>
      </c>
      <c r="C2895" s="1" t="n">
        <v>45645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49027-2023</t>
        </is>
      </c>
      <c r="B2896" s="1" t="n">
        <v>45209</v>
      </c>
      <c r="C2896" s="1" t="n">
        <v>45645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48993-2023</t>
        </is>
      </c>
      <c r="B2897" s="1" t="n">
        <v>45209</v>
      </c>
      <c r="C2897" s="1" t="n">
        <v>45645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50369-2023</t>
        </is>
      </c>
      <c r="B2898" s="1" t="n">
        <v>45209</v>
      </c>
      <c r="C2898" s="1" t="n">
        <v>45645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50362-2023</t>
        </is>
      </c>
      <c r="B2899" s="1" t="n">
        <v>45209</v>
      </c>
      <c r="C2899" s="1" t="n">
        <v>45645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49010-2023</t>
        </is>
      </c>
      <c r="B2900" s="1" t="n">
        <v>45209</v>
      </c>
      <c r="C2900" s="1" t="n">
        <v>45645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49076-2023</t>
        </is>
      </c>
      <c r="B2901" s="1" t="n">
        <v>45210</v>
      </c>
      <c r="C2901" s="1" t="n">
        <v>45645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49180-2023</t>
        </is>
      </c>
      <c r="B2902" s="1" t="n">
        <v>45210</v>
      </c>
      <c r="C2902" s="1" t="n">
        <v>45645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49185-2023</t>
        </is>
      </c>
      <c r="B2903" s="1" t="n">
        <v>45210</v>
      </c>
      <c r="C2903" s="1" t="n">
        <v>45645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49051-2023</t>
        </is>
      </c>
      <c r="B2904" s="1" t="n">
        <v>45210</v>
      </c>
      <c r="C2904" s="1" t="n">
        <v>45645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49064-2023</t>
        </is>
      </c>
      <c r="B2905" s="1" t="n">
        <v>45210</v>
      </c>
      <c r="C2905" s="1" t="n">
        <v>45645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49074-2023</t>
        </is>
      </c>
      <c r="B2906" s="1" t="n">
        <v>45210</v>
      </c>
      <c r="C2906" s="1" t="n">
        <v>45645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49239-2023</t>
        </is>
      </c>
      <c r="B2907" s="1" t="n">
        <v>45210</v>
      </c>
      <c r="C2907" s="1" t="n">
        <v>45645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49260-2023</t>
        </is>
      </c>
      <c r="B2908" s="1" t="n">
        <v>45210</v>
      </c>
      <c r="C2908" s="1" t="n">
        <v>45645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49284-2023</t>
        </is>
      </c>
      <c r="B2909" s="1" t="n">
        <v>45210</v>
      </c>
      <c r="C2909" s="1" t="n">
        <v>45645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49287-2023</t>
        </is>
      </c>
      <c r="B2910" s="1" t="n">
        <v>45210</v>
      </c>
      <c r="C2910" s="1" t="n">
        <v>45645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50687-2023</t>
        </is>
      </c>
      <c r="B2911" s="1" t="n">
        <v>45210</v>
      </c>
      <c r="C2911" s="1" t="n">
        <v>45645</v>
      </c>
      <c r="D2911" t="inlineStr">
        <is>
          <t>VÄSTERNORRLANDS LÄN</t>
        </is>
      </c>
      <c r="E2911" t="inlineStr">
        <is>
          <t>ÖRNSKÖLDSVIK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49342-2023</t>
        </is>
      </c>
      <c r="B2912" s="1" t="n">
        <v>45211</v>
      </c>
      <c r="C2912" s="1" t="n">
        <v>45645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49374-2023</t>
        </is>
      </c>
      <c r="B2913" s="1" t="n">
        <v>45211</v>
      </c>
      <c r="C2913" s="1" t="n">
        <v>45645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49379-2023</t>
        </is>
      </c>
      <c r="B2914" s="1" t="n">
        <v>45211</v>
      </c>
      <c r="C2914" s="1" t="n">
        <v>45645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49476-2023</t>
        </is>
      </c>
      <c r="B2915" s="1" t="n">
        <v>45211</v>
      </c>
      <c r="C2915" s="1" t="n">
        <v>45645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49469-2023</t>
        </is>
      </c>
      <c r="B2916" s="1" t="n">
        <v>45211</v>
      </c>
      <c r="C2916" s="1" t="n">
        <v>45645</v>
      </c>
      <c r="D2916" t="inlineStr">
        <is>
          <t>VÄSTERNORRLANDS LÄN</t>
        </is>
      </c>
      <c r="E2916" t="inlineStr">
        <is>
          <t>ÖRNSKÖLDSVIK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49504-2023</t>
        </is>
      </c>
      <c r="B2917" s="1" t="n">
        <v>45211</v>
      </c>
      <c r="C2917" s="1" t="n">
        <v>45645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49579-2023</t>
        </is>
      </c>
      <c r="B2918" s="1" t="n">
        <v>45211</v>
      </c>
      <c r="C2918" s="1" t="n">
        <v>45645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49576-2023</t>
        </is>
      </c>
      <c r="B2919" s="1" t="n">
        <v>45211</v>
      </c>
      <c r="C2919" s="1" t="n">
        <v>45645</v>
      </c>
      <c r="D2919" t="inlineStr">
        <is>
          <t>VÄSTERNORRLANDS LÄN</t>
        </is>
      </c>
      <c r="E2919" t="inlineStr">
        <is>
          <t>ÖRNSKÖLDSVIK</t>
        </is>
      </c>
      <c r="G2919" t="n">
        <v>10.2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49567-2023</t>
        </is>
      </c>
      <c r="B2920" s="1" t="n">
        <v>45211</v>
      </c>
      <c r="C2920" s="1" t="n">
        <v>45645</v>
      </c>
      <c r="D2920" t="inlineStr">
        <is>
          <t>VÄSTERNORRLANDS LÄN</t>
        </is>
      </c>
      <c r="E2920" t="inlineStr">
        <is>
          <t>ÖRNSKÖLDSVIK</t>
        </is>
      </c>
      <c r="G2920" t="n">
        <v>7.6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49381-2023</t>
        </is>
      </c>
      <c r="B2921" s="1" t="n">
        <v>45211</v>
      </c>
      <c r="C2921" s="1" t="n">
        <v>45645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49412-2023</t>
        </is>
      </c>
      <c r="B2922" s="1" t="n">
        <v>45211</v>
      </c>
      <c r="C2922" s="1" t="n">
        <v>45645</v>
      </c>
      <c r="D2922" t="inlineStr">
        <is>
          <t>VÄSTERNORRLANDS LÄN</t>
        </is>
      </c>
      <c r="E2922" t="inlineStr">
        <is>
          <t>ÖRNSKÖLDSVIK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49426-2023</t>
        </is>
      </c>
      <c r="B2923" s="1" t="n">
        <v>45211</v>
      </c>
      <c r="C2923" s="1" t="n">
        <v>45645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49446-2023</t>
        </is>
      </c>
      <c r="B2924" s="1" t="n">
        <v>45211</v>
      </c>
      <c r="C2924" s="1" t="n">
        <v>45645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49560-2023</t>
        </is>
      </c>
      <c r="B2925" s="1" t="n">
        <v>45211</v>
      </c>
      <c r="C2925" s="1" t="n">
        <v>45645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50947-2023</t>
        </is>
      </c>
      <c r="B2926" s="1" t="n">
        <v>45211</v>
      </c>
      <c r="C2926" s="1" t="n">
        <v>45645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50863-2023</t>
        </is>
      </c>
      <c r="B2927" s="1" t="n">
        <v>45211</v>
      </c>
      <c r="C2927" s="1" t="n">
        <v>45645</v>
      </c>
      <c r="D2927" t="inlineStr">
        <is>
          <t>VÄSTERNORRLANDS LÄN</t>
        </is>
      </c>
      <c r="E2927" t="inlineStr">
        <is>
          <t>ÖRNSKÖLDSVIK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49677-2023</t>
        </is>
      </c>
      <c r="B2928" s="1" t="n">
        <v>45212</v>
      </c>
      <c r="C2928" s="1" t="n">
        <v>45645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49701-2023</t>
        </is>
      </c>
      <c r="B2929" s="1" t="n">
        <v>45212</v>
      </c>
      <c r="C2929" s="1" t="n">
        <v>45645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49675-2023</t>
        </is>
      </c>
      <c r="B2930" s="1" t="n">
        <v>45212</v>
      </c>
      <c r="C2930" s="1" t="n">
        <v>45645</v>
      </c>
      <c r="D2930" t="inlineStr">
        <is>
          <t>VÄSTERNORRLANDS LÄN</t>
        </is>
      </c>
      <c r="E2930" t="inlineStr">
        <is>
          <t>ÖRNSKÖLDSVIK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49758-2023</t>
        </is>
      </c>
      <c r="B2931" s="1" t="n">
        <v>45212</v>
      </c>
      <c r="C2931" s="1" t="n">
        <v>45645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51298-2023</t>
        </is>
      </c>
      <c r="B2932" s="1" t="n">
        <v>45212</v>
      </c>
      <c r="C2932" s="1" t="n">
        <v>45645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51321-2023</t>
        </is>
      </c>
      <c r="B2933" s="1" t="n">
        <v>45212</v>
      </c>
      <c r="C2933" s="1" t="n">
        <v>45645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51395-2023</t>
        </is>
      </c>
      <c r="B2934" s="1" t="n">
        <v>45214</v>
      </c>
      <c r="C2934" s="1" t="n">
        <v>45645</v>
      </c>
      <c r="D2934" t="inlineStr">
        <is>
          <t>VÄSTERNORRLANDS LÄN</t>
        </is>
      </c>
      <c r="E2934" t="inlineStr">
        <is>
          <t>ÖRNSKÖLDSVIK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49929-2023</t>
        </is>
      </c>
      <c r="B2935" s="1" t="n">
        <v>45215</v>
      </c>
      <c r="C2935" s="1" t="n">
        <v>45645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51402-2023</t>
        </is>
      </c>
      <c r="B2936" s="1" t="n">
        <v>45214</v>
      </c>
      <c r="C2936" s="1" t="n">
        <v>45645</v>
      </c>
      <c r="D2936" t="inlineStr">
        <is>
          <t>VÄSTERNORRLANDS LÄN</t>
        </is>
      </c>
      <c r="E2936" t="inlineStr">
        <is>
          <t>ÖRNSKÖLDSVIK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50044-2023</t>
        </is>
      </c>
      <c r="B2937" s="1" t="n">
        <v>45215</v>
      </c>
      <c r="C2937" s="1" t="n">
        <v>45645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50014-2023</t>
        </is>
      </c>
      <c r="B2938" s="1" t="n">
        <v>45215</v>
      </c>
      <c r="C2938" s="1" t="n">
        <v>45645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49960-2023</t>
        </is>
      </c>
      <c r="B2939" s="1" t="n">
        <v>45215</v>
      </c>
      <c r="C2939" s="1" t="n">
        <v>45645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50193-2023</t>
        </is>
      </c>
      <c r="B2940" s="1" t="n">
        <v>45215</v>
      </c>
      <c r="C2940" s="1" t="n">
        <v>45645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50201-2023</t>
        </is>
      </c>
      <c r="B2941" s="1" t="n">
        <v>45215</v>
      </c>
      <c r="C2941" s="1" t="n">
        <v>45645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50069-2023</t>
        </is>
      </c>
      <c r="B2942" s="1" t="n">
        <v>45215</v>
      </c>
      <c r="C2942" s="1" t="n">
        <v>45645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50196-2023</t>
        </is>
      </c>
      <c r="B2943" s="1" t="n">
        <v>45215</v>
      </c>
      <c r="C2943" s="1" t="n">
        <v>45645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51722-2023</t>
        </is>
      </c>
      <c r="B2944" s="1" t="n">
        <v>45215</v>
      </c>
      <c r="C2944" s="1" t="n">
        <v>45645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50265-2023</t>
        </is>
      </c>
      <c r="B2945" s="1" t="n">
        <v>45216</v>
      </c>
      <c r="C2945" s="1" t="n">
        <v>45645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50262-2023</t>
        </is>
      </c>
      <c r="B2946" s="1" t="n">
        <v>45216</v>
      </c>
      <c r="C2946" s="1" t="n">
        <v>45645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50342-2023</t>
        </is>
      </c>
      <c r="B2947" s="1" t="n">
        <v>45216</v>
      </c>
      <c r="C2947" s="1" t="n">
        <v>45645</v>
      </c>
      <c r="D2947" t="inlineStr">
        <is>
          <t>VÄSTERNORRLANDS LÄN</t>
        </is>
      </c>
      <c r="E2947" t="inlineStr">
        <is>
          <t>ÖRNSKÖLDSVIK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50411-2023</t>
        </is>
      </c>
      <c r="B2948" s="1" t="n">
        <v>45216</v>
      </c>
      <c r="C2948" s="1" t="n">
        <v>45645</v>
      </c>
      <c r="D2948" t="inlineStr">
        <is>
          <t>VÄSTERNORRLANDS LÄN</t>
        </is>
      </c>
      <c r="E2948" t="inlineStr">
        <is>
          <t>ÖRNSKÖLDSVIK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50367-2023</t>
        </is>
      </c>
      <c r="B2949" s="1" t="n">
        <v>45216</v>
      </c>
      <c r="C2949" s="1" t="n">
        <v>45645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51972-2023</t>
        </is>
      </c>
      <c r="B2950" s="1" t="n">
        <v>45216</v>
      </c>
      <c r="C2950" s="1" t="n">
        <v>45645</v>
      </c>
      <c r="D2950" t="inlineStr">
        <is>
          <t>VÄSTERNORRLANDS LÄN</t>
        </is>
      </c>
      <c r="E2950" t="inlineStr">
        <is>
          <t>ÖRNSKÖLDSVIK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51976-2023</t>
        </is>
      </c>
      <c r="B2951" s="1" t="n">
        <v>45216</v>
      </c>
      <c r="C2951" s="1" t="n">
        <v>45645</v>
      </c>
      <c r="D2951" t="inlineStr">
        <is>
          <t>VÄSTERNORRLANDS LÄN</t>
        </is>
      </c>
      <c r="E2951" t="inlineStr">
        <is>
          <t>ÖRNSKÖLDSVIK</t>
        </is>
      </c>
      <c r="G2951" t="n">
        <v>28.1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50586-2023</t>
        </is>
      </c>
      <c r="B2952" s="1" t="n">
        <v>45217</v>
      </c>
      <c r="C2952" s="1" t="n">
        <v>45645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50730-2023</t>
        </is>
      </c>
      <c r="B2953" s="1" t="n">
        <v>45217</v>
      </c>
      <c r="C2953" s="1" t="n">
        <v>45645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50746-2023</t>
        </is>
      </c>
      <c r="B2954" s="1" t="n">
        <v>45217</v>
      </c>
      <c r="C2954" s="1" t="n">
        <v>45645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50762-2023</t>
        </is>
      </c>
      <c r="B2955" s="1" t="n">
        <v>45217</v>
      </c>
      <c r="C2955" s="1" t="n">
        <v>45645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50878-2023</t>
        </is>
      </c>
      <c r="B2956" s="1" t="n">
        <v>45218</v>
      </c>
      <c r="C2956" s="1" t="n">
        <v>45645</v>
      </c>
      <c r="D2956" t="inlineStr">
        <is>
          <t>VÄSTERNORRLANDS LÄN</t>
        </is>
      </c>
      <c r="E2956" t="inlineStr">
        <is>
          <t>ÖRNSKÖLDSVIK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50888-2023</t>
        </is>
      </c>
      <c r="B2957" s="1" t="n">
        <v>45218</v>
      </c>
      <c r="C2957" s="1" t="n">
        <v>45645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51045-2023</t>
        </is>
      </c>
      <c r="B2958" s="1" t="n">
        <v>45218</v>
      </c>
      <c r="C2958" s="1" t="n">
        <v>45645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51054-2023</t>
        </is>
      </c>
      <c r="B2959" s="1" t="n">
        <v>45218</v>
      </c>
      <c r="C2959" s="1" t="n">
        <v>45645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51070-2023</t>
        </is>
      </c>
      <c r="B2960" s="1" t="n">
        <v>45218</v>
      </c>
      <c r="C2960" s="1" t="n">
        <v>45645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51040-2023</t>
        </is>
      </c>
      <c r="B2961" s="1" t="n">
        <v>45218</v>
      </c>
      <c r="C2961" s="1" t="n">
        <v>45645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51057-2023</t>
        </is>
      </c>
      <c r="B2962" s="1" t="n">
        <v>45218</v>
      </c>
      <c r="C2962" s="1" t="n">
        <v>45645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51013-2023</t>
        </is>
      </c>
      <c r="B2963" s="1" t="n">
        <v>45218</v>
      </c>
      <c r="C2963" s="1" t="n">
        <v>45645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51026-2023</t>
        </is>
      </c>
      <c r="B2964" s="1" t="n">
        <v>45218</v>
      </c>
      <c r="C2964" s="1" t="n">
        <v>45645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52504-2023</t>
        </is>
      </c>
      <c r="B2965" s="1" t="n">
        <v>45218</v>
      </c>
      <c r="C2965" s="1" t="n">
        <v>45645</v>
      </c>
      <c r="D2965" t="inlineStr">
        <is>
          <t>VÄSTERNORRLANDS LÄN</t>
        </is>
      </c>
      <c r="E2965" t="inlineStr">
        <is>
          <t>ÖRNSKÖLDSVIK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52498-2023</t>
        </is>
      </c>
      <c r="B2966" s="1" t="n">
        <v>45218</v>
      </c>
      <c r="C2966" s="1" t="n">
        <v>45645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51105-2023</t>
        </is>
      </c>
      <c r="B2967" s="1" t="n">
        <v>45219</v>
      </c>
      <c r="C2967" s="1" t="n">
        <v>45645</v>
      </c>
      <c r="D2967" t="inlineStr">
        <is>
          <t>VÄSTERNORRLANDS LÄN</t>
        </is>
      </c>
      <c r="E2967" t="inlineStr">
        <is>
          <t>ÖRNSKÖLDSVIK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52679-2023</t>
        </is>
      </c>
      <c r="B2968" s="1" t="n">
        <v>45219</v>
      </c>
      <c r="C2968" s="1" t="n">
        <v>45645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51329-2023</t>
        </is>
      </c>
      <c r="B2969" s="1" t="n">
        <v>45219</v>
      </c>
      <c r="C2969" s="1" t="n">
        <v>45645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51272-2023</t>
        </is>
      </c>
      <c r="B2970" s="1" t="n">
        <v>45219</v>
      </c>
      <c r="C2970" s="1" t="n">
        <v>45645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51477-2023</t>
        </is>
      </c>
      <c r="B2971" s="1" t="n">
        <v>45221</v>
      </c>
      <c r="C2971" s="1" t="n">
        <v>45645</v>
      </c>
      <c r="D2971" t="inlineStr">
        <is>
          <t>VÄSTERNORRLANDS LÄN</t>
        </is>
      </c>
      <c r="E2971" t="inlineStr">
        <is>
          <t>ÖRNSKÖLDSVIK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51495-2023</t>
        </is>
      </c>
      <c r="B2972" s="1" t="n">
        <v>45222</v>
      </c>
      <c r="C2972" s="1" t="n">
        <v>45645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51508-2023</t>
        </is>
      </c>
      <c r="B2973" s="1" t="n">
        <v>45222</v>
      </c>
      <c r="C2973" s="1" t="n">
        <v>45645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51787-2023</t>
        </is>
      </c>
      <c r="B2974" s="1" t="n">
        <v>45222</v>
      </c>
      <c r="C2974" s="1" t="n">
        <v>45645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51561-2023</t>
        </is>
      </c>
      <c r="B2975" s="1" t="n">
        <v>45222</v>
      </c>
      <c r="C2975" s="1" t="n">
        <v>45645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53174-2023</t>
        </is>
      </c>
      <c r="B2976" s="1" t="n">
        <v>45222</v>
      </c>
      <c r="C2976" s="1" t="n">
        <v>45645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53171-2023</t>
        </is>
      </c>
      <c r="B2977" s="1" t="n">
        <v>45222</v>
      </c>
      <c r="C2977" s="1" t="n">
        <v>45645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51518-2023</t>
        </is>
      </c>
      <c r="B2978" s="1" t="n">
        <v>45222</v>
      </c>
      <c r="C2978" s="1" t="n">
        <v>45645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51711-2023</t>
        </is>
      </c>
      <c r="B2979" s="1" t="n">
        <v>45222</v>
      </c>
      <c r="C2979" s="1" t="n">
        <v>45645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51884-2023</t>
        </is>
      </c>
      <c r="B2980" s="1" t="n">
        <v>45223</v>
      </c>
      <c r="C2980" s="1" t="n">
        <v>45645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52053-2023</t>
        </is>
      </c>
      <c r="B2981" s="1" t="n">
        <v>45223</v>
      </c>
      <c r="C2981" s="1" t="n">
        <v>45645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53395-2023</t>
        </is>
      </c>
      <c r="B2982" s="1" t="n">
        <v>45223</v>
      </c>
      <c r="C2982" s="1" t="n">
        <v>45645</v>
      </c>
      <c r="D2982" t="inlineStr">
        <is>
          <t>VÄSTERNORRLANDS LÄN</t>
        </is>
      </c>
      <c r="E2982" t="inlineStr">
        <is>
          <t>ÖRNSKÖLDSVIK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52245-2023</t>
        </is>
      </c>
      <c r="B2983" s="1" t="n">
        <v>45224</v>
      </c>
      <c r="C2983" s="1" t="n">
        <v>45645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52306-2023</t>
        </is>
      </c>
      <c r="B2984" s="1" t="n">
        <v>45224</v>
      </c>
      <c r="C2984" s="1" t="n">
        <v>45645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52416-2023</t>
        </is>
      </c>
      <c r="B2985" s="1" t="n">
        <v>45225</v>
      </c>
      <c r="C2985" s="1" t="n">
        <v>45645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52439-2023</t>
        </is>
      </c>
      <c r="B2986" s="1" t="n">
        <v>45225</v>
      </c>
      <c r="C2986" s="1" t="n">
        <v>45645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52573-2023</t>
        </is>
      </c>
      <c r="B2987" s="1" t="n">
        <v>45225</v>
      </c>
      <c r="C2987" s="1" t="n">
        <v>45645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52764-2023</t>
        </is>
      </c>
      <c r="B2988" s="1" t="n">
        <v>45226</v>
      </c>
      <c r="C2988" s="1" t="n">
        <v>45645</v>
      </c>
      <c r="D2988" t="inlineStr">
        <is>
          <t>VÄSTERNORRLANDS LÄN</t>
        </is>
      </c>
      <c r="E2988" t="inlineStr">
        <is>
          <t>ÖRNSKÖLDSVIK</t>
        </is>
      </c>
      <c r="G2988" t="n">
        <v>15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52793-2023</t>
        </is>
      </c>
      <c r="B2989" s="1" t="n">
        <v>45226</v>
      </c>
      <c r="C2989" s="1" t="n">
        <v>45645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52986-2023</t>
        </is>
      </c>
      <c r="B2990" s="1" t="n">
        <v>45226</v>
      </c>
      <c r="C2990" s="1" t="n">
        <v>45645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53282-2023</t>
        </is>
      </c>
      <c r="B2991" s="1" t="n">
        <v>45229</v>
      </c>
      <c r="C2991" s="1" t="n">
        <v>45645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53310-2023</t>
        </is>
      </c>
      <c r="B2992" s="1" t="n">
        <v>45229</v>
      </c>
      <c r="C2992" s="1" t="n">
        <v>45645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53147-2023</t>
        </is>
      </c>
      <c r="B2993" s="1" t="n">
        <v>45229</v>
      </c>
      <c r="C2993" s="1" t="n">
        <v>45645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53259-2023</t>
        </is>
      </c>
      <c r="B2994" s="1" t="n">
        <v>45229</v>
      </c>
      <c r="C2994" s="1" t="n">
        <v>45645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53371-2023</t>
        </is>
      </c>
      <c r="B2995" s="1" t="n">
        <v>45229</v>
      </c>
      <c r="C2995" s="1" t="n">
        <v>45645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53457-2023</t>
        </is>
      </c>
      <c r="B2996" s="1" t="n">
        <v>45230</v>
      </c>
      <c r="C2996" s="1" t="n">
        <v>45645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53462-2023</t>
        </is>
      </c>
      <c r="B2997" s="1" t="n">
        <v>45230</v>
      </c>
      <c r="C2997" s="1" t="n">
        <v>45645</v>
      </c>
      <c r="D2997" t="inlineStr">
        <is>
          <t>VÄSTERNORRLANDS LÄN</t>
        </is>
      </c>
      <c r="E2997" t="inlineStr">
        <is>
          <t>ÖRNSKÖLDSVIK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53689-2023</t>
        </is>
      </c>
      <c r="B2998" s="1" t="n">
        <v>45230</v>
      </c>
      <c r="C2998" s="1" t="n">
        <v>45645</v>
      </c>
      <c r="D2998" t="inlineStr">
        <is>
          <t>VÄSTERNORRLANDS LÄN</t>
        </is>
      </c>
      <c r="E2998" t="inlineStr">
        <is>
          <t>ÖRNSKÖLDSVIK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53469-2023</t>
        </is>
      </c>
      <c r="B2999" s="1" t="n">
        <v>45230</v>
      </c>
      <c r="C2999" s="1" t="n">
        <v>45645</v>
      </c>
      <c r="D2999" t="inlineStr">
        <is>
          <t>VÄSTERNORRLANDS LÄN</t>
        </is>
      </c>
      <c r="E2999" t="inlineStr">
        <is>
          <t>ÖRNSKÖLDSVIK</t>
        </is>
      </c>
      <c r="G2999" t="n">
        <v>6.4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53464-2023</t>
        </is>
      </c>
      <c r="B3000" s="1" t="n">
        <v>45230</v>
      </c>
      <c r="C3000" s="1" t="n">
        <v>45645</v>
      </c>
      <c r="D3000" t="inlineStr">
        <is>
          <t>VÄSTERNORRLANDS LÄN</t>
        </is>
      </c>
      <c r="E3000" t="inlineStr">
        <is>
          <t>ÖRNSKÖLDSVIK</t>
        </is>
      </c>
      <c r="G3000" t="n">
        <v>6.6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55187-2023</t>
        </is>
      </c>
      <c r="B3001" s="1" t="n">
        <v>45230</v>
      </c>
      <c r="C3001" s="1" t="n">
        <v>45645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53465-2023</t>
        </is>
      </c>
      <c r="B3002" s="1" t="n">
        <v>45230</v>
      </c>
      <c r="C3002" s="1" t="n">
        <v>45645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53459-2023</t>
        </is>
      </c>
      <c r="B3003" s="1" t="n">
        <v>45230</v>
      </c>
      <c r="C3003" s="1" t="n">
        <v>45645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53782-2023</t>
        </is>
      </c>
      <c r="B3004" s="1" t="n">
        <v>45231</v>
      </c>
      <c r="C3004" s="1" t="n">
        <v>45645</v>
      </c>
      <c r="D3004" t="inlineStr">
        <is>
          <t>VÄSTERNORRLANDS LÄN</t>
        </is>
      </c>
      <c r="E3004" t="inlineStr">
        <is>
          <t>ÖRNSKÖLDSVIK</t>
        </is>
      </c>
      <c r="G3004" t="n">
        <v>10.2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53932-2023</t>
        </is>
      </c>
      <c r="B3005" s="1" t="n">
        <v>45231</v>
      </c>
      <c r="C3005" s="1" t="n">
        <v>45645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53936-2023</t>
        </is>
      </c>
      <c r="B3006" s="1" t="n">
        <v>45231</v>
      </c>
      <c r="C3006" s="1" t="n">
        <v>45645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53800-2023</t>
        </is>
      </c>
      <c r="B3007" s="1" t="n">
        <v>45231</v>
      </c>
      <c r="C3007" s="1" t="n">
        <v>45645</v>
      </c>
      <c r="D3007" t="inlineStr">
        <is>
          <t>VÄSTERNORRLANDS LÄN</t>
        </is>
      </c>
      <c r="E3007" t="inlineStr">
        <is>
          <t>ÖRNSKÖLDSVIK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53924-2023</t>
        </is>
      </c>
      <c r="B3008" s="1" t="n">
        <v>45231</v>
      </c>
      <c r="C3008" s="1" t="n">
        <v>45645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53806-2023</t>
        </is>
      </c>
      <c r="B3009" s="1" t="n">
        <v>45231</v>
      </c>
      <c r="C3009" s="1" t="n">
        <v>45645</v>
      </c>
      <c r="D3009" t="inlineStr">
        <is>
          <t>VÄSTERNORRLANDS LÄN</t>
        </is>
      </c>
      <c r="E3009" t="inlineStr">
        <is>
          <t>ÖRNSKÖLDSVIK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55256-2023</t>
        </is>
      </c>
      <c r="B3010" s="1" t="n">
        <v>45231</v>
      </c>
      <c r="C3010" s="1" t="n">
        <v>45645</v>
      </c>
      <c r="D3010" t="inlineStr">
        <is>
          <t>VÄSTERNORRLANDS LÄN</t>
        </is>
      </c>
      <c r="E3010" t="inlineStr">
        <is>
          <t>ÖRNSKÖLDSVIK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55275-2023</t>
        </is>
      </c>
      <c r="B3011" s="1" t="n">
        <v>45231</v>
      </c>
      <c r="C3011" s="1" t="n">
        <v>45645</v>
      </c>
      <c r="D3011" t="inlineStr">
        <is>
          <t>VÄSTERNORRLANDS LÄN</t>
        </is>
      </c>
      <c r="E3011" t="inlineStr">
        <is>
          <t>ÖRNSKÖLDSVIK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54089-2023</t>
        </is>
      </c>
      <c r="B3012" s="1" t="n">
        <v>45232</v>
      </c>
      <c r="C3012" s="1" t="n">
        <v>45645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54169-2023</t>
        </is>
      </c>
      <c r="B3013" s="1" t="n">
        <v>45232</v>
      </c>
      <c r="C3013" s="1" t="n">
        <v>45645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54186-2023</t>
        </is>
      </c>
      <c r="B3014" s="1" t="n">
        <v>45232</v>
      </c>
      <c r="C3014" s="1" t="n">
        <v>45645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55543-2023</t>
        </is>
      </c>
      <c r="B3015" s="1" t="n">
        <v>45232</v>
      </c>
      <c r="C3015" s="1" t="n">
        <v>45645</v>
      </c>
      <c r="D3015" t="inlineStr">
        <is>
          <t>VÄSTERNORRLANDS LÄN</t>
        </is>
      </c>
      <c r="E3015" t="inlineStr">
        <is>
          <t>ÖRNSKÖLDSVIK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54215-2023</t>
        </is>
      </c>
      <c r="B3016" s="1" t="n">
        <v>45232</v>
      </c>
      <c r="C3016" s="1" t="n">
        <v>45645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54260-2023</t>
        </is>
      </c>
      <c r="B3017" s="1" t="n">
        <v>45232</v>
      </c>
      <c r="C3017" s="1" t="n">
        <v>45645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56022-2023</t>
        </is>
      </c>
      <c r="B3018" s="1" t="n">
        <v>45233</v>
      </c>
      <c r="C3018" s="1" t="n">
        <v>45645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56040-2023</t>
        </is>
      </c>
      <c r="B3019" s="1" t="n">
        <v>45233</v>
      </c>
      <c r="C3019" s="1" t="n">
        <v>45645</v>
      </c>
      <c r="D3019" t="inlineStr">
        <is>
          <t>VÄSTERNORRLANDS LÄN</t>
        </is>
      </c>
      <c r="E3019" t="inlineStr">
        <is>
          <t>ÖRNSKÖLDSVIK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54707-2023</t>
        </is>
      </c>
      <c r="B3020" s="1" t="n">
        <v>45236</v>
      </c>
      <c r="C3020" s="1" t="n">
        <v>45645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54824-2023</t>
        </is>
      </c>
      <c r="B3021" s="1" t="n">
        <v>45236</v>
      </c>
      <c r="C3021" s="1" t="n">
        <v>45645</v>
      </c>
      <c r="D3021" t="inlineStr">
        <is>
          <t>VÄSTERNORRLANDS LÄN</t>
        </is>
      </c>
      <c r="E3021" t="inlineStr">
        <is>
          <t>ÖRNSKÖLDSVIK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54853-2023</t>
        </is>
      </c>
      <c r="B3022" s="1" t="n">
        <v>45236</v>
      </c>
      <c r="C3022" s="1" t="n">
        <v>45645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54900-2023</t>
        </is>
      </c>
      <c r="B3023" s="1" t="n">
        <v>45236</v>
      </c>
      <c r="C3023" s="1" t="n">
        <v>45645</v>
      </c>
      <c r="D3023" t="inlineStr">
        <is>
          <t>VÄSTERNORRLANDS LÄN</t>
        </is>
      </c>
      <c r="E3023" t="inlineStr">
        <is>
          <t>ÖRNSKÖLDSVIK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54896-2023</t>
        </is>
      </c>
      <c r="B3024" s="1" t="n">
        <v>45236</v>
      </c>
      <c r="C3024" s="1" t="n">
        <v>45645</v>
      </c>
      <c r="D3024" t="inlineStr">
        <is>
          <t>VÄSTERNORRLANDS LÄN</t>
        </is>
      </c>
      <c r="E3024" t="inlineStr">
        <is>
          <t>ÖRNSKÖLDSVIK</t>
        </is>
      </c>
      <c r="G3024" t="n">
        <v>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54990-2023</t>
        </is>
      </c>
      <c r="B3025" s="1" t="n">
        <v>45237</v>
      </c>
      <c r="C3025" s="1" t="n">
        <v>45645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54799-2023</t>
        </is>
      </c>
      <c r="B3026" s="1" t="n">
        <v>45236</v>
      </c>
      <c r="C3026" s="1" t="n">
        <v>45645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54913-2023</t>
        </is>
      </c>
      <c r="B3027" s="1" t="n">
        <v>45236</v>
      </c>
      <c r="C3027" s="1" t="n">
        <v>45645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54939-2023</t>
        </is>
      </c>
      <c r="B3028" s="1" t="n">
        <v>45236</v>
      </c>
      <c r="C3028" s="1" t="n">
        <v>45645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55023-2023</t>
        </is>
      </c>
      <c r="B3029" s="1" t="n">
        <v>45237</v>
      </c>
      <c r="C3029" s="1" t="n">
        <v>45645</v>
      </c>
      <c r="D3029" t="inlineStr">
        <is>
          <t>VÄSTERNORRLANDS LÄN</t>
        </is>
      </c>
      <c r="E3029" t="inlineStr">
        <is>
          <t>ÖRNSKÖLDSVIK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55021-2023</t>
        </is>
      </c>
      <c r="B3030" s="1" t="n">
        <v>45237</v>
      </c>
      <c r="C3030" s="1" t="n">
        <v>45645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55165-2023</t>
        </is>
      </c>
      <c r="B3031" s="1" t="n">
        <v>45237</v>
      </c>
      <c r="C3031" s="1" t="n">
        <v>45645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55318-2023</t>
        </is>
      </c>
      <c r="B3032" s="1" t="n">
        <v>45237</v>
      </c>
      <c r="C3032" s="1" t="n">
        <v>45645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55490-2023</t>
        </is>
      </c>
      <c r="B3033" s="1" t="n">
        <v>45238</v>
      </c>
      <c r="C3033" s="1" t="n">
        <v>45645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55494-2023</t>
        </is>
      </c>
      <c r="B3034" s="1" t="n">
        <v>45238</v>
      </c>
      <c r="C3034" s="1" t="n">
        <v>45645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55382-2023</t>
        </is>
      </c>
      <c r="B3035" s="1" t="n">
        <v>45238</v>
      </c>
      <c r="C3035" s="1" t="n">
        <v>45645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55488-2023</t>
        </is>
      </c>
      <c r="B3036" s="1" t="n">
        <v>45238</v>
      </c>
      <c r="C3036" s="1" t="n">
        <v>45645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55493-2023</t>
        </is>
      </c>
      <c r="B3037" s="1" t="n">
        <v>45238</v>
      </c>
      <c r="C3037" s="1" t="n">
        <v>45645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55641-2023</t>
        </is>
      </c>
      <c r="B3038" s="1" t="n">
        <v>45238</v>
      </c>
      <c r="C3038" s="1" t="n">
        <v>45645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55640-2023</t>
        </is>
      </c>
      <c r="B3039" s="1" t="n">
        <v>45238</v>
      </c>
      <c r="C3039" s="1" t="n">
        <v>45645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56558-2023</t>
        </is>
      </c>
      <c r="B3040" s="1" t="n">
        <v>45238</v>
      </c>
      <c r="C3040" s="1" t="n">
        <v>45645</v>
      </c>
      <c r="D3040" t="inlineStr">
        <is>
          <t>VÄSTERNORRLANDS LÄN</t>
        </is>
      </c>
      <c r="E3040" t="inlineStr">
        <is>
          <t>ÖRNSKÖLDSVIK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56584-2023</t>
        </is>
      </c>
      <c r="B3041" s="1" t="n">
        <v>45238</v>
      </c>
      <c r="C3041" s="1" t="n">
        <v>45645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56549-2023</t>
        </is>
      </c>
      <c r="B3042" s="1" t="n">
        <v>45238</v>
      </c>
      <c r="C3042" s="1" t="n">
        <v>45645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55639-2023</t>
        </is>
      </c>
      <c r="B3043" s="1" t="n">
        <v>45238</v>
      </c>
      <c r="C3043" s="1" t="n">
        <v>45645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56567-2023</t>
        </is>
      </c>
      <c r="B3044" s="1" t="n">
        <v>45238</v>
      </c>
      <c r="C3044" s="1" t="n">
        <v>45645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55792-2023</t>
        </is>
      </c>
      <c r="B3045" s="1" t="n">
        <v>45239</v>
      </c>
      <c r="C3045" s="1" t="n">
        <v>45645</v>
      </c>
      <c r="D3045" t="inlineStr">
        <is>
          <t>VÄSTERNORRLANDS LÄN</t>
        </is>
      </c>
      <c r="E3045" t="inlineStr">
        <is>
          <t>ÖRNSKÖLDSVIK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55774-2023</t>
        </is>
      </c>
      <c r="B3046" s="1" t="n">
        <v>45239</v>
      </c>
      <c r="C3046" s="1" t="n">
        <v>45645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57158-2023</t>
        </is>
      </c>
      <c r="B3047" s="1" t="n">
        <v>45239</v>
      </c>
      <c r="C3047" s="1" t="n">
        <v>45645</v>
      </c>
      <c r="D3047" t="inlineStr">
        <is>
          <t>VÄSTERNORRLANDS LÄN</t>
        </is>
      </c>
      <c r="E3047" t="inlineStr">
        <is>
          <t>ÖRNSKÖLDSVIK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57097-2023</t>
        </is>
      </c>
      <c r="B3048" s="1" t="n">
        <v>45239</v>
      </c>
      <c r="C3048" s="1" t="n">
        <v>45645</v>
      </c>
      <c r="D3048" t="inlineStr">
        <is>
          <t>VÄSTERNORRLANDS LÄN</t>
        </is>
      </c>
      <c r="E3048" t="inlineStr">
        <is>
          <t>ÖRNSKÖLDSVIK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57268-2023</t>
        </is>
      </c>
      <c r="B3049" s="1" t="n">
        <v>45239</v>
      </c>
      <c r="C3049" s="1" t="n">
        <v>45645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57282-2023</t>
        </is>
      </c>
      <c r="B3050" s="1" t="n">
        <v>45239</v>
      </c>
      <c r="C3050" s="1" t="n">
        <v>45645</v>
      </c>
      <c r="D3050" t="inlineStr">
        <is>
          <t>VÄSTERNORRLANDS LÄN</t>
        </is>
      </c>
      <c r="E3050" t="inlineStr">
        <is>
          <t>ÖRNSKÖLDSVIK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57309-2023</t>
        </is>
      </c>
      <c r="B3051" s="1" t="n">
        <v>45240</v>
      </c>
      <c r="C3051" s="1" t="n">
        <v>45645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57458-2023</t>
        </is>
      </c>
      <c r="B3052" s="1" t="n">
        <v>45240</v>
      </c>
      <c r="C3052" s="1" t="n">
        <v>45645</v>
      </c>
      <c r="D3052" t="inlineStr">
        <is>
          <t>VÄSTERNORRLANDS LÄN</t>
        </is>
      </c>
      <c r="E3052" t="inlineStr">
        <is>
          <t>ÖRNSKÖLDSVIK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56179-2023</t>
        </is>
      </c>
      <c r="B3053" s="1" t="n">
        <v>45240</v>
      </c>
      <c r="C3053" s="1" t="n">
        <v>45645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57477-2023</t>
        </is>
      </c>
      <c r="B3054" s="1" t="n">
        <v>45240</v>
      </c>
      <c r="C3054" s="1" t="n">
        <v>45645</v>
      </c>
      <c r="D3054" t="inlineStr">
        <is>
          <t>VÄSTERNORRLANDS LÄN</t>
        </is>
      </c>
      <c r="E3054" t="inlineStr">
        <is>
          <t>ÖRNSKÖLDSVIK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57465-2023</t>
        </is>
      </c>
      <c r="B3055" s="1" t="n">
        <v>45240</v>
      </c>
      <c r="C3055" s="1" t="n">
        <v>45645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56128-2023</t>
        </is>
      </c>
      <c r="B3056" s="1" t="n">
        <v>45240</v>
      </c>
      <c r="C3056" s="1" t="n">
        <v>45645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57472-2023</t>
        </is>
      </c>
      <c r="B3057" s="1" t="n">
        <v>45240</v>
      </c>
      <c r="C3057" s="1" t="n">
        <v>45645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57482-2023</t>
        </is>
      </c>
      <c r="B3058" s="1" t="n">
        <v>45240</v>
      </c>
      <c r="C3058" s="1" t="n">
        <v>45645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57452-2023</t>
        </is>
      </c>
      <c r="B3059" s="1" t="n">
        <v>45240</v>
      </c>
      <c r="C3059" s="1" t="n">
        <v>45645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57469-2023</t>
        </is>
      </c>
      <c r="B3060" s="1" t="n">
        <v>45240</v>
      </c>
      <c r="C3060" s="1" t="n">
        <v>45645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57480-2023</t>
        </is>
      </c>
      <c r="B3061" s="1" t="n">
        <v>45240</v>
      </c>
      <c r="C3061" s="1" t="n">
        <v>45645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57449-2023</t>
        </is>
      </c>
      <c r="B3062" s="1" t="n">
        <v>45240</v>
      </c>
      <c r="C3062" s="1" t="n">
        <v>45645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56154-2023</t>
        </is>
      </c>
      <c r="B3063" s="1" t="n">
        <v>45240</v>
      </c>
      <c r="C3063" s="1" t="n">
        <v>45645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55949-2023</t>
        </is>
      </c>
      <c r="B3064" s="1" t="n">
        <v>45240</v>
      </c>
      <c r="C3064" s="1" t="n">
        <v>45645</v>
      </c>
      <c r="D3064" t="inlineStr">
        <is>
          <t>VÄSTERNORRLANDS LÄN</t>
        </is>
      </c>
      <c r="E3064" t="inlineStr">
        <is>
          <t>ÖRNSKÖLDSVIK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56590-2023</t>
        </is>
      </c>
      <c r="B3065" s="1" t="n">
        <v>45243</v>
      </c>
      <c r="C3065" s="1" t="n">
        <v>45645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56678-2023</t>
        </is>
      </c>
      <c r="B3066" s="1" t="n">
        <v>45243</v>
      </c>
      <c r="C3066" s="1" t="n">
        <v>45645</v>
      </c>
      <c r="D3066" t="inlineStr">
        <is>
          <t>VÄSTERNORRLANDS LÄN</t>
        </is>
      </c>
      <c r="E3066" t="inlineStr">
        <is>
          <t>ÖRNSKÖLDSVIK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45645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56555-2023</t>
        </is>
      </c>
      <c r="B3068" s="1" t="n">
        <v>45243</v>
      </c>
      <c r="C3068" s="1" t="n">
        <v>45645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57688-2023</t>
        </is>
      </c>
      <c r="B3069" s="1" t="n">
        <v>45243</v>
      </c>
      <c r="C3069" s="1" t="n">
        <v>45645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57605-2023</t>
        </is>
      </c>
      <c r="B3070" s="1" t="n">
        <v>45243</v>
      </c>
      <c r="C3070" s="1" t="n">
        <v>45645</v>
      </c>
      <c r="D3070" t="inlineStr">
        <is>
          <t>VÄSTERNORRLANDS LÄN</t>
        </is>
      </c>
      <c r="E3070" t="inlineStr">
        <is>
          <t>ÖRNSKÖLDSVIK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57686-2023</t>
        </is>
      </c>
      <c r="B3071" s="1" t="n">
        <v>45243</v>
      </c>
      <c r="C3071" s="1" t="n">
        <v>45645</v>
      </c>
      <c r="D3071" t="inlineStr">
        <is>
          <t>VÄSTERNORRLANDS LÄN</t>
        </is>
      </c>
      <c r="E3071" t="inlineStr">
        <is>
          <t>ÖRNSKÖLDSVIK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56751-2023</t>
        </is>
      </c>
      <c r="B3072" s="1" t="n">
        <v>45244</v>
      </c>
      <c r="C3072" s="1" t="n">
        <v>45645</v>
      </c>
      <c r="D3072" t="inlineStr">
        <is>
          <t>VÄSTERNORRLANDS LÄN</t>
        </is>
      </c>
      <c r="E3072" t="inlineStr">
        <is>
          <t>ÖRNSKÖLDSVIK</t>
        </is>
      </c>
      <c r="G3072" t="n">
        <v>14.5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56868-2023</t>
        </is>
      </c>
      <c r="B3073" s="1" t="n">
        <v>45244</v>
      </c>
      <c r="C3073" s="1" t="n">
        <v>45645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56867-2023</t>
        </is>
      </c>
      <c r="B3074" s="1" t="n">
        <v>45244</v>
      </c>
      <c r="C3074" s="1" t="n">
        <v>45645</v>
      </c>
      <c r="D3074" t="inlineStr">
        <is>
          <t>VÄSTERNORRLANDS LÄN</t>
        </is>
      </c>
      <c r="E3074" t="inlineStr">
        <is>
          <t>ÖRNSKÖLDSVIK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56901-2023</t>
        </is>
      </c>
      <c r="B3075" s="1" t="n">
        <v>45244</v>
      </c>
      <c r="C3075" s="1" t="n">
        <v>45645</v>
      </c>
      <c r="D3075" t="inlineStr">
        <is>
          <t>VÄSTERNORRLANDS LÄN</t>
        </is>
      </c>
      <c r="E3075" t="inlineStr">
        <is>
          <t>ÖRNSKÖLDSVIK</t>
        </is>
      </c>
      <c r="G3075" t="n">
        <v>13.8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56870-2023</t>
        </is>
      </c>
      <c r="B3076" s="1" t="n">
        <v>45244</v>
      </c>
      <c r="C3076" s="1" t="n">
        <v>45645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57126-2023</t>
        </is>
      </c>
      <c r="B3077" s="1" t="n">
        <v>45245</v>
      </c>
      <c r="C3077" s="1" t="n">
        <v>45645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57273-2023</t>
        </is>
      </c>
      <c r="B3078" s="1" t="n">
        <v>45245</v>
      </c>
      <c r="C3078" s="1" t="n">
        <v>45645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57280-2023</t>
        </is>
      </c>
      <c r="B3079" s="1" t="n">
        <v>45245</v>
      </c>
      <c r="C3079" s="1" t="n">
        <v>45645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58019-2023</t>
        </is>
      </c>
      <c r="B3080" s="1" t="n">
        <v>45245</v>
      </c>
      <c r="C3080" s="1" t="n">
        <v>45645</v>
      </c>
      <c r="D3080" t="inlineStr">
        <is>
          <t>VÄSTERNORRLANDS LÄN</t>
        </is>
      </c>
      <c r="E3080" t="inlineStr">
        <is>
          <t>ÖRNSKÖLDSVIK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57305-2023</t>
        </is>
      </c>
      <c r="B3081" s="1" t="n">
        <v>45245</v>
      </c>
      <c r="C3081" s="1" t="n">
        <v>45645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57258-2023</t>
        </is>
      </c>
      <c r="B3082" s="1" t="n">
        <v>45245</v>
      </c>
      <c r="C3082" s="1" t="n">
        <v>45645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57294-2023</t>
        </is>
      </c>
      <c r="B3083" s="1" t="n">
        <v>45245</v>
      </c>
      <c r="C3083" s="1" t="n">
        <v>45645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58200-2023</t>
        </is>
      </c>
      <c r="B3084" s="1" t="n">
        <v>45245</v>
      </c>
      <c r="C3084" s="1" t="n">
        <v>45645</v>
      </c>
      <c r="D3084" t="inlineStr">
        <is>
          <t>VÄSTERNORRLANDS LÄN</t>
        </is>
      </c>
      <c r="E3084" t="inlineStr">
        <is>
          <t>ÖRNSKÖLDSVIK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57318-2023</t>
        </is>
      </c>
      <c r="B3085" s="1" t="n">
        <v>45245</v>
      </c>
      <c r="C3085" s="1" t="n">
        <v>45645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57340-2023</t>
        </is>
      </c>
      <c r="B3086" s="1" t="n">
        <v>45245</v>
      </c>
      <c r="C3086" s="1" t="n">
        <v>45645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57623-2023</t>
        </is>
      </c>
      <c r="B3087" s="1" t="n">
        <v>45246</v>
      </c>
      <c r="C3087" s="1" t="n">
        <v>45645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57545-2023</t>
        </is>
      </c>
      <c r="B3088" s="1" t="n">
        <v>45246</v>
      </c>
      <c r="C3088" s="1" t="n">
        <v>45645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57679-2023</t>
        </is>
      </c>
      <c r="B3089" s="1" t="n">
        <v>45246</v>
      </c>
      <c r="C3089" s="1" t="n">
        <v>45645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57671-2023</t>
        </is>
      </c>
      <c r="B3090" s="1" t="n">
        <v>45246</v>
      </c>
      <c r="C3090" s="1" t="n">
        <v>45645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57859-2023</t>
        </is>
      </c>
      <c r="B3091" s="1" t="n">
        <v>45247</v>
      </c>
      <c r="C3091" s="1" t="n">
        <v>45645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57974-2023</t>
        </is>
      </c>
      <c r="B3092" s="1" t="n">
        <v>45247</v>
      </c>
      <c r="C3092" s="1" t="n">
        <v>45645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57994-2023</t>
        </is>
      </c>
      <c r="B3093" s="1" t="n">
        <v>45247</v>
      </c>
      <c r="C3093" s="1" t="n">
        <v>45645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57888-2023</t>
        </is>
      </c>
      <c r="B3094" s="1" t="n">
        <v>45247</v>
      </c>
      <c r="C3094" s="1" t="n">
        <v>45645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57918-2023</t>
        </is>
      </c>
      <c r="B3095" s="1" t="n">
        <v>45247</v>
      </c>
      <c r="C3095" s="1" t="n">
        <v>45645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57924-2023</t>
        </is>
      </c>
      <c r="B3096" s="1" t="n">
        <v>45247</v>
      </c>
      <c r="C3096" s="1" t="n">
        <v>45645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57977-2023</t>
        </is>
      </c>
      <c r="B3097" s="1" t="n">
        <v>45247</v>
      </c>
      <c r="C3097" s="1" t="n">
        <v>45645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58686-2023</t>
        </is>
      </c>
      <c r="B3098" s="1" t="n">
        <v>45247</v>
      </c>
      <c r="C3098" s="1" t="n">
        <v>45645</v>
      </c>
      <c r="D3098" t="inlineStr">
        <is>
          <t>VÄSTERNORRLANDS LÄN</t>
        </is>
      </c>
      <c r="E3098" t="inlineStr">
        <is>
          <t>ÖRNSKÖLDSVIK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58681-2023</t>
        </is>
      </c>
      <c r="B3099" s="1" t="n">
        <v>45247</v>
      </c>
      <c r="C3099" s="1" t="n">
        <v>45645</v>
      </c>
      <c r="D3099" t="inlineStr">
        <is>
          <t>VÄSTERNORRLANDS LÄN</t>
        </is>
      </c>
      <c r="E3099" t="inlineStr">
        <is>
          <t>ÖRNSKÖLDSVIK</t>
        </is>
      </c>
      <c r="G3099" t="n">
        <v>8.199999999999999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58696-2023</t>
        </is>
      </c>
      <c r="B3100" s="1" t="n">
        <v>45247</v>
      </c>
      <c r="C3100" s="1" t="n">
        <v>45645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58055-2023</t>
        </is>
      </c>
      <c r="B3101" s="1" t="n">
        <v>45247</v>
      </c>
      <c r="C3101" s="1" t="n">
        <v>45645</v>
      </c>
      <c r="D3101" t="inlineStr">
        <is>
          <t>VÄSTERNORRLANDS LÄN</t>
        </is>
      </c>
      <c r="E3101" t="inlineStr">
        <is>
          <t>ÖRNSKÖLDSVIK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57919-2023</t>
        </is>
      </c>
      <c r="B3102" s="1" t="n">
        <v>45247</v>
      </c>
      <c r="C3102" s="1" t="n">
        <v>45645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58120-2023</t>
        </is>
      </c>
      <c r="B3103" s="1" t="n">
        <v>45249</v>
      </c>
      <c r="C3103" s="1" t="n">
        <v>45645</v>
      </c>
      <c r="D3103" t="inlineStr">
        <is>
          <t>VÄSTERNORRLANDS LÄN</t>
        </is>
      </c>
      <c r="E3103" t="inlineStr">
        <is>
          <t>ÖRNSKÖLDSVIK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58167-2023</t>
        </is>
      </c>
      <c r="B3104" s="1" t="n">
        <v>45250</v>
      </c>
      <c r="C3104" s="1" t="n">
        <v>45645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58251-2023</t>
        </is>
      </c>
      <c r="B3105" s="1" t="n">
        <v>45250</v>
      </c>
      <c r="C3105" s="1" t="n">
        <v>45645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58380-2023</t>
        </is>
      </c>
      <c r="B3106" s="1" t="n">
        <v>45250</v>
      </c>
      <c r="C3106" s="1" t="n">
        <v>45645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58329-2023</t>
        </is>
      </c>
      <c r="B3107" s="1" t="n">
        <v>45250</v>
      </c>
      <c r="C3107" s="1" t="n">
        <v>45645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58449-2023</t>
        </is>
      </c>
      <c r="B3108" s="1" t="n">
        <v>45250</v>
      </c>
      <c r="C3108" s="1" t="n">
        <v>45645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58250-2023</t>
        </is>
      </c>
      <c r="B3109" s="1" t="n">
        <v>45250</v>
      </c>
      <c r="C3109" s="1" t="n">
        <v>45645</v>
      </c>
      <c r="D3109" t="inlineStr">
        <is>
          <t>VÄSTERNORRLANDS LÄN</t>
        </is>
      </c>
      <c r="E3109" t="inlineStr">
        <is>
          <t>ÖRNSKÖLDSVIK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58328-2023</t>
        </is>
      </c>
      <c r="B3110" s="1" t="n">
        <v>45250</v>
      </c>
      <c r="C3110" s="1" t="n">
        <v>45645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59019-2023</t>
        </is>
      </c>
      <c r="B3111" s="1" t="n">
        <v>45250</v>
      </c>
      <c r="C3111" s="1" t="n">
        <v>45645</v>
      </c>
      <c r="D3111" t="inlineStr">
        <is>
          <t>VÄSTERNORRLANDS LÄN</t>
        </is>
      </c>
      <c r="E3111" t="inlineStr">
        <is>
          <t>ÖRNSKÖLDSVIK</t>
        </is>
      </c>
      <c r="G3111" t="n">
        <v>17.8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59024-2023</t>
        </is>
      </c>
      <c r="B3112" s="1" t="n">
        <v>45250</v>
      </c>
      <c r="C3112" s="1" t="n">
        <v>45645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58532-2023</t>
        </is>
      </c>
      <c r="B3113" s="1" t="n">
        <v>45251</v>
      </c>
      <c r="C3113" s="1" t="n">
        <v>45645</v>
      </c>
      <c r="D3113" t="inlineStr">
        <is>
          <t>VÄSTERNORRLANDS LÄN</t>
        </is>
      </c>
      <c r="E3113" t="inlineStr">
        <is>
          <t>ÖRNSKÖLDSVIK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58530-2023</t>
        </is>
      </c>
      <c r="B3114" s="1" t="n">
        <v>45251</v>
      </c>
      <c r="C3114" s="1" t="n">
        <v>45645</v>
      </c>
      <c r="D3114" t="inlineStr">
        <is>
          <t>VÄSTERNORRLANDS LÄN</t>
        </is>
      </c>
      <c r="E3114" t="inlineStr">
        <is>
          <t>ÖRNSKÖLDSVIK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58576-2023</t>
        </is>
      </c>
      <c r="B3115" s="1" t="n">
        <v>45251</v>
      </c>
      <c r="C3115" s="1" t="n">
        <v>45645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58702-2023</t>
        </is>
      </c>
      <c r="B3116" s="1" t="n">
        <v>45251</v>
      </c>
      <c r="C3116" s="1" t="n">
        <v>45645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58734-2023</t>
        </is>
      </c>
      <c r="B3117" s="1" t="n">
        <v>45251</v>
      </c>
      <c r="C3117" s="1" t="n">
        <v>45645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58709-2023</t>
        </is>
      </c>
      <c r="B3118" s="1" t="n">
        <v>45251</v>
      </c>
      <c r="C3118" s="1" t="n">
        <v>45645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58643-2023</t>
        </is>
      </c>
      <c r="B3119" s="1" t="n">
        <v>45251</v>
      </c>
      <c r="C3119" s="1" t="n">
        <v>45645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58678-2023</t>
        </is>
      </c>
      <c r="B3120" s="1" t="n">
        <v>45251</v>
      </c>
      <c r="C3120" s="1" t="n">
        <v>45645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59018-2023</t>
        </is>
      </c>
      <c r="B3121" s="1" t="n">
        <v>45252</v>
      </c>
      <c r="C3121" s="1" t="n">
        <v>45645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59162-2023</t>
        </is>
      </c>
      <c r="B3122" s="1" t="n">
        <v>45253</v>
      </c>
      <c r="C3122" s="1" t="n">
        <v>45645</v>
      </c>
      <c r="D3122" t="inlineStr">
        <is>
          <t>VÄSTERNORRLANDS LÄN</t>
        </is>
      </c>
      <c r="E3122" t="inlineStr">
        <is>
          <t>ÖRNSKÖLDSVIK</t>
        </is>
      </c>
      <c r="G3122" t="n">
        <v>8.9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59316-2023</t>
        </is>
      </c>
      <c r="B3123" s="1" t="n">
        <v>45253</v>
      </c>
      <c r="C3123" s="1" t="n">
        <v>45645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59230-2023</t>
        </is>
      </c>
      <c r="B3124" s="1" t="n">
        <v>45253</v>
      </c>
      <c r="C3124" s="1" t="n">
        <v>45645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59531-2023</t>
        </is>
      </c>
      <c r="B3125" s="1" t="n">
        <v>45253</v>
      </c>
      <c r="C3125" s="1" t="n">
        <v>45645</v>
      </c>
      <c r="D3125" t="inlineStr">
        <is>
          <t>VÄSTERNORRLANDS LÄN</t>
        </is>
      </c>
      <c r="E3125" t="inlineStr">
        <is>
          <t>ÖRNSKÖLDSVIK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59495-2023</t>
        </is>
      </c>
      <c r="B3126" s="1" t="n">
        <v>45253</v>
      </c>
      <c r="C3126" s="1" t="n">
        <v>45645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59649-2023</t>
        </is>
      </c>
      <c r="B3127" s="1" t="n">
        <v>45253</v>
      </c>
      <c r="C3127" s="1" t="n">
        <v>45645</v>
      </c>
      <c r="D3127" t="inlineStr">
        <is>
          <t>VÄSTERNORRLANDS LÄN</t>
        </is>
      </c>
      <c r="E3127" t="inlineStr">
        <is>
          <t>ÖRNSKÖLDSVIK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59432-2023</t>
        </is>
      </c>
      <c r="B3128" s="1" t="n">
        <v>45254</v>
      </c>
      <c r="C3128" s="1" t="n">
        <v>45645</v>
      </c>
      <c r="D3128" t="inlineStr">
        <is>
          <t>VÄSTERNORRLANDS LÄN</t>
        </is>
      </c>
      <c r="E3128" t="inlineStr">
        <is>
          <t>ÖRNSKÖLDSVIK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59592-2023</t>
        </is>
      </c>
      <c r="B3129" s="1" t="n">
        <v>45254</v>
      </c>
      <c r="C3129" s="1" t="n">
        <v>45645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59494-2023</t>
        </is>
      </c>
      <c r="B3130" s="1" t="n">
        <v>45254</v>
      </c>
      <c r="C3130" s="1" t="n">
        <v>45645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59560-2023</t>
        </is>
      </c>
      <c r="B3131" s="1" t="n">
        <v>45254</v>
      </c>
      <c r="C3131" s="1" t="n">
        <v>45645</v>
      </c>
      <c r="D3131" t="inlineStr">
        <is>
          <t>VÄSTERNORRLANDS LÄN</t>
        </is>
      </c>
      <c r="E3131" t="inlineStr">
        <is>
          <t>ÖRNSKÖLDSVIK</t>
        </is>
      </c>
      <c r="G3131" t="n">
        <v>12.1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59581-2023</t>
        </is>
      </c>
      <c r="B3132" s="1" t="n">
        <v>45254</v>
      </c>
      <c r="C3132" s="1" t="n">
        <v>45645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59451-2023</t>
        </is>
      </c>
      <c r="B3133" s="1" t="n">
        <v>45254</v>
      </c>
      <c r="C3133" s="1" t="n">
        <v>45645</v>
      </c>
      <c r="D3133" t="inlineStr">
        <is>
          <t>VÄSTERNORRLANDS LÄN</t>
        </is>
      </c>
      <c r="E3133" t="inlineStr">
        <is>
          <t>ÖRNSKÖLDSVIK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59665-2023</t>
        </is>
      </c>
      <c r="B3134" s="1" t="n">
        <v>45255</v>
      </c>
      <c r="C3134" s="1" t="n">
        <v>45645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59970-2023</t>
        </is>
      </c>
      <c r="B3135" s="1" t="n">
        <v>45254</v>
      </c>
      <c r="C3135" s="1" t="n">
        <v>45645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59924-2023</t>
        </is>
      </c>
      <c r="B3136" s="1" t="n">
        <v>45257</v>
      </c>
      <c r="C3136" s="1" t="n">
        <v>45645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59911-2023</t>
        </is>
      </c>
      <c r="B3137" s="1" t="n">
        <v>45257</v>
      </c>
      <c r="C3137" s="1" t="n">
        <v>45645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60000-2023</t>
        </is>
      </c>
      <c r="B3138" s="1" t="n">
        <v>45258</v>
      </c>
      <c r="C3138" s="1" t="n">
        <v>45645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12.8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59898-2023</t>
        </is>
      </c>
      <c r="B3139" s="1" t="n">
        <v>45257</v>
      </c>
      <c r="C3139" s="1" t="n">
        <v>45645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60070-2023</t>
        </is>
      </c>
      <c r="B3140" s="1" t="n">
        <v>45258</v>
      </c>
      <c r="C3140" s="1" t="n">
        <v>45645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60095-2023</t>
        </is>
      </c>
      <c r="B3141" s="1" t="n">
        <v>45258</v>
      </c>
      <c r="C3141" s="1" t="n">
        <v>45645</v>
      </c>
      <c r="D3141" t="inlineStr">
        <is>
          <t>VÄSTERNORRLANDS LÄN</t>
        </is>
      </c>
      <c r="E3141" t="inlineStr">
        <is>
          <t>ÖRNSKÖLDSVIK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60110-2023</t>
        </is>
      </c>
      <c r="B3142" s="1" t="n">
        <v>45258</v>
      </c>
      <c r="C3142" s="1" t="n">
        <v>45645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60219-2023</t>
        </is>
      </c>
      <c r="B3143" s="1" t="n">
        <v>45258</v>
      </c>
      <c r="C3143" s="1" t="n">
        <v>45645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60313-2023</t>
        </is>
      </c>
      <c r="B3144" s="1" t="n">
        <v>45258</v>
      </c>
      <c r="C3144" s="1" t="n">
        <v>45645</v>
      </c>
      <c r="D3144" t="inlineStr">
        <is>
          <t>VÄSTERNORRLANDS LÄN</t>
        </is>
      </c>
      <c r="E3144" t="inlineStr">
        <is>
          <t>ÖRNSKÖLDSVIK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60380-2023</t>
        </is>
      </c>
      <c r="B3145" s="1" t="n">
        <v>45258</v>
      </c>
      <c r="C3145" s="1" t="n">
        <v>45645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60325-2023</t>
        </is>
      </c>
      <c r="B3146" s="1" t="n">
        <v>45258</v>
      </c>
      <c r="C3146" s="1" t="n">
        <v>45645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60324-2023</t>
        </is>
      </c>
      <c r="B3147" s="1" t="n">
        <v>45258</v>
      </c>
      <c r="C3147" s="1" t="n">
        <v>45645</v>
      </c>
      <c r="D3147" t="inlineStr">
        <is>
          <t>VÄSTERNORRLANDS LÄN</t>
        </is>
      </c>
      <c r="E3147" t="inlineStr">
        <is>
          <t>ÖRNSKÖLDSVIK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60319-2023</t>
        </is>
      </c>
      <c r="B3148" s="1" t="n">
        <v>45258</v>
      </c>
      <c r="C3148" s="1" t="n">
        <v>45645</v>
      </c>
      <c r="D3148" t="inlineStr">
        <is>
          <t>VÄSTERNORRLANDS LÄN</t>
        </is>
      </c>
      <c r="E3148" t="inlineStr">
        <is>
          <t>ÖRNSKÖLDSVIK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60419-2023</t>
        </is>
      </c>
      <c r="B3149" s="1" t="n">
        <v>45258</v>
      </c>
      <c r="C3149" s="1" t="n">
        <v>45645</v>
      </c>
      <c r="D3149" t="inlineStr">
        <is>
          <t>VÄSTERNORRLANDS LÄN</t>
        </is>
      </c>
      <c r="E3149" t="inlineStr">
        <is>
          <t>ÖRNSKÖLDSVIK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60440-2023</t>
        </is>
      </c>
      <c r="B3150" s="1" t="n">
        <v>45258</v>
      </c>
      <c r="C3150" s="1" t="n">
        <v>45645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60470-2023</t>
        </is>
      </c>
      <c r="B3151" s="1" t="n">
        <v>45258</v>
      </c>
      <c r="C3151" s="1" t="n">
        <v>45645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60425-2023</t>
        </is>
      </c>
      <c r="B3152" s="1" t="n">
        <v>45258</v>
      </c>
      <c r="C3152" s="1" t="n">
        <v>45645</v>
      </c>
      <c r="D3152" t="inlineStr">
        <is>
          <t>VÄSTERNORRLANDS LÄN</t>
        </is>
      </c>
      <c r="E3152" t="inlineStr">
        <is>
          <t>ÖRNSKÖLDSVIK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60573-2023</t>
        </is>
      </c>
      <c r="B3153" s="1" t="n">
        <v>45259</v>
      </c>
      <c r="C3153" s="1" t="n">
        <v>45645</v>
      </c>
      <c r="D3153" t="inlineStr">
        <is>
          <t>VÄSTERNORRLANDS LÄN</t>
        </is>
      </c>
      <c r="E3153" t="inlineStr">
        <is>
          <t>ÖRNSKÖLDSVIK</t>
        </is>
      </c>
      <c r="G3153" t="n">
        <v>36.7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60598-2023</t>
        </is>
      </c>
      <c r="B3154" s="1" t="n">
        <v>45259</v>
      </c>
      <c r="C3154" s="1" t="n">
        <v>45645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60595-2023</t>
        </is>
      </c>
      <c r="B3155" s="1" t="n">
        <v>45259</v>
      </c>
      <c r="C3155" s="1" t="n">
        <v>45645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60994-2023</t>
        </is>
      </c>
      <c r="B3156" s="1" t="n">
        <v>45259</v>
      </c>
      <c r="C3156" s="1" t="n">
        <v>45645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Kommuner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60757-2023</t>
        </is>
      </c>
      <c r="B3157" s="1" t="n">
        <v>45260</v>
      </c>
      <c r="C3157" s="1" t="n">
        <v>45645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60754-2023</t>
        </is>
      </c>
      <c r="B3158" s="1" t="n">
        <v>45260</v>
      </c>
      <c r="C3158" s="1" t="n">
        <v>45645</v>
      </c>
      <c r="D3158" t="inlineStr">
        <is>
          <t>VÄSTERNORRLANDS LÄN</t>
        </is>
      </c>
      <c r="E3158" t="inlineStr">
        <is>
          <t>ÖRNSKÖLDSVIK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60773-2023</t>
        </is>
      </c>
      <c r="B3159" s="1" t="n">
        <v>45260</v>
      </c>
      <c r="C3159" s="1" t="n">
        <v>45645</v>
      </c>
      <c r="D3159" t="inlineStr">
        <is>
          <t>VÄSTERNORRLANDS LÄN</t>
        </is>
      </c>
      <c r="E3159" t="inlineStr">
        <is>
          <t>ÖRNSKÖLDSVIK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61126-2023</t>
        </is>
      </c>
      <c r="B3160" s="1" t="n">
        <v>45260</v>
      </c>
      <c r="C3160" s="1" t="n">
        <v>45645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61240-2023</t>
        </is>
      </c>
      <c r="B3161" s="1" t="n">
        <v>45260</v>
      </c>
      <c r="C3161" s="1" t="n">
        <v>45645</v>
      </c>
      <c r="D3161" t="inlineStr">
        <is>
          <t>VÄSTERNORRLANDS LÄN</t>
        </is>
      </c>
      <c r="E3161" t="inlineStr">
        <is>
          <t>ÖRNSKÖLDSVIK</t>
        </is>
      </c>
      <c r="G3161" t="n">
        <v>17.8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60905-2023</t>
        </is>
      </c>
      <c r="B3162" s="1" t="n">
        <v>45261</v>
      </c>
      <c r="C3162" s="1" t="n">
        <v>45645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60890-2023</t>
        </is>
      </c>
      <c r="B3163" s="1" t="n">
        <v>45261</v>
      </c>
      <c r="C3163" s="1" t="n">
        <v>45645</v>
      </c>
      <c r="D3163" t="inlineStr">
        <is>
          <t>VÄSTERNORRLANDS LÄN</t>
        </is>
      </c>
      <c r="E3163" t="inlineStr">
        <is>
          <t>ÖRNSKÖLDSVIK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60936-2023</t>
        </is>
      </c>
      <c r="B3164" s="1" t="n">
        <v>45261</v>
      </c>
      <c r="C3164" s="1" t="n">
        <v>45645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60982-2023</t>
        </is>
      </c>
      <c r="B3165" s="1" t="n">
        <v>45261</v>
      </c>
      <c r="C3165" s="1" t="n">
        <v>45645</v>
      </c>
      <c r="D3165" t="inlineStr">
        <is>
          <t>VÄSTERNORRLANDS LÄN</t>
        </is>
      </c>
      <c r="E3165" t="inlineStr">
        <is>
          <t>ÖRNSKÖLDSVIK</t>
        </is>
      </c>
      <c r="G3165" t="n">
        <v>8.699999999999999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61346-2023</t>
        </is>
      </c>
      <c r="B3166" s="1" t="n">
        <v>45261</v>
      </c>
      <c r="C3166" s="1" t="n">
        <v>45645</v>
      </c>
      <c r="D3166" t="inlineStr">
        <is>
          <t>VÄSTERNORRLANDS LÄN</t>
        </is>
      </c>
      <c r="E3166" t="inlineStr">
        <is>
          <t>ÖRNSKÖLDSVIK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61367-2023</t>
        </is>
      </c>
      <c r="B3167" s="1" t="n">
        <v>45261</v>
      </c>
      <c r="C3167" s="1" t="n">
        <v>45645</v>
      </c>
      <c r="D3167" t="inlineStr">
        <is>
          <t>VÄSTERNORRLANDS LÄN</t>
        </is>
      </c>
      <c r="E3167" t="inlineStr">
        <is>
          <t>ÖRNSKÖLDSVIK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61302-2023</t>
        </is>
      </c>
      <c r="B3168" s="1" t="n">
        <v>45261</v>
      </c>
      <c r="C3168" s="1" t="n">
        <v>45645</v>
      </c>
      <c r="D3168" t="inlineStr">
        <is>
          <t>VÄSTERNORRLANDS LÄN</t>
        </is>
      </c>
      <c r="E3168" t="inlineStr">
        <is>
          <t>ÖRNSKÖLDSVIK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61324-2023</t>
        </is>
      </c>
      <c r="B3169" s="1" t="n">
        <v>45261</v>
      </c>
      <c r="C3169" s="1" t="n">
        <v>45645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61360-2023</t>
        </is>
      </c>
      <c r="B3170" s="1" t="n">
        <v>45261</v>
      </c>
      <c r="C3170" s="1" t="n">
        <v>45645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61144-2023</t>
        </is>
      </c>
      <c r="B3171" s="1" t="n">
        <v>45262</v>
      </c>
      <c r="C3171" s="1" t="n">
        <v>45645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61355-2023</t>
        </is>
      </c>
      <c r="B3172" s="1" t="n">
        <v>45261</v>
      </c>
      <c r="C3172" s="1" t="n">
        <v>45645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61317-2023</t>
        </is>
      </c>
      <c r="B3173" s="1" t="n">
        <v>45261</v>
      </c>
      <c r="C3173" s="1" t="n">
        <v>45645</v>
      </c>
      <c r="D3173" t="inlineStr">
        <is>
          <t>VÄSTERNORRLANDS LÄN</t>
        </is>
      </c>
      <c r="E3173" t="inlineStr">
        <is>
          <t>ÖRNSKÖLDSVIK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61372-2023</t>
        </is>
      </c>
      <c r="B3174" s="1" t="n">
        <v>45261</v>
      </c>
      <c r="C3174" s="1" t="n">
        <v>45645</v>
      </c>
      <c r="D3174" t="inlineStr">
        <is>
          <t>VÄSTERNORRLANDS LÄN</t>
        </is>
      </c>
      <c r="E3174" t="inlineStr">
        <is>
          <t>ÖRNSKÖLDSVIK</t>
        </is>
      </c>
      <c r="G3174" t="n">
        <v>10.2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61361-2023</t>
        </is>
      </c>
      <c r="B3175" s="1" t="n">
        <v>45261</v>
      </c>
      <c r="C3175" s="1" t="n">
        <v>45645</v>
      </c>
      <c r="D3175" t="inlineStr">
        <is>
          <t>VÄSTERNORRLANDS LÄN</t>
        </is>
      </c>
      <c r="E3175" t="inlineStr">
        <is>
          <t>ÖRNSKÖLDSVIK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61297-2023</t>
        </is>
      </c>
      <c r="B3176" s="1" t="n">
        <v>45261</v>
      </c>
      <c r="C3176" s="1" t="n">
        <v>45645</v>
      </c>
      <c r="D3176" t="inlineStr">
        <is>
          <t>VÄSTERNORRLANDS LÄN</t>
        </is>
      </c>
      <c r="E3176" t="inlineStr">
        <is>
          <t>ÖRNSKÖLDSVIK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61336-2023</t>
        </is>
      </c>
      <c r="B3177" s="1" t="n">
        <v>45261</v>
      </c>
      <c r="C3177" s="1" t="n">
        <v>45645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61389-2023</t>
        </is>
      </c>
      <c r="B3178" s="1" t="n">
        <v>45261</v>
      </c>
      <c r="C3178" s="1" t="n">
        <v>45645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61305-2023</t>
        </is>
      </c>
      <c r="B3179" s="1" t="n">
        <v>45264</v>
      </c>
      <c r="C3179" s="1" t="n">
        <v>45645</v>
      </c>
      <c r="D3179" t="inlineStr">
        <is>
          <t>VÄSTERNORRLANDS LÄN</t>
        </is>
      </c>
      <c r="E3179" t="inlineStr">
        <is>
          <t>ÖRNSKÖLDSVIK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61327-2023</t>
        </is>
      </c>
      <c r="B3180" s="1" t="n">
        <v>45264</v>
      </c>
      <c r="C3180" s="1" t="n">
        <v>45645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61251-2023</t>
        </is>
      </c>
      <c r="B3181" s="1" t="n">
        <v>45264</v>
      </c>
      <c r="C3181" s="1" t="n">
        <v>45645</v>
      </c>
      <c r="D3181" t="inlineStr">
        <is>
          <t>VÄSTERNORRLANDS LÄN</t>
        </is>
      </c>
      <c r="E3181" t="inlineStr">
        <is>
          <t>ÖRNSKÖLDSVIK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61362-2023</t>
        </is>
      </c>
      <c r="B3182" s="1" t="n">
        <v>45264</v>
      </c>
      <c r="C3182" s="1" t="n">
        <v>45645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61342-2023</t>
        </is>
      </c>
      <c r="B3183" s="1" t="n">
        <v>45264</v>
      </c>
      <c r="C3183" s="1" t="n">
        <v>45645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61572-2023</t>
        </is>
      </c>
      <c r="B3184" s="1" t="n">
        <v>45265</v>
      </c>
      <c r="C3184" s="1" t="n">
        <v>45645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61642-2023</t>
        </is>
      </c>
      <c r="B3185" s="1" t="n">
        <v>45265</v>
      </c>
      <c r="C3185" s="1" t="n">
        <v>45645</v>
      </c>
      <c r="D3185" t="inlineStr">
        <is>
          <t>VÄSTERNORRLANDS LÄN</t>
        </is>
      </c>
      <c r="E3185" t="inlineStr">
        <is>
          <t>ÖRNSKÖLDSVIK</t>
        </is>
      </c>
      <c r="G3185" t="n">
        <v>8.800000000000001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61513-2023</t>
        </is>
      </c>
      <c r="B3186" s="1" t="n">
        <v>45265</v>
      </c>
      <c r="C3186" s="1" t="n">
        <v>45645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61712-2023</t>
        </is>
      </c>
      <c r="B3187" s="1" t="n">
        <v>45265</v>
      </c>
      <c r="C3187" s="1" t="n">
        <v>45645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61786-2023</t>
        </is>
      </c>
      <c r="B3188" s="1" t="n">
        <v>45265</v>
      </c>
      <c r="C3188" s="1" t="n">
        <v>45645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21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61812-2023</t>
        </is>
      </c>
      <c r="B3189" s="1" t="n">
        <v>45266</v>
      </c>
      <c r="C3189" s="1" t="n">
        <v>45645</v>
      </c>
      <c r="D3189" t="inlineStr">
        <is>
          <t>VÄSTERNORRLANDS LÄN</t>
        </is>
      </c>
      <c r="E3189" t="inlineStr">
        <is>
          <t>ÖRNSKÖLDSVIK</t>
        </is>
      </c>
      <c r="G3189" t="n">
        <v>14.5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62019-2023</t>
        </is>
      </c>
      <c r="B3190" s="1" t="n">
        <v>45266</v>
      </c>
      <c r="C3190" s="1" t="n">
        <v>45645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62082-2023</t>
        </is>
      </c>
      <c r="B3191" s="1" t="n">
        <v>45266</v>
      </c>
      <c r="C3191" s="1" t="n">
        <v>45645</v>
      </c>
      <c r="D3191" t="inlineStr">
        <is>
          <t>VÄSTERNORRLANDS LÄN</t>
        </is>
      </c>
      <c r="E3191" t="inlineStr">
        <is>
          <t>ÖRNSKÖLDSVIK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62110-2023</t>
        </is>
      </c>
      <c r="B3192" s="1" t="n">
        <v>45266</v>
      </c>
      <c r="C3192" s="1" t="n">
        <v>45645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62285-2023</t>
        </is>
      </c>
      <c r="B3193" s="1" t="n">
        <v>45267</v>
      </c>
      <c r="C3193" s="1" t="n">
        <v>45645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62467-2023</t>
        </is>
      </c>
      <c r="B3194" s="1" t="n">
        <v>45267</v>
      </c>
      <c r="C3194" s="1" t="n">
        <v>45645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62440-2023</t>
        </is>
      </c>
      <c r="B3195" s="1" t="n">
        <v>45268</v>
      </c>
      <c r="C3195" s="1" t="n">
        <v>45645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62559-2023</t>
        </is>
      </c>
      <c r="B3196" s="1" t="n">
        <v>45268</v>
      </c>
      <c r="C3196" s="1" t="n">
        <v>45645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62563-2023</t>
        </is>
      </c>
      <c r="B3197" s="1" t="n">
        <v>45268</v>
      </c>
      <c r="C3197" s="1" t="n">
        <v>45645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29.9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62659-2023</t>
        </is>
      </c>
      <c r="B3198" s="1" t="n">
        <v>45268</v>
      </c>
      <c r="C3198" s="1" t="n">
        <v>45645</v>
      </c>
      <c r="D3198" t="inlineStr">
        <is>
          <t>VÄSTERNORRLANDS LÄN</t>
        </is>
      </c>
      <c r="E3198" t="inlineStr">
        <is>
          <t>ÖRNSKÖLDSVIK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62560-2023</t>
        </is>
      </c>
      <c r="B3199" s="1" t="n">
        <v>45268</v>
      </c>
      <c r="C3199" s="1" t="n">
        <v>45645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62484-2023</t>
        </is>
      </c>
      <c r="B3200" s="1" t="n">
        <v>45268</v>
      </c>
      <c r="C3200" s="1" t="n">
        <v>45645</v>
      </c>
      <c r="D3200" t="inlineStr">
        <is>
          <t>VÄSTERNORRLANDS LÄN</t>
        </is>
      </c>
      <c r="E3200" t="inlineStr">
        <is>
          <t>ÖRNSKÖLDSVIK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62727-2023</t>
        </is>
      </c>
      <c r="B3201" s="1" t="n">
        <v>45268</v>
      </c>
      <c r="C3201" s="1" t="n">
        <v>45645</v>
      </c>
      <c r="D3201" t="inlineStr">
        <is>
          <t>VÄSTERNORRLANDS LÄN</t>
        </is>
      </c>
      <c r="E3201" t="inlineStr">
        <is>
          <t>ÖRNSKÖLDSVIK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62736-2023</t>
        </is>
      </c>
      <c r="B3202" s="1" t="n">
        <v>45268</v>
      </c>
      <c r="C3202" s="1" t="n">
        <v>45645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62733-2023</t>
        </is>
      </c>
      <c r="B3203" s="1" t="n">
        <v>45268</v>
      </c>
      <c r="C3203" s="1" t="n">
        <v>45645</v>
      </c>
      <c r="D3203" t="inlineStr">
        <is>
          <t>VÄSTERNORRLANDS LÄN</t>
        </is>
      </c>
      <c r="E3203" t="inlineStr">
        <is>
          <t>ÖRNSKÖLDSVIK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62735-2023</t>
        </is>
      </c>
      <c r="B3204" s="1" t="n">
        <v>45268</v>
      </c>
      <c r="C3204" s="1" t="n">
        <v>45645</v>
      </c>
      <c r="D3204" t="inlineStr">
        <is>
          <t>VÄSTERNORRLANDS LÄN</t>
        </is>
      </c>
      <c r="E3204" t="inlineStr">
        <is>
          <t>ÖRNSKÖLDSVIK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62732-2023</t>
        </is>
      </c>
      <c r="B3205" s="1" t="n">
        <v>45271</v>
      </c>
      <c r="C3205" s="1" t="n">
        <v>45645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62593-2023</t>
        </is>
      </c>
      <c r="B3206" s="1" t="n">
        <v>45271</v>
      </c>
      <c r="C3206" s="1" t="n">
        <v>45645</v>
      </c>
      <c r="D3206" t="inlineStr">
        <is>
          <t>VÄSTERNORRLANDS LÄN</t>
        </is>
      </c>
      <c r="E3206" t="inlineStr">
        <is>
          <t>ÖRNSKÖLDSVIK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62622-2023</t>
        </is>
      </c>
      <c r="B3207" s="1" t="n">
        <v>45271</v>
      </c>
      <c r="C3207" s="1" t="n">
        <v>45645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62924-2023</t>
        </is>
      </c>
      <c r="B3208" s="1" t="n">
        <v>45271</v>
      </c>
      <c r="C3208" s="1" t="n">
        <v>45645</v>
      </c>
      <c r="D3208" t="inlineStr">
        <is>
          <t>VÄSTERNORRLANDS LÄN</t>
        </is>
      </c>
      <c r="E3208" t="inlineStr">
        <is>
          <t>ÖRNSKÖLDSVIK</t>
        </is>
      </c>
      <c r="G3208" t="n">
        <v>6.6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62857-2023</t>
        </is>
      </c>
      <c r="B3209" s="1" t="n">
        <v>45272</v>
      </c>
      <c r="C3209" s="1" t="n">
        <v>45645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7.4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63003-2023</t>
        </is>
      </c>
      <c r="B3210" s="1" t="n">
        <v>45272</v>
      </c>
      <c r="C3210" s="1" t="n">
        <v>45645</v>
      </c>
      <c r="D3210" t="inlineStr">
        <is>
          <t>VÄSTERNORRLANDS LÄN</t>
        </is>
      </c>
      <c r="E3210" t="inlineStr">
        <is>
          <t>ÖRNSKÖLDSVIK</t>
        </is>
      </c>
      <c r="G3210" t="n">
        <v>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63044-2023</t>
        </is>
      </c>
      <c r="B3211" s="1" t="n">
        <v>45272</v>
      </c>
      <c r="C3211" s="1" t="n">
        <v>45645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63069-2023</t>
        </is>
      </c>
      <c r="B3212" s="1" t="n">
        <v>45273</v>
      </c>
      <c r="C3212" s="1" t="n">
        <v>45645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63230-2023</t>
        </is>
      </c>
      <c r="B3213" s="1" t="n">
        <v>45273</v>
      </c>
      <c r="C3213" s="1" t="n">
        <v>45645</v>
      </c>
      <c r="D3213" t="inlineStr">
        <is>
          <t>VÄSTERNORRLANDS LÄN</t>
        </is>
      </c>
      <c r="E3213" t="inlineStr">
        <is>
          <t>ÖRNSKÖLDSVIK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63091-2023</t>
        </is>
      </c>
      <c r="B3214" s="1" t="n">
        <v>45273</v>
      </c>
      <c r="C3214" s="1" t="n">
        <v>45645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63420-2023</t>
        </is>
      </c>
      <c r="B3215" s="1" t="n">
        <v>45274</v>
      </c>
      <c r="C3215" s="1" t="n">
        <v>45645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63510-2023</t>
        </is>
      </c>
      <c r="B3216" s="1" t="n">
        <v>45274</v>
      </c>
      <c r="C3216" s="1" t="n">
        <v>45645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63496-2023</t>
        </is>
      </c>
      <c r="B3217" s="1" t="n">
        <v>45274</v>
      </c>
      <c r="C3217" s="1" t="n">
        <v>45645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63503-2023</t>
        </is>
      </c>
      <c r="B3218" s="1" t="n">
        <v>45274</v>
      </c>
      <c r="C3218" s="1" t="n">
        <v>45645</v>
      </c>
      <c r="D3218" t="inlineStr">
        <is>
          <t>VÄSTERNORRLANDS LÄN</t>
        </is>
      </c>
      <c r="E3218" t="inlineStr">
        <is>
          <t>ÖRNSKÖLDSVIK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63567-2023</t>
        </is>
      </c>
      <c r="B3219" s="1" t="n">
        <v>45275</v>
      </c>
      <c r="C3219" s="1" t="n">
        <v>45645</v>
      </c>
      <c r="D3219" t="inlineStr">
        <is>
          <t>VÄSTERNORRLANDS LÄN</t>
        </is>
      </c>
      <c r="E3219" t="inlineStr">
        <is>
          <t>ÖRNSKÖLDSVIK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63689-2023</t>
        </is>
      </c>
      <c r="B3220" s="1" t="n">
        <v>45275</v>
      </c>
      <c r="C3220" s="1" t="n">
        <v>45645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63616-2023</t>
        </is>
      </c>
      <c r="B3221" s="1" t="n">
        <v>45275</v>
      </c>
      <c r="C3221" s="1" t="n">
        <v>45645</v>
      </c>
      <c r="D3221" t="inlineStr">
        <is>
          <t>VÄSTERNORRLANDS LÄN</t>
        </is>
      </c>
      <c r="E3221" t="inlineStr">
        <is>
          <t>ÖRNSKÖLDSVIK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63660-2023</t>
        </is>
      </c>
      <c r="B3222" s="1" t="n">
        <v>45275</v>
      </c>
      <c r="C3222" s="1" t="n">
        <v>45645</v>
      </c>
      <c r="D3222" t="inlineStr">
        <is>
          <t>VÄSTERNORRLANDS LÄN</t>
        </is>
      </c>
      <c r="E3222" t="inlineStr">
        <is>
          <t>ÖRNSKÖLDSVIK</t>
        </is>
      </c>
      <c r="G3222" t="n">
        <v>16.3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63673-2023</t>
        </is>
      </c>
      <c r="B3223" s="1" t="n">
        <v>45275</v>
      </c>
      <c r="C3223" s="1" t="n">
        <v>45645</v>
      </c>
      <c r="D3223" t="inlineStr">
        <is>
          <t>VÄSTERNORRLANDS LÄN</t>
        </is>
      </c>
      <c r="E3223" t="inlineStr">
        <is>
          <t>ÖRNSKÖLDSVIK</t>
        </is>
      </c>
      <c r="G3223" t="n">
        <v>11.5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63671-2023</t>
        </is>
      </c>
      <c r="B3224" s="1" t="n">
        <v>45275</v>
      </c>
      <c r="C3224" s="1" t="n">
        <v>45645</v>
      </c>
      <c r="D3224" t="inlineStr">
        <is>
          <t>VÄSTERNORRLANDS LÄN</t>
        </is>
      </c>
      <c r="E3224" t="inlineStr">
        <is>
          <t>ÖRNSKÖLDSVIK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63715-2023</t>
        </is>
      </c>
      <c r="B3225" s="1" t="n">
        <v>45275</v>
      </c>
      <c r="C3225" s="1" t="n">
        <v>45645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63727-2023</t>
        </is>
      </c>
      <c r="B3226" s="1" t="n">
        <v>45276</v>
      </c>
      <c r="C3226" s="1" t="n">
        <v>45645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63729-2023</t>
        </is>
      </c>
      <c r="B3227" s="1" t="n">
        <v>45276</v>
      </c>
      <c r="C3227" s="1" t="n">
        <v>45645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63728-2023</t>
        </is>
      </c>
      <c r="B3228" s="1" t="n">
        <v>45276</v>
      </c>
      <c r="C3228" s="1" t="n">
        <v>45645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63731-2023</t>
        </is>
      </c>
      <c r="B3229" s="1" t="n">
        <v>45277</v>
      </c>
      <c r="C3229" s="1" t="n">
        <v>45645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63738-2023</t>
        </is>
      </c>
      <c r="B3230" s="1" t="n">
        <v>45277</v>
      </c>
      <c r="C3230" s="1" t="n">
        <v>45645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63746-2023</t>
        </is>
      </c>
      <c r="B3231" s="1" t="n">
        <v>45277</v>
      </c>
      <c r="C3231" s="1" t="n">
        <v>45645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63750-2023</t>
        </is>
      </c>
      <c r="B3232" s="1" t="n">
        <v>45277</v>
      </c>
      <c r="C3232" s="1" t="n">
        <v>45645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63732-2023</t>
        </is>
      </c>
      <c r="B3233" s="1" t="n">
        <v>45277</v>
      </c>
      <c r="C3233" s="1" t="n">
        <v>45645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63744-2023</t>
        </is>
      </c>
      <c r="B3234" s="1" t="n">
        <v>45277</v>
      </c>
      <c r="C3234" s="1" t="n">
        <v>45645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63748-2023</t>
        </is>
      </c>
      <c r="B3235" s="1" t="n">
        <v>45277</v>
      </c>
      <c r="C3235" s="1" t="n">
        <v>45645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63733-2023</t>
        </is>
      </c>
      <c r="B3236" s="1" t="n">
        <v>45277</v>
      </c>
      <c r="C3236" s="1" t="n">
        <v>45645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63737-2023</t>
        </is>
      </c>
      <c r="B3237" s="1" t="n">
        <v>45277</v>
      </c>
      <c r="C3237" s="1" t="n">
        <v>45645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63749-2023</t>
        </is>
      </c>
      <c r="B3238" s="1" t="n">
        <v>45277</v>
      </c>
      <c r="C3238" s="1" t="n">
        <v>45645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63876-2023</t>
        </is>
      </c>
      <c r="B3239" s="1" t="n">
        <v>45278</v>
      </c>
      <c r="C3239" s="1" t="n">
        <v>45645</v>
      </c>
      <c r="D3239" t="inlineStr">
        <is>
          <t>VÄSTERNORRLANDS LÄN</t>
        </is>
      </c>
      <c r="E3239" t="inlineStr">
        <is>
          <t>ÖRNSKÖLDSVIK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63916-2023</t>
        </is>
      </c>
      <c r="B3240" s="1" t="n">
        <v>45278</v>
      </c>
      <c r="C3240" s="1" t="n">
        <v>45645</v>
      </c>
      <c r="D3240" t="inlineStr">
        <is>
          <t>VÄSTERNORRLANDS LÄN</t>
        </is>
      </c>
      <c r="E3240" t="inlineStr">
        <is>
          <t>ÖRNSKÖLDSVIK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64092-2023</t>
        </is>
      </c>
      <c r="B3241" s="1" t="n">
        <v>45279</v>
      </c>
      <c r="C3241" s="1" t="n">
        <v>45645</v>
      </c>
      <c r="D3241" t="inlineStr">
        <is>
          <t>VÄSTERNORRLANDS LÄN</t>
        </is>
      </c>
      <c r="E3241" t="inlineStr">
        <is>
          <t>ÖRNSKÖLDSVIK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64141-2023</t>
        </is>
      </c>
      <c r="B3242" s="1" t="n">
        <v>45279</v>
      </c>
      <c r="C3242" s="1" t="n">
        <v>45645</v>
      </c>
      <c r="D3242" t="inlineStr">
        <is>
          <t>VÄSTERNORRLANDS LÄN</t>
        </is>
      </c>
      <c r="E3242" t="inlineStr">
        <is>
          <t>ÖRNSKÖLDSVIK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64412-2023</t>
        </is>
      </c>
      <c r="B3243" s="1" t="n">
        <v>45280</v>
      </c>
      <c r="C3243" s="1" t="n">
        <v>45645</v>
      </c>
      <c r="D3243" t="inlineStr">
        <is>
          <t>VÄSTERNORRLANDS LÄN</t>
        </is>
      </c>
      <c r="E3243" t="inlineStr">
        <is>
          <t>ÖRNSKÖLDSVIK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64552-2023</t>
        </is>
      </c>
      <c r="B3244" s="1" t="n">
        <v>45281</v>
      </c>
      <c r="C3244" s="1" t="n">
        <v>45645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64586-2023</t>
        </is>
      </c>
      <c r="B3245" s="1" t="n">
        <v>45281</v>
      </c>
      <c r="C3245" s="1" t="n">
        <v>45645</v>
      </c>
      <c r="D3245" t="inlineStr">
        <is>
          <t>VÄSTERNORRLANDS LÄN</t>
        </is>
      </c>
      <c r="E3245" t="inlineStr">
        <is>
          <t>ÖRNSKÖLDSVIK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64594-2023</t>
        </is>
      </c>
      <c r="B3246" s="1" t="n">
        <v>45281</v>
      </c>
      <c r="C3246" s="1" t="n">
        <v>45645</v>
      </c>
      <c r="D3246" t="inlineStr">
        <is>
          <t>VÄSTERNORRLANDS LÄN</t>
        </is>
      </c>
      <c r="E3246" t="inlineStr">
        <is>
          <t>ÖRNSKÖLDSVIK</t>
        </is>
      </c>
      <c r="G3246" t="n">
        <v>10.2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64678-2023</t>
        </is>
      </c>
      <c r="B3247" s="1" t="n">
        <v>45281</v>
      </c>
      <c r="C3247" s="1" t="n">
        <v>45645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64689-2023</t>
        </is>
      </c>
      <c r="B3248" s="1" t="n">
        <v>45281</v>
      </c>
      <c r="C3248" s="1" t="n">
        <v>45645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64572-2023</t>
        </is>
      </c>
      <c r="B3249" s="1" t="n">
        <v>45281</v>
      </c>
      <c r="C3249" s="1" t="n">
        <v>45645</v>
      </c>
      <c r="D3249" t="inlineStr">
        <is>
          <t>VÄSTERNORRLANDS LÄN</t>
        </is>
      </c>
      <c r="E3249" t="inlineStr">
        <is>
          <t>ÖRNSKÖLDSVIK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65146-2023</t>
        </is>
      </c>
      <c r="B3250" s="1" t="n">
        <v>45288</v>
      </c>
      <c r="C3250" s="1" t="n">
        <v>45645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31-2024</t>
        </is>
      </c>
      <c r="B3251" s="1" t="n">
        <v>45291</v>
      </c>
      <c r="C3251" s="1" t="n">
        <v>45645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125-2024</t>
        </is>
      </c>
      <c r="B3252" s="1" t="n">
        <v>45294</v>
      </c>
      <c r="C3252" s="1" t="n">
        <v>45645</v>
      </c>
      <c r="D3252" t="inlineStr">
        <is>
          <t>VÄSTERNORRLANDS LÄN</t>
        </is>
      </c>
      <c r="E3252" t="inlineStr">
        <is>
          <t>ÖRNSKÖLDSVIK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132-2024</t>
        </is>
      </c>
      <c r="B3253" s="1" t="n">
        <v>45294</v>
      </c>
      <c r="C3253" s="1" t="n">
        <v>45645</v>
      </c>
      <c r="D3253" t="inlineStr">
        <is>
          <t>VÄSTERNORRLANDS LÄN</t>
        </is>
      </c>
      <c r="E3253" t="inlineStr">
        <is>
          <t>ÖRNSKÖLDSVIK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115-2024</t>
        </is>
      </c>
      <c r="B3254" s="1" t="n">
        <v>45294</v>
      </c>
      <c r="C3254" s="1" t="n">
        <v>45645</v>
      </c>
      <c r="D3254" t="inlineStr">
        <is>
          <t>VÄSTERNORRLANDS LÄN</t>
        </is>
      </c>
      <c r="E3254" t="inlineStr">
        <is>
          <t>ÖRNSKÖLDSVIK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250-2024</t>
        </is>
      </c>
      <c r="B3255" s="1" t="n">
        <v>45294</v>
      </c>
      <c r="C3255" s="1" t="n">
        <v>45645</v>
      </c>
      <c r="D3255" t="inlineStr">
        <is>
          <t>VÄSTERNORRLANDS LÄN</t>
        </is>
      </c>
      <c r="E3255" t="inlineStr">
        <is>
          <t>ÖRNSKÖLDSVIK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239-2024</t>
        </is>
      </c>
      <c r="B3256" s="1" t="n">
        <v>45294</v>
      </c>
      <c r="C3256" s="1" t="n">
        <v>45645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314-2024</t>
        </is>
      </c>
      <c r="B3257" s="1" t="n">
        <v>45295</v>
      </c>
      <c r="C3257" s="1" t="n">
        <v>45645</v>
      </c>
      <c r="D3257" t="inlineStr">
        <is>
          <t>VÄSTERNORRLANDS LÄN</t>
        </is>
      </c>
      <c r="E3257" t="inlineStr">
        <is>
          <t>ÖRNSKÖLDSVIK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327-2024</t>
        </is>
      </c>
      <c r="B3258" s="1" t="n">
        <v>45295</v>
      </c>
      <c r="C3258" s="1" t="n">
        <v>45645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342-2024</t>
        </is>
      </c>
      <c r="B3259" s="1" t="n">
        <v>45295</v>
      </c>
      <c r="C3259" s="1" t="n">
        <v>45645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307-2024</t>
        </is>
      </c>
      <c r="B3260" s="1" t="n">
        <v>45295</v>
      </c>
      <c r="C3260" s="1" t="n">
        <v>45645</v>
      </c>
      <c r="D3260" t="inlineStr">
        <is>
          <t>VÄSTERNORRLANDS LÄN</t>
        </is>
      </c>
      <c r="E3260" t="inlineStr">
        <is>
          <t>ÖRNSKÖLDSVIK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332-2024</t>
        </is>
      </c>
      <c r="B3261" s="1" t="n">
        <v>45295</v>
      </c>
      <c r="C3261" s="1" t="n">
        <v>45645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372-2024</t>
        </is>
      </c>
      <c r="B3262" s="1" t="n">
        <v>45296</v>
      </c>
      <c r="C3262" s="1" t="n">
        <v>45645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415-2024</t>
        </is>
      </c>
      <c r="B3263" s="1" t="n">
        <v>45296</v>
      </c>
      <c r="C3263" s="1" t="n">
        <v>45645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426-2024</t>
        </is>
      </c>
      <c r="B3264" s="1" t="n">
        <v>45296</v>
      </c>
      <c r="C3264" s="1" t="n">
        <v>45645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436-2024</t>
        </is>
      </c>
      <c r="B3265" s="1" t="n">
        <v>45296</v>
      </c>
      <c r="C3265" s="1" t="n">
        <v>45645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441-2024</t>
        </is>
      </c>
      <c r="B3266" s="1" t="n">
        <v>45296</v>
      </c>
      <c r="C3266" s="1" t="n">
        <v>45645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595-2024</t>
        </is>
      </c>
      <c r="B3267" s="1" t="n">
        <v>45299</v>
      </c>
      <c r="C3267" s="1" t="n">
        <v>45645</v>
      </c>
      <c r="D3267" t="inlineStr">
        <is>
          <t>VÄSTERNORRLANDS LÄN</t>
        </is>
      </c>
      <c r="E3267" t="inlineStr">
        <is>
          <t>ÖRNSKÖLDSVIK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683-2024</t>
        </is>
      </c>
      <c r="B3268" s="1" t="n">
        <v>45300</v>
      </c>
      <c r="C3268" s="1" t="n">
        <v>45645</v>
      </c>
      <c r="D3268" t="inlineStr">
        <is>
          <t>VÄSTERNORRLANDS LÄN</t>
        </is>
      </c>
      <c r="E3268" t="inlineStr">
        <is>
          <t>ÖRNSKÖLDSVIK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827-2024</t>
        </is>
      </c>
      <c r="B3269" s="1" t="n">
        <v>45300</v>
      </c>
      <c r="C3269" s="1" t="n">
        <v>45645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824-2024</t>
        </is>
      </c>
      <c r="B3270" s="1" t="n">
        <v>45300</v>
      </c>
      <c r="C3270" s="1" t="n">
        <v>45645</v>
      </c>
      <c r="D3270" t="inlineStr">
        <is>
          <t>VÄSTERNORRLANDS LÄN</t>
        </is>
      </c>
      <c r="E3270" t="inlineStr">
        <is>
          <t>ÖRNSKÖLDSVIK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698-2024</t>
        </is>
      </c>
      <c r="B3271" s="1" t="n">
        <v>45300</v>
      </c>
      <c r="C3271" s="1" t="n">
        <v>45645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825-2024</t>
        </is>
      </c>
      <c r="B3272" s="1" t="n">
        <v>45300</v>
      </c>
      <c r="C3272" s="1" t="n">
        <v>45645</v>
      </c>
      <c r="D3272" t="inlineStr">
        <is>
          <t>VÄSTERNORRLANDS LÄN</t>
        </is>
      </c>
      <c r="E3272" t="inlineStr">
        <is>
          <t>ÖRNSKÖLDSVIK</t>
        </is>
      </c>
      <c r="G3272" t="n">
        <v>7.4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842-2024</t>
        </is>
      </c>
      <c r="B3273" s="1" t="n">
        <v>45300</v>
      </c>
      <c r="C3273" s="1" t="n">
        <v>45645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802-2024</t>
        </is>
      </c>
      <c r="B3274" s="1" t="n">
        <v>45300</v>
      </c>
      <c r="C3274" s="1" t="n">
        <v>45645</v>
      </c>
      <c r="D3274" t="inlineStr">
        <is>
          <t>VÄSTERNORRLANDS LÄN</t>
        </is>
      </c>
      <c r="E3274" t="inlineStr">
        <is>
          <t>ÖRNSKÖLDSVIK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863-2024</t>
        </is>
      </c>
      <c r="B3275" s="1" t="n">
        <v>45301</v>
      </c>
      <c r="C3275" s="1" t="n">
        <v>45645</v>
      </c>
      <c r="D3275" t="inlineStr">
        <is>
          <t>VÄSTERNORRLANDS LÄN</t>
        </is>
      </c>
      <c r="E3275" t="inlineStr">
        <is>
          <t>ÖRNSKÖLDSVIK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831-2024</t>
        </is>
      </c>
      <c r="B3276" s="1" t="n">
        <v>45301</v>
      </c>
      <c r="C3276" s="1" t="n">
        <v>45645</v>
      </c>
      <c r="D3276" t="inlineStr">
        <is>
          <t>VÄSTERNORRLANDS LÄN</t>
        </is>
      </c>
      <c r="E3276" t="inlineStr">
        <is>
          <t>ÖRNSKÖLDSVIK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882-2024</t>
        </is>
      </c>
      <c r="B3277" s="1" t="n">
        <v>45301</v>
      </c>
      <c r="C3277" s="1" t="n">
        <v>45645</v>
      </c>
      <c r="D3277" t="inlineStr">
        <is>
          <t>VÄSTERNORRLANDS LÄN</t>
        </is>
      </c>
      <c r="E3277" t="inlineStr">
        <is>
          <t>ÖRNSKÖLDSVIK</t>
        </is>
      </c>
      <c r="G3277" t="n">
        <v>24.2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997-2024</t>
        </is>
      </c>
      <c r="B3278" s="1" t="n">
        <v>45301</v>
      </c>
      <c r="C3278" s="1" t="n">
        <v>45645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1002-2024</t>
        </is>
      </c>
      <c r="B3279" s="1" t="n">
        <v>45301</v>
      </c>
      <c r="C3279" s="1" t="n">
        <v>45645</v>
      </c>
      <c r="D3279" t="inlineStr">
        <is>
          <t>VÄSTERNORRLANDS LÄN</t>
        </is>
      </c>
      <c r="E3279" t="inlineStr">
        <is>
          <t>ÖRNSKÖLDSVIK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1085-2024</t>
        </is>
      </c>
      <c r="B3280" s="1" t="n">
        <v>45301</v>
      </c>
      <c r="C3280" s="1" t="n">
        <v>45645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Kyrkan</t>
        </is>
      </c>
      <c r="G3280" t="n">
        <v>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1163-2024</t>
        </is>
      </c>
      <c r="B3281" s="1" t="n">
        <v>45302</v>
      </c>
      <c r="C3281" s="1" t="n">
        <v>45645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1078-2024</t>
        </is>
      </c>
      <c r="B3282" s="1" t="n">
        <v>45302</v>
      </c>
      <c r="C3282" s="1" t="n">
        <v>45645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1161-2024</t>
        </is>
      </c>
      <c r="B3283" s="1" t="n">
        <v>45302</v>
      </c>
      <c r="C3283" s="1" t="n">
        <v>45645</v>
      </c>
      <c r="D3283" t="inlineStr">
        <is>
          <t>VÄSTERNORRLANDS LÄN</t>
        </is>
      </c>
      <c r="E3283" t="inlineStr">
        <is>
          <t>ÖRNSKÖLDSVIK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1148-2024</t>
        </is>
      </c>
      <c r="B3284" s="1" t="n">
        <v>45302</v>
      </c>
      <c r="C3284" s="1" t="n">
        <v>45645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1410-2024</t>
        </is>
      </c>
      <c r="B3285" s="1" t="n">
        <v>45303</v>
      </c>
      <c r="C3285" s="1" t="n">
        <v>45645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1404-2024</t>
        </is>
      </c>
      <c r="B3286" s="1" t="n">
        <v>45303</v>
      </c>
      <c r="C3286" s="1" t="n">
        <v>45645</v>
      </c>
      <c r="D3286" t="inlineStr">
        <is>
          <t>VÄSTERNORRLANDS LÄN</t>
        </is>
      </c>
      <c r="E3286" t="inlineStr">
        <is>
          <t>ÖRNSKÖLDSVIK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1416-2024</t>
        </is>
      </c>
      <c r="B3287" s="1" t="n">
        <v>45303</v>
      </c>
      <c r="C3287" s="1" t="n">
        <v>45645</v>
      </c>
      <c r="D3287" t="inlineStr">
        <is>
          <t>VÄSTERNORRLANDS LÄN</t>
        </is>
      </c>
      <c r="E3287" t="inlineStr">
        <is>
          <t>ÖRNSKÖLDSVIK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1487-2024</t>
        </is>
      </c>
      <c r="B3288" s="1" t="n">
        <v>45305</v>
      </c>
      <c r="C3288" s="1" t="n">
        <v>45645</v>
      </c>
      <c r="D3288" t="inlineStr">
        <is>
          <t>VÄSTERNORRLANDS LÄN</t>
        </is>
      </c>
      <c r="E3288" t="inlineStr">
        <is>
          <t>ÖRNSKÖLDSVIK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1485-2024</t>
        </is>
      </c>
      <c r="B3289" s="1" t="n">
        <v>45305</v>
      </c>
      <c r="C3289" s="1" t="n">
        <v>45645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1559-2024</t>
        </is>
      </c>
      <c r="B3290" s="1" t="n">
        <v>45306</v>
      </c>
      <c r="C3290" s="1" t="n">
        <v>45645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1563-2024</t>
        </is>
      </c>
      <c r="B3291" s="1" t="n">
        <v>45306</v>
      </c>
      <c r="C3291" s="1" t="n">
        <v>45645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1589-2024</t>
        </is>
      </c>
      <c r="B3292" s="1" t="n">
        <v>45306</v>
      </c>
      <c r="C3292" s="1" t="n">
        <v>45645</v>
      </c>
      <c r="D3292" t="inlineStr">
        <is>
          <t>VÄSTERNORRLANDS LÄN</t>
        </is>
      </c>
      <c r="E3292" t="inlineStr">
        <is>
          <t>ÖRNSKÖLDSVIK</t>
        </is>
      </c>
      <c r="G3292" t="n">
        <v>7.7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1703-2024</t>
        </is>
      </c>
      <c r="B3293" s="1" t="n">
        <v>45307</v>
      </c>
      <c r="C3293" s="1" t="n">
        <v>45645</v>
      </c>
      <c r="D3293" t="inlineStr">
        <is>
          <t>VÄSTERNORRLANDS LÄN</t>
        </is>
      </c>
      <c r="E3293" t="inlineStr">
        <is>
          <t>ÖRNSKÖLDSVIK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1819-2024</t>
        </is>
      </c>
      <c r="B3294" s="1" t="n">
        <v>45307</v>
      </c>
      <c r="C3294" s="1" t="n">
        <v>45645</v>
      </c>
      <c r="D3294" t="inlineStr">
        <is>
          <t>VÄSTERNORRLANDS LÄN</t>
        </is>
      </c>
      <c r="E3294" t="inlineStr">
        <is>
          <t>ÖRNSKÖLDSVIK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1831-2024</t>
        </is>
      </c>
      <c r="B3295" s="1" t="n">
        <v>45307</v>
      </c>
      <c r="C3295" s="1" t="n">
        <v>45645</v>
      </c>
      <c r="D3295" t="inlineStr">
        <is>
          <t>VÄSTERNORRLANDS LÄN</t>
        </is>
      </c>
      <c r="E3295" t="inlineStr">
        <is>
          <t>ÖRNSKÖLDSVIK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1905-2024</t>
        </is>
      </c>
      <c r="B3296" s="1" t="n">
        <v>45308</v>
      </c>
      <c r="C3296" s="1" t="n">
        <v>45645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1941-2024</t>
        </is>
      </c>
      <c r="B3297" s="1" t="n">
        <v>45308</v>
      </c>
      <c r="C3297" s="1" t="n">
        <v>45645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1901-2024</t>
        </is>
      </c>
      <c r="B3298" s="1" t="n">
        <v>45308</v>
      </c>
      <c r="C3298" s="1" t="n">
        <v>45645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1906-2024</t>
        </is>
      </c>
      <c r="B3299" s="1" t="n">
        <v>45308</v>
      </c>
      <c r="C3299" s="1" t="n">
        <v>45645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1898-2024</t>
        </is>
      </c>
      <c r="B3300" s="1" t="n">
        <v>45308</v>
      </c>
      <c r="C3300" s="1" t="n">
        <v>45645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2041-2024</t>
        </is>
      </c>
      <c r="B3301" s="1" t="n">
        <v>45308</v>
      </c>
      <c r="C3301" s="1" t="n">
        <v>45645</v>
      </c>
      <c r="D3301" t="inlineStr">
        <is>
          <t>VÄSTERNORRLANDS LÄN</t>
        </is>
      </c>
      <c r="E3301" t="inlineStr">
        <is>
          <t>ÖRNSKÖLDSVIK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2053-2024</t>
        </is>
      </c>
      <c r="B3302" s="1" t="n">
        <v>45308</v>
      </c>
      <c r="C3302" s="1" t="n">
        <v>45645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2136-2024</t>
        </is>
      </c>
      <c r="B3303" s="1" t="n">
        <v>45309</v>
      </c>
      <c r="C3303" s="1" t="n">
        <v>45645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2122-2024</t>
        </is>
      </c>
      <c r="B3304" s="1" t="n">
        <v>45309</v>
      </c>
      <c r="C3304" s="1" t="n">
        <v>45645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2129-2024</t>
        </is>
      </c>
      <c r="B3305" s="1" t="n">
        <v>45309</v>
      </c>
      <c r="C3305" s="1" t="n">
        <v>45645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2226-2024</t>
        </is>
      </c>
      <c r="B3306" s="1" t="n">
        <v>45309</v>
      </c>
      <c r="C3306" s="1" t="n">
        <v>45645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2313-2024</t>
        </is>
      </c>
      <c r="B3307" s="1" t="n">
        <v>45310</v>
      </c>
      <c r="C3307" s="1" t="n">
        <v>45645</v>
      </c>
      <c r="D3307" t="inlineStr">
        <is>
          <t>VÄSTERNORRLANDS LÄN</t>
        </is>
      </c>
      <c r="E3307" t="inlineStr">
        <is>
          <t>ÖRNSKÖLDSVIK</t>
        </is>
      </c>
      <c r="G3307" t="n">
        <v>6.4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2317-2024</t>
        </is>
      </c>
      <c r="B3308" s="1" t="n">
        <v>45310</v>
      </c>
      <c r="C3308" s="1" t="n">
        <v>45645</v>
      </c>
      <c r="D3308" t="inlineStr">
        <is>
          <t>VÄSTERNORRLANDS LÄN</t>
        </is>
      </c>
      <c r="E3308" t="inlineStr">
        <is>
          <t>ÖRNSKÖLDSVIK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2334-2024</t>
        </is>
      </c>
      <c r="B3309" s="1" t="n">
        <v>45310</v>
      </c>
      <c r="C3309" s="1" t="n">
        <v>45645</v>
      </c>
      <c r="D3309" t="inlineStr">
        <is>
          <t>VÄSTERNORRLANDS LÄN</t>
        </is>
      </c>
      <c r="E3309" t="inlineStr">
        <is>
          <t>ÖRNSKÖLDSVIK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2338-2024</t>
        </is>
      </c>
      <c r="B3310" s="1" t="n">
        <v>45310</v>
      </c>
      <c r="C3310" s="1" t="n">
        <v>45645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2403-2024</t>
        </is>
      </c>
      <c r="B3311" s="1" t="n">
        <v>45310</v>
      </c>
      <c r="C3311" s="1" t="n">
        <v>45645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2404-2024</t>
        </is>
      </c>
      <c r="B3312" s="1" t="n">
        <v>45310</v>
      </c>
      <c r="C3312" s="1" t="n">
        <v>45645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2405-2024</t>
        </is>
      </c>
      <c r="B3313" s="1" t="n">
        <v>45310</v>
      </c>
      <c r="C3313" s="1" t="n">
        <v>45645</v>
      </c>
      <c r="D3313" t="inlineStr">
        <is>
          <t>VÄSTERNORRLANDS LÄN</t>
        </is>
      </c>
      <c r="E3313" t="inlineStr">
        <is>
          <t>ÖRNSKÖLDSVIK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2477-2024</t>
        </is>
      </c>
      <c r="B3314" s="1" t="n">
        <v>45313</v>
      </c>
      <c r="C3314" s="1" t="n">
        <v>45645</v>
      </c>
      <c r="D3314" t="inlineStr">
        <is>
          <t>VÄSTERNORRLANDS LÄN</t>
        </is>
      </c>
      <c r="E3314" t="inlineStr">
        <is>
          <t>ÖRNSKÖLDSVIK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2500-2024</t>
        </is>
      </c>
      <c r="B3315" s="1" t="n">
        <v>45313</v>
      </c>
      <c r="C3315" s="1" t="n">
        <v>45645</v>
      </c>
      <c r="D3315" t="inlineStr">
        <is>
          <t>VÄSTERNORRLANDS LÄN</t>
        </is>
      </c>
      <c r="E3315" t="inlineStr">
        <is>
          <t>ÖRNSKÖLDSVIK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2499-2024</t>
        </is>
      </c>
      <c r="B3316" s="1" t="n">
        <v>45313</v>
      </c>
      <c r="C3316" s="1" t="n">
        <v>45645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2538-2024</t>
        </is>
      </c>
      <c r="B3317" s="1" t="n">
        <v>45313</v>
      </c>
      <c r="C3317" s="1" t="n">
        <v>45645</v>
      </c>
      <c r="D3317" t="inlineStr">
        <is>
          <t>VÄSTERNORRLANDS LÄN</t>
        </is>
      </c>
      <c r="E3317" t="inlineStr">
        <is>
          <t>ÖRNSKÖLDSVIK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2541-2024</t>
        </is>
      </c>
      <c r="B3318" s="1" t="n">
        <v>45313</v>
      </c>
      <c r="C3318" s="1" t="n">
        <v>45645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2646-2024</t>
        </is>
      </c>
      <c r="B3319" s="1" t="n">
        <v>45314</v>
      </c>
      <c r="C3319" s="1" t="n">
        <v>45645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2659-2024</t>
        </is>
      </c>
      <c r="B3320" s="1" t="n">
        <v>45314</v>
      </c>
      <c r="C3320" s="1" t="n">
        <v>45645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2706-2024</t>
        </is>
      </c>
      <c r="B3321" s="1" t="n">
        <v>45314</v>
      </c>
      <c r="C3321" s="1" t="n">
        <v>45645</v>
      </c>
      <c r="D3321" t="inlineStr">
        <is>
          <t>VÄSTERNORRLANDS LÄN</t>
        </is>
      </c>
      <c r="E3321" t="inlineStr">
        <is>
          <t>ÖRNSKÖLDSVIK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3086-2024</t>
        </is>
      </c>
      <c r="B3322" s="1" t="n">
        <v>45316</v>
      </c>
      <c r="C3322" s="1" t="n">
        <v>45645</v>
      </c>
      <c r="D3322" t="inlineStr">
        <is>
          <t>VÄSTERNORRLANDS LÄN</t>
        </is>
      </c>
      <c r="E3322" t="inlineStr">
        <is>
          <t>ÖRNSKÖLDSVIK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3176-2024</t>
        </is>
      </c>
      <c r="B3323" s="1" t="n">
        <v>45316</v>
      </c>
      <c r="C3323" s="1" t="n">
        <v>45645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3109-2024</t>
        </is>
      </c>
      <c r="B3324" s="1" t="n">
        <v>45316</v>
      </c>
      <c r="C3324" s="1" t="n">
        <v>45645</v>
      </c>
      <c r="D3324" t="inlineStr">
        <is>
          <t>VÄSTERNORRLANDS LÄN</t>
        </is>
      </c>
      <c r="E3324" t="inlineStr">
        <is>
          <t>ÖRNSKÖLDSVIK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3173-2024</t>
        </is>
      </c>
      <c r="B3325" s="1" t="n">
        <v>45316</v>
      </c>
      <c r="C3325" s="1" t="n">
        <v>45645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3185-2024</t>
        </is>
      </c>
      <c r="B3326" s="1" t="n">
        <v>45316</v>
      </c>
      <c r="C3326" s="1" t="n">
        <v>45645</v>
      </c>
      <c r="D3326" t="inlineStr">
        <is>
          <t>VÄSTERNORRLANDS LÄN</t>
        </is>
      </c>
      <c r="E3326" t="inlineStr">
        <is>
          <t>ÖRNSKÖLDSVIK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3292-2024</t>
        </is>
      </c>
      <c r="B3327" s="1" t="n">
        <v>45317</v>
      </c>
      <c r="C3327" s="1" t="n">
        <v>45645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3328-2024</t>
        </is>
      </c>
      <c r="B3328" s="1" t="n">
        <v>45317</v>
      </c>
      <c r="C3328" s="1" t="n">
        <v>45645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3339-2024</t>
        </is>
      </c>
      <c r="B3329" s="1" t="n">
        <v>45317</v>
      </c>
      <c r="C3329" s="1" t="n">
        <v>45645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3416-2024</t>
        </is>
      </c>
      <c r="B3330" s="1" t="n">
        <v>45319</v>
      </c>
      <c r="C3330" s="1" t="n">
        <v>45645</v>
      </c>
      <c r="D3330" t="inlineStr">
        <is>
          <t>VÄSTERNORRLANDS LÄN</t>
        </is>
      </c>
      <c r="E3330" t="inlineStr">
        <is>
          <t>ÖRNSKÖLDSVIK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3417-2024</t>
        </is>
      </c>
      <c r="B3331" s="1" t="n">
        <v>45319</v>
      </c>
      <c r="C3331" s="1" t="n">
        <v>45645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3520-2024</t>
        </is>
      </c>
      <c r="B3332" s="1" t="n">
        <v>45320</v>
      </c>
      <c r="C3332" s="1" t="n">
        <v>45645</v>
      </c>
      <c r="D3332" t="inlineStr">
        <is>
          <t>VÄSTERNORRLANDS LÄN</t>
        </is>
      </c>
      <c r="E3332" t="inlineStr">
        <is>
          <t>ÖRNSKÖLDSVIK</t>
        </is>
      </c>
      <c r="G3332" t="n">
        <v>15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3564-2024</t>
        </is>
      </c>
      <c r="B3333" s="1" t="n">
        <v>45320</v>
      </c>
      <c r="C3333" s="1" t="n">
        <v>45645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3572-2024</t>
        </is>
      </c>
      <c r="B3334" s="1" t="n">
        <v>45320</v>
      </c>
      <c r="C3334" s="1" t="n">
        <v>45645</v>
      </c>
      <c r="D3334" t="inlineStr">
        <is>
          <t>VÄSTERNORRLANDS LÄN</t>
        </is>
      </c>
      <c r="E3334" t="inlineStr">
        <is>
          <t>ÖRNSKÖLDSVIK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3682-2024</t>
        </is>
      </c>
      <c r="B3335" s="1" t="n">
        <v>45321</v>
      </c>
      <c r="C3335" s="1" t="n">
        <v>45645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3669-2024</t>
        </is>
      </c>
      <c r="B3336" s="1" t="n">
        <v>45321</v>
      </c>
      <c r="C3336" s="1" t="n">
        <v>45645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3931-2024</t>
        </is>
      </c>
      <c r="B3337" s="1" t="n">
        <v>45322</v>
      </c>
      <c r="C3337" s="1" t="n">
        <v>45645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4103-2024</t>
        </is>
      </c>
      <c r="B3338" s="1" t="n">
        <v>45323</v>
      </c>
      <c r="C3338" s="1" t="n">
        <v>45645</v>
      </c>
      <c r="D3338" t="inlineStr">
        <is>
          <t>VÄSTERNORRLANDS LÄN</t>
        </is>
      </c>
      <c r="E3338" t="inlineStr">
        <is>
          <t>ÖRNSKÖLDSVIK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4340-2024</t>
        </is>
      </c>
      <c r="B3339" s="1" t="n">
        <v>45324</v>
      </c>
      <c r="C3339" s="1" t="n">
        <v>45645</v>
      </c>
      <c r="D3339" t="inlineStr">
        <is>
          <t>VÄSTERNORRLANDS LÄN</t>
        </is>
      </c>
      <c r="E3339" t="inlineStr">
        <is>
          <t>ÖRNSKÖLDSVIK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4344-2024</t>
        </is>
      </c>
      <c r="B3340" s="1" t="n">
        <v>45324</v>
      </c>
      <c r="C3340" s="1" t="n">
        <v>45645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4343-2024</t>
        </is>
      </c>
      <c r="B3341" s="1" t="n">
        <v>45324</v>
      </c>
      <c r="C3341" s="1" t="n">
        <v>45645</v>
      </c>
      <c r="D3341" t="inlineStr">
        <is>
          <t>VÄSTERNORRLANDS LÄN</t>
        </is>
      </c>
      <c r="E3341" t="inlineStr">
        <is>
          <t>ÖRNSKÖLDSVIK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4342-2024</t>
        </is>
      </c>
      <c r="B3342" s="1" t="n">
        <v>45324</v>
      </c>
      <c r="C3342" s="1" t="n">
        <v>45645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4341-2024</t>
        </is>
      </c>
      <c r="B3343" s="1" t="n">
        <v>45324</v>
      </c>
      <c r="C3343" s="1" t="n">
        <v>45645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4345-2024</t>
        </is>
      </c>
      <c r="B3344" s="1" t="n">
        <v>45324</v>
      </c>
      <c r="C3344" s="1" t="n">
        <v>45645</v>
      </c>
      <c r="D3344" t="inlineStr">
        <is>
          <t>VÄSTERNORRLANDS LÄN</t>
        </is>
      </c>
      <c r="E3344" t="inlineStr">
        <is>
          <t>ÖRNSKÖLDSVIK</t>
        </is>
      </c>
      <c r="G3344" t="n">
        <v>9.1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4575-2024</t>
        </is>
      </c>
      <c r="B3345" s="1" t="n">
        <v>45327</v>
      </c>
      <c r="C3345" s="1" t="n">
        <v>45645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4576-2024</t>
        </is>
      </c>
      <c r="B3346" s="1" t="n">
        <v>45327</v>
      </c>
      <c r="C3346" s="1" t="n">
        <v>45645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4794-2024</t>
        </is>
      </c>
      <c r="B3347" s="1" t="n">
        <v>45328</v>
      </c>
      <c r="C3347" s="1" t="n">
        <v>45645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4835-2024</t>
        </is>
      </c>
      <c r="B3348" s="1" t="n">
        <v>45329</v>
      </c>
      <c r="C3348" s="1" t="n">
        <v>45645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5084-2024</t>
        </is>
      </c>
      <c r="B3349" s="1" t="n">
        <v>45329</v>
      </c>
      <c r="C3349" s="1" t="n">
        <v>45645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5103-2024</t>
        </is>
      </c>
      <c r="B3350" s="1" t="n">
        <v>45330</v>
      </c>
      <c r="C3350" s="1" t="n">
        <v>45645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5087-2024</t>
        </is>
      </c>
      <c r="B3351" s="1" t="n">
        <v>45330</v>
      </c>
      <c r="C3351" s="1" t="n">
        <v>45645</v>
      </c>
      <c r="D3351" t="inlineStr">
        <is>
          <t>VÄSTERNORRLANDS LÄN</t>
        </is>
      </c>
      <c r="E3351" t="inlineStr">
        <is>
          <t>ÖRNSKÖLDSVIK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5120-2024</t>
        </is>
      </c>
      <c r="B3352" s="1" t="n">
        <v>45330</v>
      </c>
      <c r="C3352" s="1" t="n">
        <v>45645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5648-2024</t>
        </is>
      </c>
      <c r="B3353" s="1" t="n">
        <v>45334</v>
      </c>
      <c r="C3353" s="1" t="n">
        <v>45645</v>
      </c>
      <c r="D3353" t="inlineStr">
        <is>
          <t>VÄSTERNORRLANDS LÄN</t>
        </is>
      </c>
      <c r="E3353" t="inlineStr">
        <is>
          <t>ÖRNSKÖLDSVIK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5772-2024</t>
        </is>
      </c>
      <c r="B3354" s="1" t="n">
        <v>45335</v>
      </c>
      <c r="C3354" s="1" t="n">
        <v>45645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5776-2024</t>
        </is>
      </c>
      <c r="B3355" s="1" t="n">
        <v>45335</v>
      </c>
      <c r="C3355" s="1" t="n">
        <v>45645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5849-2024</t>
        </is>
      </c>
      <c r="B3356" s="1" t="n">
        <v>45335</v>
      </c>
      <c r="C3356" s="1" t="n">
        <v>45645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6119-2024</t>
        </is>
      </c>
      <c r="B3357" s="1" t="n">
        <v>45337</v>
      </c>
      <c r="C3357" s="1" t="n">
        <v>45645</v>
      </c>
      <c r="D3357" t="inlineStr">
        <is>
          <t>VÄSTERNORRLANDS LÄN</t>
        </is>
      </c>
      <c r="E3357" t="inlineStr">
        <is>
          <t>ÖRNSKÖLDSVIK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6274-2024</t>
        </is>
      </c>
      <c r="B3358" s="1" t="n">
        <v>45337</v>
      </c>
      <c r="C3358" s="1" t="n">
        <v>45645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6150-2024</t>
        </is>
      </c>
      <c r="B3359" s="1" t="n">
        <v>45337</v>
      </c>
      <c r="C3359" s="1" t="n">
        <v>45645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6273-2024</t>
        </is>
      </c>
      <c r="B3360" s="1" t="n">
        <v>45337</v>
      </c>
      <c r="C3360" s="1" t="n">
        <v>45645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6359-2024</t>
        </is>
      </c>
      <c r="B3361" s="1" t="n">
        <v>45338</v>
      </c>
      <c r="C3361" s="1" t="n">
        <v>45645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6383-2024</t>
        </is>
      </c>
      <c r="B3362" s="1" t="n">
        <v>45338</v>
      </c>
      <c r="C3362" s="1" t="n">
        <v>45645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6424-2024</t>
        </is>
      </c>
      <c r="B3363" s="1" t="n">
        <v>45338</v>
      </c>
      <c r="C3363" s="1" t="n">
        <v>45645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6380-2024</t>
        </is>
      </c>
      <c r="B3364" s="1" t="n">
        <v>45338</v>
      </c>
      <c r="C3364" s="1" t="n">
        <v>45645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6419-2024</t>
        </is>
      </c>
      <c r="B3365" s="1" t="n">
        <v>45338</v>
      </c>
      <c r="C3365" s="1" t="n">
        <v>45645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HYPERLINK("https://klasma.github.io/Logging_2284/knärot/A 6419-2024 karta knärot.png", "A 6419-2024")</f>
        <v/>
      </c>
      <c r="V3365">
        <f>HYPERLINK("https://klasma.github.io/Logging_2284/klagomål/A 6419-2024 FSC-klagomål.docx", "A 6419-2024")</f>
        <v/>
      </c>
      <c r="W3365">
        <f>HYPERLINK("https://klasma.github.io/Logging_2284/klagomålsmail/A 6419-2024 FSC-klagomål mail.docx", "A 6419-2024")</f>
        <v/>
      </c>
      <c r="X3365">
        <f>HYPERLINK("https://klasma.github.io/Logging_2284/tillsyn/A 6419-2024 tillsynsbegäran.docx", "A 6419-2024")</f>
        <v/>
      </c>
      <c r="Y3365">
        <f>HYPERLINK("https://klasma.github.io/Logging_2284/tillsynsmail/A 6419-2024 tillsynsbegäran mail.docx", "A 6419-2024")</f>
        <v/>
      </c>
    </row>
    <row r="3366" ht="15" customHeight="1">
      <c r="A3366" t="inlineStr">
        <is>
          <t>A 6390-2024</t>
        </is>
      </c>
      <c r="B3366" s="1" t="n">
        <v>45338</v>
      </c>
      <c r="C3366" s="1" t="n">
        <v>45645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6528-2024</t>
        </is>
      </c>
      <c r="B3367" s="1" t="n">
        <v>45341</v>
      </c>
      <c r="C3367" s="1" t="n">
        <v>45645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6655-2024</t>
        </is>
      </c>
      <c r="B3368" s="1" t="n">
        <v>45341</v>
      </c>
      <c r="C3368" s="1" t="n">
        <v>45645</v>
      </c>
      <c r="D3368" t="inlineStr">
        <is>
          <t>VÄSTERNORRLANDS LÄN</t>
        </is>
      </c>
      <c r="E3368" t="inlineStr">
        <is>
          <t>ÖRNSKÖLDSVIK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6658-2024</t>
        </is>
      </c>
      <c r="B3369" s="1" t="n">
        <v>45341</v>
      </c>
      <c r="C3369" s="1" t="n">
        <v>45645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6653-2024</t>
        </is>
      </c>
      <c r="B3370" s="1" t="n">
        <v>45341</v>
      </c>
      <c r="C3370" s="1" t="n">
        <v>45645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6745-2024</t>
        </is>
      </c>
      <c r="B3371" s="1" t="n">
        <v>45342</v>
      </c>
      <c r="C3371" s="1" t="n">
        <v>45645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7063-2024</t>
        </is>
      </c>
      <c r="B3372" s="1" t="n">
        <v>45343</v>
      </c>
      <c r="C3372" s="1" t="n">
        <v>45645</v>
      </c>
      <c r="D3372" t="inlineStr">
        <is>
          <t>VÄSTERNORRLANDS LÄN</t>
        </is>
      </c>
      <c r="E3372" t="inlineStr">
        <is>
          <t>ÖRNSKÖLDSVIK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7134-2024</t>
        </is>
      </c>
      <c r="B3373" s="1" t="n">
        <v>45344</v>
      </c>
      <c r="C3373" s="1" t="n">
        <v>45645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7210-2024</t>
        </is>
      </c>
      <c r="B3374" s="1" t="n">
        <v>45344</v>
      </c>
      <c r="C3374" s="1" t="n">
        <v>45645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7474-2024</t>
        </is>
      </c>
      <c r="B3375" s="1" t="n">
        <v>45345</v>
      </c>
      <c r="C3375" s="1" t="n">
        <v>45645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7352-2024</t>
        </is>
      </c>
      <c r="B3376" s="1" t="n">
        <v>45345</v>
      </c>
      <c r="C3376" s="1" t="n">
        <v>45645</v>
      </c>
      <c r="D3376" t="inlineStr">
        <is>
          <t>VÄSTERNORRLANDS LÄN</t>
        </is>
      </c>
      <c r="E3376" t="inlineStr">
        <is>
          <t>ÖRNSKÖLDSVIK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7361-2024</t>
        </is>
      </c>
      <c r="B3377" s="1" t="n">
        <v>45345</v>
      </c>
      <c r="C3377" s="1" t="n">
        <v>45645</v>
      </c>
      <c r="D3377" t="inlineStr">
        <is>
          <t>VÄSTERNORRLANDS LÄN</t>
        </is>
      </c>
      <c r="E3377" t="inlineStr">
        <is>
          <t>ÖRNSKÖLDSVIK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7685-2024</t>
        </is>
      </c>
      <c r="B3378" s="1" t="n">
        <v>45348</v>
      </c>
      <c r="C3378" s="1" t="n">
        <v>45645</v>
      </c>
      <c r="D3378" t="inlineStr">
        <is>
          <t>VÄSTERNORRLANDS LÄN</t>
        </is>
      </c>
      <c r="E3378" t="inlineStr">
        <is>
          <t>ÖRNSKÖLDSVIK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7779-2024</t>
        </is>
      </c>
      <c r="B3379" s="1" t="n">
        <v>45348</v>
      </c>
      <c r="C3379" s="1" t="n">
        <v>45645</v>
      </c>
      <c r="D3379" t="inlineStr">
        <is>
          <t>VÄSTERNORRLANDS LÄN</t>
        </is>
      </c>
      <c r="E3379" t="inlineStr">
        <is>
          <t>ÖRNSKÖLDSVIK</t>
        </is>
      </c>
      <c r="G3379" t="n">
        <v>9.800000000000001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8054-2024</t>
        </is>
      </c>
      <c r="B3380" s="1" t="n">
        <v>45351</v>
      </c>
      <c r="C3380" s="1" t="n">
        <v>45645</v>
      </c>
      <c r="D3380" t="inlineStr">
        <is>
          <t>VÄSTERNORRLANDS LÄN</t>
        </is>
      </c>
      <c r="E3380" t="inlineStr">
        <is>
          <t>ÖRNSKÖLDSVIK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8115-2024</t>
        </is>
      </c>
      <c r="B3381" s="1" t="n">
        <v>45351</v>
      </c>
      <c r="C3381" s="1" t="n">
        <v>45645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8053-2024</t>
        </is>
      </c>
      <c r="B3382" s="1" t="n">
        <v>45351</v>
      </c>
      <c r="C3382" s="1" t="n">
        <v>45645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8342-2024</t>
        </is>
      </c>
      <c r="B3383" s="1" t="n">
        <v>45351</v>
      </c>
      <c r="C3383" s="1" t="n">
        <v>45645</v>
      </c>
      <c r="D3383" t="inlineStr">
        <is>
          <t>VÄSTERNORRLANDS LÄN</t>
        </is>
      </c>
      <c r="E3383" t="inlineStr">
        <is>
          <t>ÖRNSKÖLDSVIK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8523-2024</t>
        </is>
      </c>
      <c r="B3384" s="1" t="n">
        <v>45351</v>
      </c>
      <c r="C3384" s="1" t="n">
        <v>45645</v>
      </c>
      <c r="D3384" t="inlineStr">
        <is>
          <t>VÄSTERNORRLANDS LÄN</t>
        </is>
      </c>
      <c r="E3384" t="inlineStr">
        <is>
          <t>ÖRNSKÖLDSVIK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8565-2024</t>
        </is>
      </c>
      <c r="B3385" s="1" t="n">
        <v>45352</v>
      </c>
      <c r="C3385" s="1" t="n">
        <v>45645</v>
      </c>
      <c r="D3385" t="inlineStr">
        <is>
          <t>VÄSTERNORRLANDS LÄN</t>
        </is>
      </c>
      <c r="E3385" t="inlineStr">
        <is>
          <t>ÖRNSKÖLDSVIK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8570-2024</t>
        </is>
      </c>
      <c r="B3386" s="1" t="n">
        <v>45352</v>
      </c>
      <c r="C3386" s="1" t="n">
        <v>45645</v>
      </c>
      <c r="D3386" t="inlineStr">
        <is>
          <t>VÄSTERNORRLANDS LÄN</t>
        </is>
      </c>
      <c r="E3386" t="inlineStr">
        <is>
          <t>ÖRNSKÖLDSVIK</t>
        </is>
      </c>
      <c r="G3386" t="n">
        <v>4.9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8317-2024</t>
        </is>
      </c>
      <c r="B3387" s="1" t="n">
        <v>45352</v>
      </c>
      <c r="C3387" s="1" t="n">
        <v>45645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8585-2024</t>
        </is>
      </c>
      <c r="B3388" s="1" t="n">
        <v>45355</v>
      </c>
      <c r="C3388" s="1" t="n">
        <v>45645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8587-2024</t>
        </is>
      </c>
      <c r="B3389" s="1" t="n">
        <v>45355</v>
      </c>
      <c r="C3389" s="1" t="n">
        <v>45645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8707-2024</t>
        </is>
      </c>
      <c r="B3390" s="1" t="n">
        <v>45356</v>
      </c>
      <c r="C3390" s="1" t="n">
        <v>45645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8813-2024</t>
        </is>
      </c>
      <c r="B3391" s="1" t="n">
        <v>45356</v>
      </c>
      <c r="C3391" s="1" t="n">
        <v>45645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8670-2024</t>
        </is>
      </c>
      <c r="B3392" s="1" t="n">
        <v>45356</v>
      </c>
      <c r="C3392" s="1" t="n">
        <v>45645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8744-2024</t>
        </is>
      </c>
      <c r="B3393" s="1" t="n">
        <v>45356</v>
      </c>
      <c r="C3393" s="1" t="n">
        <v>45645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8.300000000000001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8845-2024</t>
        </is>
      </c>
      <c r="B3394" s="1" t="n">
        <v>45356</v>
      </c>
      <c r="C3394" s="1" t="n">
        <v>45645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9102-2024</t>
        </is>
      </c>
      <c r="B3395" s="1" t="n">
        <v>45357</v>
      </c>
      <c r="C3395" s="1" t="n">
        <v>45645</v>
      </c>
      <c r="D3395" t="inlineStr">
        <is>
          <t>VÄSTERNORRLANDS LÄN</t>
        </is>
      </c>
      <c r="E3395" t="inlineStr">
        <is>
          <t>ÖRNSKÖLDSVIK</t>
        </is>
      </c>
      <c r="G3395" t="n">
        <v>8.199999999999999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9270-2024</t>
        </is>
      </c>
      <c r="B3396" s="1" t="n">
        <v>45358</v>
      </c>
      <c r="C3396" s="1" t="n">
        <v>45645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9296-2024</t>
        </is>
      </c>
      <c r="B3397" s="1" t="n">
        <v>45358</v>
      </c>
      <c r="C3397" s="1" t="n">
        <v>45645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9179-2024</t>
        </is>
      </c>
      <c r="B3398" s="1" t="n">
        <v>45358</v>
      </c>
      <c r="C3398" s="1" t="n">
        <v>45645</v>
      </c>
      <c r="D3398" t="inlineStr">
        <is>
          <t>VÄSTERNORRLANDS LÄN</t>
        </is>
      </c>
      <c r="E3398" t="inlineStr">
        <is>
          <t>ÖRNSKÖLDSVIK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9285-2024</t>
        </is>
      </c>
      <c r="B3399" s="1" t="n">
        <v>45358</v>
      </c>
      <c r="C3399" s="1" t="n">
        <v>45645</v>
      </c>
      <c r="D3399" t="inlineStr">
        <is>
          <t>VÄSTERNORRLANDS LÄN</t>
        </is>
      </c>
      <c r="E3399" t="inlineStr">
        <is>
          <t>ÖRNSKÖLDSVIK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9389-2024</t>
        </is>
      </c>
      <c r="B3400" s="1" t="n">
        <v>45359</v>
      </c>
      <c r="C3400" s="1" t="n">
        <v>45645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9432-2024</t>
        </is>
      </c>
      <c r="B3401" s="1" t="n">
        <v>45359</v>
      </c>
      <c r="C3401" s="1" t="n">
        <v>45645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9530-2024</t>
        </is>
      </c>
      <c r="B3402" s="1" t="n">
        <v>45359</v>
      </c>
      <c r="C3402" s="1" t="n">
        <v>45645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9512-2024</t>
        </is>
      </c>
      <c r="B3403" s="1" t="n">
        <v>45359</v>
      </c>
      <c r="C3403" s="1" t="n">
        <v>45645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9529-2024</t>
        </is>
      </c>
      <c r="B3404" s="1" t="n">
        <v>45359</v>
      </c>
      <c r="C3404" s="1" t="n">
        <v>45645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9556-2024</t>
        </is>
      </c>
      <c r="B3405" s="1" t="n">
        <v>45360</v>
      </c>
      <c r="C3405" s="1" t="n">
        <v>45645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9721-2024</t>
        </is>
      </c>
      <c r="B3406" s="1" t="n">
        <v>45362</v>
      </c>
      <c r="C3406" s="1" t="n">
        <v>45645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9772-2024</t>
        </is>
      </c>
      <c r="B3407" s="1" t="n">
        <v>45362</v>
      </c>
      <c r="C3407" s="1" t="n">
        <v>45645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9669-2024</t>
        </is>
      </c>
      <c r="B3408" s="1" t="n">
        <v>45362</v>
      </c>
      <c r="C3408" s="1" t="n">
        <v>45645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9663-2024</t>
        </is>
      </c>
      <c r="B3409" s="1" t="n">
        <v>45362</v>
      </c>
      <c r="C3409" s="1" t="n">
        <v>45645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9737-2024</t>
        </is>
      </c>
      <c r="B3410" s="1" t="n">
        <v>45362</v>
      </c>
      <c r="C3410" s="1" t="n">
        <v>45645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9817-2024</t>
        </is>
      </c>
      <c r="B3411" s="1" t="n">
        <v>45363</v>
      </c>
      <c r="C3411" s="1" t="n">
        <v>45645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SCA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9896-2024</t>
        </is>
      </c>
      <c r="B3412" s="1" t="n">
        <v>45363</v>
      </c>
      <c r="C3412" s="1" t="n">
        <v>45645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9957-2024</t>
        </is>
      </c>
      <c r="B3413" s="1" t="n">
        <v>45363</v>
      </c>
      <c r="C3413" s="1" t="n">
        <v>45645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9967-2024</t>
        </is>
      </c>
      <c r="B3414" s="1" t="n">
        <v>45363</v>
      </c>
      <c r="C3414" s="1" t="n">
        <v>45645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9971-2024</t>
        </is>
      </c>
      <c r="B3415" s="1" t="n">
        <v>45363</v>
      </c>
      <c r="C3415" s="1" t="n">
        <v>45645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10150-2024</t>
        </is>
      </c>
      <c r="B3416" s="1" t="n">
        <v>45364</v>
      </c>
      <c r="C3416" s="1" t="n">
        <v>45645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10052-2024</t>
        </is>
      </c>
      <c r="B3417" s="1" t="n">
        <v>45364</v>
      </c>
      <c r="C3417" s="1" t="n">
        <v>45645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10235-2024</t>
        </is>
      </c>
      <c r="B3418" s="1" t="n">
        <v>45365</v>
      </c>
      <c r="C3418" s="1" t="n">
        <v>45645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10290-2024</t>
        </is>
      </c>
      <c r="B3419" s="1" t="n">
        <v>45365</v>
      </c>
      <c r="C3419" s="1" t="n">
        <v>45645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10305-2024</t>
        </is>
      </c>
      <c r="B3420" s="1" t="n">
        <v>45365</v>
      </c>
      <c r="C3420" s="1" t="n">
        <v>45645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10411-2024</t>
        </is>
      </c>
      <c r="B3421" s="1" t="n">
        <v>45365</v>
      </c>
      <c r="C3421" s="1" t="n">
        <v>45645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10479-2024</t>
        </is>
      </c>
      <c r="B3422" s="1" t="n">
        <v>45366</v>
      </c>
      <c r="C3422" s="1" t="n">
        <v>45645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10499-2024</t>
        </is>
      </c>
      <c r="B3423" s="1" t="n">
        <v>45366</v>
      </c>
      <c r="C3423" s="1" t="n">
        <v>45645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10497-2024</t>
        </is>
      </c>
      <c r="B3424" s="1" t="n">
        <v>45366</v>
      </c>
      <c r="C3424" s="1" t="n">
        <v>45645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10556-2024</t>
        </is>
      </c>
      <c r="B3425" s="1" t="n">
        <v>45366</v>
      </c>
      <c r="C3425" s="1" t="n">
        <v>45645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10578-2024</t>
        </is>
      </c>
      <c r="B3426" s="1" t="n">
        <v>45366</v>
      </c>
      <c r="C3426" s="1" t="n">
        <v>45645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10478-2024</t>
        </is>
      </c>
      <c r="B3427" s="1" t="n">
        <v>45366</v>
      </c>
      <c r="C3427" s="1" t="n">
        <v>45645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10490-2024</t>
        </is>
      </c>
      <c r="B3428" s="1" t="n">
        <v>45366</v>
      </c>
      <c r="C3428" s="1" t="n">
        <v>45645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10580-2024</t>
        </is>
      </c>
      <c r="B3429" s="1" t="n">
        <v>45366</v>
      </c>
      <c r="C3429" s="1" t="n">
        <v>45645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10500-2024</t>
        </is>
      </c>
      <c r="B3430" s="1" t="n">
        <v>45366</v>
      </c>
      <c r="C3430" s="1" t="n">
        <v>45645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10529-2024</t>
        </is>
      </c>
      <c r="B3431" s="1" t="n">
        <v>45366</v>
      </c>
      <c r="C3431" s="1" t="n">
        <v>45645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10581-2024</t>
        </is>
      </c>
      <c r="B3432" s="1" t="n">
        <v>45366</v>
      </c>
      <c r="C3432" s="1" t="n">
        <v>45645</v>
      </c>
      <c r="D3432" t="inlineStr">
        <is>
          <t>VÄSTERNORRLANDS LÄN</t>
        </is>
      </c>
      <c r="E3432" t="inlineStr">
        <is>
          <t>ÖRNSKÖLDSVIK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10668-2024</t>
        </is>
      </c>
      <c r="B3433" s="1" t="n">
        <v>45369</v>
      </c>
      <c r="C3433" s="1" t="n">
        <v>45645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10763-2024</t>
        </is>
      </c>
      <c r="B3434" s="1" t="n">
        <v>45369</v>
      </c>
      <c r="C3434" s="1" t="n">
        <v>45645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10776-2024</t>
        </is>
      </c>
      <c r="B3435" s="1" t="n">
        <v>45369</v>
      </c>
      <c r="C3435" s="1" t="n">
        <v>45645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10686-2024</t>
        </is>
      </c>
      <c r="B3436" s="1" t="n">
        <v>45369</v>
      </c>
      <c r="C3436" s="1" t="n">
        <v>45645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10835-2024</t>
        </is>
      </c>
      <c r="B3437" s="1" t="n">
        <v>45369</v>
      </c>
      <c r="C3437" s="1" t="n">
        <v>45645</v>
      </c>
      <c r="D3437" t="inlineStr">
        <is>
          <t>VÄSTERNORRLANDS LÄN</t>
        </is>
      </c>
      <c r="E3437" t="inlineStr">
        <is>
          <t>ÖRNSKÖLDSVIK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10885-2024</t>
        </is>
      </c>
      <c r="B3438" s="1" t="n">
        <v>45370</v>
      </c>
      <c r="C3438" s="1" t="n">
        <v>45645</v>
      </c>
      <c r="D3438" t="inlineStr">
        <is>
          <t>VÄSTERNORRLANDS LÄN</t>
        </is>
      </c>
      <c r="E3438" t="inlineStr">
        <is>
          <t>ÖRNSKÖLDSVIK</t>
        </is>
      </c>
      <c r="G3438" t="n">
        <v>22.3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11002-2024</t>
        </is>
      </c>
      <c r="B3439" s="1" t="n">
        <v>45370</v>
      </c>
      <c r="C3439" s="1" t="n">
        <v>45645</v>
      </c>
      <c r="D3439" t="inlineStr">
        <is>
          <t>VÄSTERNORRLANDS LÄN</t>
        </is>
      </c>
      <c r="E3439" t="inlineStr">
        <is>
          <t>ÖRNSKÖLDSVIK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11005-2024</t>
        </is>
      </c>
      <c r="B3440" s="1" t="n">
        <v>45370</v>
      </c>
      <c r="C3440" s="1" t="n">
        <v>45645</v>
      </c>
      <c r="D3440" t="inlineStr">
        <is>
          <t>VÄSTERNORRLANDS LÄN</t>
        </is>
      </c>
      <c r="E3440" t="inlineStr">
        <is>
          <t>ÖRNSKÖLDSVIK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10915-2024</t>
        </is>
      </c>
      <c r="B3441" s="1" t="n">
        <v>45370</v>
      </c>
      <c r="C3441" s="1" t="n">
        <v>45645</v>
      </c>
      <c r="D3441" t="inlineStr">
        <is>
          <t>VÄSTERNORRLANDS LÄN</t>
        </is>
      </c>
      <c r="E3441" t="inlineStr">
        <is>
          <t>ÖRNSKÖLDSVIK</t>
        </is>
      </c>
      <c r="G3441" t="n">
        <v>11.7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11049-2024</t>
        </is>
      </c>
      <c r="B3442" s="1" t="n">
        <v>45370</v>
      </c>
      <c r="C3442" s="1" t="n">
        <v>45645</v>
      </c>
      <c r="D3442" t="inlineStr">
        <is>
          <t>VÄSTERNORRLANDS LÄN</t>
        </is>
      </c>
      <c r="E3442" t="inlineStr">
        <is>
          <t>ÖRNSKÖLDSVIK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11048-2024</t>
        </is>
      </c>
      <c r="B3443" s="1" t="n">
        <v>45370</v>
      </c>
      <c r="C3443" s="1" t="n">
        <v>45645</v>
      </c>
      <c r="D3443" t="inlineStr">
        <is>
          <t>VÄSTERNORRLANDS LÄN</t>
        </is>
      </c>
      <c r="E3443" t="inlineStr">
        <is>
          <t>ÖRNSKÖLDSVIK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11110-2024</t>
        </is>
      </c>
      <c r="B3444" s="1" t="n">
        <v>45371</v>
      </c>
      <c r="C3444" s="1" t="n">
        <v>45645</v>
      </c>
      <c r="D3444" t="inlineStr">
        <is>
          <t>VÄSTERNORRLANDS LÄN</t>
        </is>
      </c>
      <c r="E3444" t="inlineStr">
        <is>
          <t>ÖRNSKÖLDSVIK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11252-2024</t>
        </is>
      </c>
      <c r="B3445" s="1" t="n">
        <v>45371</v>
      </c>
      <c r="C3445" s="1" t="n">
        <v>45645</v>
      </c>
      <c r="D3445" t="inlineStr">
        <is>
          <t>VÄSTERNORRLANDS LÄN</t>
        </is>
      </c>
      <c r="E3445" t="inlineStr">
        <is>
          <t>ÖRNSKÖLDSVIK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11308-2024</t>
        </is>
      </c>
      <c r="B3446" s="1" t="n">
        <v>45371</v>
      </c>
      <c r="C3446" s="1" t="n">
        <v>45645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11391-2024</t>
        </is>
      </c>
      <c r="B3447" s="1" t="n">
        <v>45372</v>
      </c>
      <c r="C3447" s="1" t="n">
        <v>45645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11458-2024</t>
        </is>
      </c>
      <c r="B3448" s="1" t="n">
        <v>45372</v>
      </c>
      <c r="C3448" s="1" t="n">
        <v>45645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11468-2024</t>
        </is>
      </c>
      <c r="B3449" s="1" t="n">
        <v>45372</v>
      </c>
      <c r="C3449" s="1" t="n">
        <v>45645</v>
      </c>
      <c r="D3449" t="inlineStr">
        <is>
          <t>VÄSTERNORRLANDS LÄN</t>
        </is>
      </c>
      <c r="E3449" t="inlineStr">
        <is>
          <t>ÖRNSKÖLDSVIK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11510-2024</t>
        </is>
      </c>
      <c r="B3450" s="1" t="n">
        <v>45372</v>
      </c>
      <c r="C3450" s="1" t="n">
        <v>45645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11618-2024</t>
        </is>
      </c>
      <c r="B3451" s="1" t="n">
        <v>45373</v>
      </c>
      <c r="C3451" s="1" t="n">
        <v>45645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11689-2024</t>
        </is>
      </c>
      <c r="B3452" s="1" t="n">
        <v>45373</v>
      </c>
      <c r="C3452" s="1" t="n">
        <v>45645</v>
      </c>
      <c r="D3452" t="inlineStr">
        <is>
          <t>VÄSTERNORRLANDS LÄN</t>
        </is>
      </c>
      <c r="E3452" t="inlineStr">
        <is>
          <t>ÖRNSKÖLDSVIK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11687-2024</t>
        </is>
      </c>
      <c r="B3453" s="1" t="n">
        <v>45373</v>
      </c>
      <c r="C3453" s="1" t="n">
        <v>45645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11690-2024</t>
        </is>
      </c>
      <c r="B3454" s="1" t="n">
        <v>45373</v>
      </c>
      <c r="C3454" s="1" t="n">
        <v>45645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11804-2024</t>
        </is>
      </c>
      <c r="B3455" s="1" t="n">
        <v>45375</v>
      </c>
      <c r="C3455" s="1" t="n">
        <v>45645</v>
      </c>
      <c r="D3455" t="inlineStr">
        <is>
          <t>VÄSTERNORRLANDS LÄN</t>
        </is>
      </c>
      <c r="E3455" t="inlineStr">
        <is>
          <t>ÖRNSKÖLDSVIK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11936-2024</t>
        </is>
      </c>
      <c r="B3456" s="1" t="n">
        <v>45376</v>
      </c>
      <c r="C3456" s="1" t="n">
        <v>45645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11979-2024</t>
        </is>
      </c>
      <c r="B3457" s="1" t="n">
        <v>45376</v>
      </c>
      <c r="C3457" s="1" t="n">
        <v>45645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SCA</t>
        </is>
      </c>
      <c r="G3457" t="n">
        <v>12.6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11925-2024</t>
        </is>
      </c>
      <c r="B3458" s="1" t="n">
        <v>45376</v>
      </c>
      <c r="C3458" s="1" t="n">
        <v>45645</v>
      </c>
      <c r="D3458" t="inlineStr">
        <is>
          <t>VÄSTERNORRLANDS LÄN</t>
        </is>
      </c>
      <c r="E3458" t="inlineStr">
        <is>
          <t>ÖRNSKÖLDSVIK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11853-2024</t>
        </is>
      </c>
      <c r="B3459" s="1" t="n">
        <v>45376</v>
      </c>
      <c r="C3459" s="1" t="n">
        <v>45645</v>
      </c>
      <c r="D3459" t="inlineStr">
        <is>
          <t>VÄSTERNORRLANDS LÄN</t>
        </is>
      </c>
      <c r="E3459" t="inlineStr">
        <is>
          <t>ÖRNSKÖLDSVIK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12318-2024</t>
        </is>
      </c>
      <c r="B3460" s="1" t="n">
        <v>45378</v>
      </c>
      <c r="C3460" s="1" t="n">
        <v>45645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12213-2024</t>
        </is>
      </c>
      <c r="B3461" s="1" t="n">
        <v>45378</v>
      </c>
      <c r="C3461" s="1" t="n">
        <v>45645</v>
      </c>
      <c r="D3461" t="inlineStr">
        <is>
          <t>VÄSTERNORRLANDS LÄN</t>
        </is>
      </c>
      <c r="E3461" t="inlineStr">
        <is>
          <t>ÖRNSKÖLDSVIK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12477-2024</t>
        </is>
      </c>
      <c r="B3462" s="1" t="n">
        <v>45379</v>
      </c>
      <c r="C3462" s="1" t="n">
        <v>45645</v>
      </c>
      <c r="D3462" t="inlineStr">
        <is>
          <t>VÄSTERNORRLANDS LÄN</t>
        </is>
      </c>
      <c r="E3462" t="inlineStr">
        <is>
          <t>ÖRNSKÖLDSVIK</t>
        </is>
      </c>
      <c r="G3462" t="n">
        <v>7.5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12475-2024</t>
        </is>
      </c>
      <c r="B3463" s="1" t="n">
        <v>45379</v>
      </c>
      <c r="C3463" s="1" t="n">
        <v>45645</v>
      </c>
      <c r="D3463" t="inlineStr">
        <is>
          <t>VÄSTERNORRLANDS LÄN</t>
        </is>
      </c>
      <c r="E3463" t="inlineStr">
        <is>
          <t>ÖRNSKÖLDSVIK</t>
        </is>
      </c>
      <c r="G3463" t="n">
        <v>10.9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12682-2024</t>
        </is>
      </c>
      <c r="B3464" s="1" t="n">
        <v>45384</v>
      </c>
      <c r="C3464" s="1" t="n">
        <v>45645</v>
      </c>
      <c r="D3464" t="inlineStr">
        <is>
          <t>VÄSTERNORRLANDS LÄN</t>
        </is>
      </c>
      <c r="E3464" t="inlineStr">
        <is>
          <t>ÖRNSKÖLDSVIK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12713-2024</t>
        </is>
      </c>
      <c r="B3465" s="1" t="n">
        <v>45384</v>
      </c>
      <c r="C3465" s="1" t="n">
        <v>45645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12839-2024</t>
        </is>
      </c>
      <c r="B3466" s="1" t="n">
        <v>45384</v>
      </c>
      <c r="C3466" s="1" t="n">
        <v>45645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12838-2024</t>
        </is>
      </c>
      <c r="B3467" s="1" t="n">
        <v>45384</v>
      </c>
      <c r="C3467" s="1" t="n">
        <v>45645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13248-2024</t>
        </is>
      </c>
      <c r="B3468" s="1" t="n">
        <v>45386</v>
      </c>
      <c r="C3468" s="1" t="n">
        <v>45645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13718-2024</t>
        </is>
      </c>
      <c r="B3469" s="1" t="n">
        <v>45387</v>
      </c>
      <c r="C3469" s="1" t="n">
        <v>45645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13720-2024</t>
        </is>
      </c>
      <c r="B3470" s="1" t="n">
        <v>45387</v>
      </c>
      <c r="C3470" s="1" t="n">
        <v>45645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13709-2024</t>
        </is>
      </c>
      <c r="B3471" s="1" t="n">
        <v>45387</v>
      </c>
      <c r="C3471" s="1" t="n">
        <v>45645</v>
      </c>
      <c r="D3471" t="inlineStr">
        <is>
          <t>VÄSTERNORRLANDS LÄN</t>
        </is>
      </c>
      <c r="E3471" t="inlineStr">
        <is>
          <t>ÖRNSKÖLDSVIK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13816-2024</t>
        </is>
      </c>
      <c r="B3472" s="1" t="n">
        <v>45390</v>
      </c>
      <c r="C3472" s="1" t="n">
        <v>45645</v>
      </c>
      <c r="D3472" t="inlineStr">
        <is>
          <t>VÄSTERNORRLANDS LÄN</t>
        </is>
      </c>
      <c r="E3472" t="inlineStr">
        <is>
          <t>ÖRNSKÖLDSVIK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13904-2024</t>
        </is>
      </c>
      <c r="B3473" s="1" t="n">
        <v>45391</v>
      </c>
      <c r="C3473" s="1" t="n">
        <v>45645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Kommuner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13962-2024</t>
        </is>
      </c>
      <c r="B3474" s="1" t="n">
        <v>45392</v>
      </c>
      <c r="C3474" s="1" t="n">
        <v>45645</v>
      </c>
      <c r="D3474" t="inlineStr">
        <is>
          <t>VÄSTERNORRLANDS LÄN</t>
        </is>
      </c>
      <c r="E3474" t="inlineStr">
        <is>
          <t>ÖRNSKÖLDSVIK</t>
        </is>
      </c>
      <c r="G3474" t="n">
        <v>8.6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14099-2024</t>
        </is>
      </c>
      <c r="B3475" s="1" t="n">
        <v>45392</v>
      </c>
      <c r="C3475" s="1" t="n">
        <v>45645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14117-2024</t>
        </is>
      </c>
      <c r="B3476" s="1" t="n">
        <v>45392</v>
      </c>
      <c r="C3476" s="1" t="n">
        <v>45645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14124-2024</t>
        </is>
      </c>
      <c r="B3477" s="1" t="n">
        <v>45392</v>
      </c>
      <c r="C3477" s="1" t="n">
        <v>45645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14073-2024</t>
        </is>
      </c>
      <c r="B3478" s="1" t="n">
        <v>45392</v>
      </c>
      <c r="C3478" s="1" t="n">
        <v>45645</v>
      </c>
      <c r="D3478" t="inlineStr">
        <is>
          <t>VÄSTERNORRLANDS LÄN</t>
        </is>
      </c>
      <c r="E3478" t="inlineStr">
        <is>
          <t>ÖRNSKÖLDSVIK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14081-2024</t>
        </is>
      </c>
      <c r="B3479" s="1" t="n">
        <v>45392</v>
      </c>
      <c r="C3479" s="1" t="n">
        <v>45645</v>
      </c>
      <c r="D3479" t="inlineStr">
        <is>
          <t>VÄSTERNORRLANDS LÄN</t>
        </is>
      </c>
      <c r="E3479" t="inlineStr">
        <is>
          <t>ÖRNSKÖLDSVIK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14075-2024</t>
        </is>
      </c>
      <c r="B3480" s="1" t="n">
        <v>45392</v>
      </c>
      <c r="C3480" s="1" t="n">
        <v>45645</v>
      </c>
      <c r="D3480" t="inlineStr">
        <is>
          <t>VÄSTERNORRLANDS LÄN</t>
        </is>
      </c>
      <c r="E3480" t="inlineStr">
        <is>
          <t>ÖRNSKÖLDSVIK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14461-2024</t>
        </is>
      </c>
      <c r="B3481" s="1" t="n">
        <v>45394</v>
      </c>
      <c r="C3481" s="1" t="n">
        <v>45645</v>
      </c>
      <c r="D3481" t="inlineStr">
        <is>
          <t>VÄSTERNORRLANDS LÄN</t>
        </is>
      </c>
      <c r="E3481" t="inlineStr">
        <is>
          <t>ÖRNSKÖLDSVIK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14565-2024</t>
        </is>
      </c>
      <c r="B3482" s="1" t="n">
        <v>45394</v>
      </c>
      <c r="C3482" s="1" t="n">
        <v>45645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14464-2024</t>
        </is>
      </c>
      <c r="B3483" s="1" t="n">
        <v>45394</v>
      </c>
      <c r="C3483" s="1" t="n">
        <v>45645</v>
      </c>
      <c r="D3483" t="inlineStr">
        <is>
          <t>VÄSTERNORRLANDS LÄN</t>
        </is>
      </c>
      <c r="E3483" t="inlineStr">
        <is>
          <t>ÖRNSKÖLDSVIK</t>
        </is>
      </c>
      <c r="G3483" t="n">
        <v>6.8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14465-2024</t>
        </is>
      </c>
      <c r="B3484" s="1" t="n">
        <v>45394</v>
      </c>
      <c r="C3484" s="1" t="n">
        <v>45645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14601-2024</t>
        </is>
      </c>
      <c r="B3485" s="1" t="n">
        <v>45395</v>
      </c>
      <c r="C3485" s="1" t="n">
        <v>45645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14600-2024</t>
        </is>
      </c>
      <c r="B3486" s="1" t="n">
        <v>45395</v>
      </c>
      <c r="C3486" s="1" t="n">
        <v>45645</v>
      </c>
      <c r="D3486" t="inlineStr">
        <is>
          <t>VÄSTERNORRLANDS LÄN</t>
        </is>
      </c>
      <c r="E3486" t="inlineStr">
        <is>
          <t>ÖRNSKÖLDSVIK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14613-2024</t>
        </is>
      </c>
      <c r="B3487" s="1" t="n">
        <v>45396</v>
      </c>
      <c r="C3487" s="1" t="n">
        <v>45645</v>
      </c>
      <c r="D3487" t="inlineStr">
        <is>
          <t>VÄSTERNORRLANDS LÄN</t>
        </is>
      </c>
      <c r="E3487" t="inlineStr">
        <is>
          <t>ÖRNSKÖLDSVIK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14671-2024</t>
        </is>
      </c>
      <c r="B3488" s="1" t="n">
        <v>45397</v>
      </c>
      <c r="C3488" s="1" t="n">
        <v>45645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14731-2024</t>
        </is>
      </c>
      <c r="B3489" s="1" t="n">
        <v>45397</v>
      </c>
      <c r="C3489" s="1" t="n">
        <v>45645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14733-2024</t>
        </is>
      </c>
      <c r="B3490" s="1" t="n">
        <v>45397</v>
      </c>
      <c r="C3490" s="1" t="n">
        <v>45645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14989-2024</t>
        </is>
      </c>
      <c r="B3491" s="1" t="n">
        <v>45399</v>
      </c>
      <c r="C3491" s="1" t="n">
        <v>45645</v>
      </c>
      <c r="D3491" t="inlineStr">
        <is>
          <t>VÄSTERNORRLANDS LÄN</t>
        </is>
      </c>
      <c r="E3491" t="inlineStr">
        <is>
          <t>ÖRNSKÖLDSVIK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15071-2024</t>
        </is>
      </c>
      <c r="B3492" s="1" t="n">
        <v>45399</v>
      </c>
      <c r="C3492" s="1" t="n">
        <v>45645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14994-2024</t>
        </is>
      </c>
      <c r="B3493" s="1" t="n">
        <v>45399</v>
      </c>
      <c r="C3493" s="1" t="n">
        <v>45645</v>
      </c>
      <c r="D3493" t="inlineStr">
        <is>
          <t>VÄSTERNORRLANDS LÄN</t>
        </is>
      </c>
      <c r="E3493" t="inlineStr">
        <is>
          <t>ÖRNSKÖLDSVIK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15196-2024</t>
        </is>
      </c>
      <c r="B3494" s="1" t="n">
        <v>45400</v>
      </c>
      <c r="C3494" s="1" t="n">
        <v>45645</v>
      </c>
      <c r="D3494" t="inlineStr">
        <is>
          <t>VÄSTERNORRLANDS LÄN</t>
        </is>
      </c>
      <c r="E3494" t="inlineStr">
        <is>
          <t>ÖRNSKÖLDSVIK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15212-2024</t>
        </is>
      </c>
      <c r="B3495" s="1" t="n">
        <v>45400</v>
      </c>
      <c r="C3495" s="1" t="n">
        <v>45645</v>
      </c>
      <c r="D3495" t="inlineStr">
        <is>
          <t>VÄSTERNORRLANDS LÄN</t>
        </is>
      </c>
      <c r="E3495" t="inlineStr">
        <is>
          <t>ÖRNSKÖLDSVIK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15230-2024</t>
        </is>
      </c>
      <c r="B3496" s="1" t="n">
        <v>45400</v>
      </c>
      <c r="C3496" s="1" t="n">
        <v>45645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15404-2024</t>
        </is>
      </c>
      <c r="B3497" s="1" t="n">
        <v>45401</v>
      </c>
      <c r="C3497" s="1" t="n">
        <v>45645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15606-2024</t>
        </is>
      </c>
      <c r="B3498" s="1" t="n">
        <v>45402</v>
      </c>
      <c r="C3498" s="1" t="n">
        <v>45645</v>
      </c>
      <c r="D3498" t="inlineStr">
        <is>
          <t>VÄSTERNORRLANDS LÄN</t>
        </is>
      </c>
      <c r="E3498" t="inlineStr">
        <is>
          <t>ÖRNSKÖLDSVIK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15601-2024</t>
        </is>
      </c>
      <c r="B3499" s="1" t="n">
        <v>45401</v>
      </c>
      <c r="C3499" s="1" t="n">
        <v>45645</v>
      </c>
      <c r="D3499" t="inlineStr">
        <is>
          <t>VÄSTERNORRLANDS LÄN</t>
        </is>
      </c>
      <c r="E3499" t="inlineStr">
        <is>
          <t>ÖRNSKÖLDSVIK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15809-2024</t>
        </is>
      </c>
      <c r="B3500" s="1" t="n">
        <v>45404</v>
      </c>
      <c r="C3500" s="1" t="n">
        <v>45645</v>
      </c>
      <c r="D3500" t="inlineStr">
        <is>
          <t>VÄSTERNORRLANDS LÄN</t>
        </is>
      </c>
      <c r="E3500" t="inlineStr">
        <is>
          <t>ÖRNSKÖLDSVIK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15930-2024</t>
        </is>
      </c>
      <c r="B3501" s="1" t="n">
        <v>45405</v>
      </c>
      <c r="C3501" s="1" t="n">
        <v>45645</v>
      </c>
      <c r="D3501" t="inlineStr">
        <is>
          <t>VÄSTERNORRLANDS LÄN</t>
        </is>
      </c>
      <c r="E3501" t="inlineStr">
        <is>
          <t>ÖRNSKÖLDSVIK</t>
        </is>
      </c>
      <c r="G3501" t="n">
        <v>11.1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16274-2024</t>
        </is>
      </c>
      <c r="B3502" s="1" t="n">
        <v>45407</v>
      </c>
      <c r="C3502" s="1" t="n">
        <v>45645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16271-2024</t>
        </is>
      </c>
      <c r="B3503" s="1" t="n">
        <v>45407</v>
      </c>
      <c r="C3503" s="1" t="n">
        <v>45645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16279-2024</t>
        </is>
      </c>
      <c r="B3504" s="1" t="n">
        <v>45407</v>
      </c>
      <c r="C3504" s="1" t="n">
        <v>45645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16338-2024</t>
        </is>
      </c>
      <c r="B3505" s="1" t="n">
        <v>45407</v>
      </c>
      <c r="C3505" s="1" t="n">
        <v>45645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10.4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16341-2024</t>
        </is>
      </c>
      <c r="B3506" s="1" t="n">
        <v>45407</v>
      </c>
      <c r="C3506" s="1" t="n">
        <v>45645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16336-2024</t>
        </is>
      </c>
      <c r="B3507" s="1" t="n">
        <v>45407</v>
      </c>
      <c r="C3507" s="1" t="n">
        <v>45645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16412-2024</t>
        </is>
      </c>
      <c r="B3508" s="1" t="n">
        <v>45407</v>
      </c>
      <c r="C3508" s="1" t="n">
        <v>45645</v>
      </c>
      <c r="D3508" t="inlineStr">
        <is>
          <t>VÄSTERNORRLANDS LÄN</t>
        </is>
      </c>
      <c r="E3508" t="inlineStr">
        <is>
          <t>ÖRNSKÖLDSVIK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16577-2024</t>
        </is>
      </c>
      <c r="B3509" s="1" t="n">
        <v>45408</v>
      </c>
      <c r="C3509" s="1" t="n">
        <v>45645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16692-2024</t>
        </is>
      </c>
      <c r="B3510" s="1" t="n">
        <v>45408</v>
      </c>
      <c r="C3510" s="1" t="n">
        <v>45645</v>
      </c>
      <c r="D3510" t="inlineStr">
        <is>
          <t>VÄSTERNORRLANDS LÄN</t>
        </is>
      </c>
      <c r="E3510" t="inlineStr">
        <is>
          <t>ÖRNSKÖLDSVIK</t>
        </is>
      </c>
      <c r="G3510" t="n">
        <v>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16824-2024</t>
        </is>
      </c>
      <c r="B3511" s="1" t="n">
        <v>45411</v>
      </c>
      <c r="C3511" s="1" t="n">
        <v>45645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17230-2024</t>
        </is>
      </c>
      <c r="B3512" s="1" t="n">
        <v>45414</v>
      </c>
      <c r="C3512" s="1" t="n">
        <v>45645</v>
      </c>
      <c r="D3512" t="inlineStr">
        <is>
          <t>VÄSTERNORRLANDS LÄN</t>
        </is>
      </c>
      <c r="E3512" t="inlineStr">
        <is>
          <t>ÖRNSKÖLDSVIK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17289-2024</t>
        </is>
      </c>
      <c r="B3513" s="1" t="n">
        <v>45414</v>
      </c>
      <c r="C3513" s="1" t="n">
        <v>45645</v>
      </c>
      <c r="D3513" t="inlineStr">
        <is>
          <t>VÄSTERNORRLANDS LÄN</t>
        </is>
      </c>
      <c r="E3513" t="inlineStr">
        <is>
          <t>ÖRNSKÖLDSVIK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17485-2024</t>
        </is>
      </c>
      <c r="B3514" s="1" t="n">
        <v>45415</v>
      </c>
      <c r="C3514" s="1" t="n">
        <v>45645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17493-2024</t>
        </is>
      </c>
      <c r="B3515" s="1" t="n">
        <v>45415</v>
      </c>
      <c r="C3515" s="1" t="n">
        <v>45645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17536-2024</t>
        </is>
      </c>
      <c r="B3516" s="1" t="n">
        <v>45415</v>
      </c>
      <c r="C3516" s="1" t="n">
        <v>45645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18178-2024</t>
        </is>
      </c>
      <c r="B3517" s="1" t="n">
        <v>45420</v>
      </c>
      <c r="C3517" s="1" t="n">
        <v>45645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18051-2024</t>
        </is>
      </c>
      <c r="B3518" s="1" t="n">
        <v>45420</v>
      </c>
      <c r="C3518" s="1" t="n">
        <v>45645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18175-2024</t>
        </is>
      </c>
      <c r="B3519" s="1" t="n">
        <v>45420</v>
      </c>
      <c r="C3519" s="1" t="n">
        <v>45645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18207-2024</t>
        </is>
      </c>
      <c r="B3520" s="1" t="n">
        <v>45420</v>
      </c>
      <c r="C3520" s="1" t="n">
        <v>45645</v>
      </c>
      <c r="D3520" t="inlineStr">
        <is>
          <t>VÄSTERNORRLANDS LÄN</t>
        </is>
      </c>
      <c r="E3520" t="inlineStr">
        <is>
          <t>ÖRNSKÖLDSVIK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18239-2024</t>
        </is>
      </c>
      <c r="B3521" s="1" t="n">
        <v>45421</v>
      </c>
      <c r="C3521" s="1" t="n">
        <v>45645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SCA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18305-2024</t>
        </is>
      </c>
      <c r="B3522" s="1" t="n">
        <v>45422</v>
      </c>
      <c r="C3522" s="1" t="n">
        <v>45645</v>
      </c>
      <c r="D3522" t="inlineStr">
        <is>
          <t>VÄSTERNORRLANDS LÄN</t>
        </is>
      </c>
      <c r="E3522" t="inlineStr">
        <is>
          <t>ÖRNSKÖLDSVIK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18296-2024</t>
        </is>
      </c>
      <c r="B3523" s="1" t="n">
        <v>45422</v>
      </c>
      <c r="C3523" s="1" t="n">
        <v>45645</v>
      </c>
      <c r="D3523" t="inlineStr">
        <is>
          <t>VÄSTERNORRLANDS LÄN</t>
        </is>
      </c>
      <c r="E3523" t="inlineStr">
        <is>
          <t>ÖRNSKÖLDSVIK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18372-2024</t>
        </is>
      </c>
      <c r="B3524" s="1" t="n">
        <v>45423</v>
      </c>
      <c r="C3524" s="1" t="n">
        <v>45645</v>
      </c>
      <c r="D3524" t="inlineStr">
        <is>
          <t>VÄSTERNORRLANDS LÄN</t>
        </is>
      </c>
      <c r="E3524" t="inlineStr">
        <is>
          <t>ÖRNSKÖLDSVIK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18373-2024</t>
        </is>
      </c>
      <c r="B3525" s="1" t="n">
        <v>45423</v>
      </c>
      <c r="C3525" s="1" t="n">
        <v>45645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18371-2024</t>
        </is>
      </c>
      <c r="B3526" s="1" t="n">
        <v>45423</v>
      </c>
      <c r="C3526" s="1" t="n">
        <v>45645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18571-2024</t>
        </is>
      </c>
      <c r="B3527" s="1" t="n">
        <v>45425</v>
      </c>
      <c r="C3527" s="1" t="n">
        <v>45645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18866-2024</t>
        </is>
      </c>
      <c r="B3528" s="1" t="n">
        <v>45427</v>
      </c>
      <c r="C3528" s="1" t="n">
        <v>45645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18688-2024</t>
        </is>
      </c>
      <c r="B3529" s="1" t="n">
        <v>45426</v>
      </c>
      <c r="C3529" s="1" t="n">
        <v>45645</v>
      </c>
      <c r="D3529" t="inlineStr">
        <is>
          <t>VÄSTERNORRLANDS LÄN</t>
        </is>
      </c>
      <c r="E3529" t="inlineStr">
        <is>
          <t>ÖRNSKÖLDSVIK</t>
        </is>
      </c>
      <c r="G3529" t="n">
        <v>24.9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18995-2024</t>
        </is>
      </c>
      <c r="B3530" s="1" t="n">
        <v>45427</v>
      </c>
      <c r="C3530" s="1" t="n">
        <v>45645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19002-2024</t>
        </is>
      </c>
      <c r="B3531" s="1" t="n">
        <v>45427</v>
      </c>
      <c r="C3531" s="1" t="n">
        <v>45645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19121-2024</t>
        </is>
      </c>
      <c r="B3532" s="1" t="n">
        <v>45427</v>
      </c>
      <c r="C3532" s="1" t="n">
        <v>45645</v>
      </c>
      <c r="D3532" t="inlineStr">
        <is>
          <t>VÄSTERNORRLANDS LÄN</t>
        </is>
      </c>
      <c r="E3532" t="inlineStr">
        <is>
          <t>ÖRNSKÖLDSVIK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19114-2024</t>
        </is>
      </c>
      <c r="B3533" s="1" t="n">
        <v>45427</v>
      </c>
      <c r="C3533" s="1" t="n">
        <v>45645</v>
      </c>
      <c r="D3533" t="inlineStr">
        <is>
          <t>VÄSTERNORRLANDS LÄN</t>
        </is>
      </c>
      <c r="E3533" t="inlineStr">
        <is>
          <t>ÖRNSKÖLDSVIK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18990-2024</t>
        </is>
      </c>
      <c r="B3534" s="1" t="n">
        <v>45427</v>
      </c>
      <c r="C3534" s="1" t="n">
        <v>45645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19115-2024</t>
        </is>
      </c>
      <c r="B3535" s="1" t="n">
        <v>45427</v>
      </c>
      <c r="C3535" s="1" t="n">
        <v>45645</v>
      </c>
      <c r="D3535" t="inlineStr">
        <is>
          <t>VÄSTERNORRLANDS LÄN</t>
        </is>
      </c>
      <c r="E3535" t="inlineStr">
        <is>
          <t>ÖRNSKÖLDSVIK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18935-2024</t>
        </is>
      </c>
      <c r="B3536" s="1" t="n">
        <v>45427</v>
      </c>
      <c r="C3536" s="1" t="n">
        <v>45645</v>
      </c>
      <c r="D3536" t="inlineStr">
        <is>
          <t>VÄSTERNORRLANDS LÄN</t>
        </is>
      </c>
      <c r="E3536" t="inlineStr">
        <is>
          <t>ÖRNSKÖLDSVIK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19032-2024</t>
        </is>
      </c>
      <c r="B3537" s="1" t="n">
        <v>45427</v>
      </c>
      <c r="C3537" s="1" t="n">
        <v>45645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19073-2024</t>
        </is>
      </c>
      <c r="B3538" s="1" t="n">
        <v>45427</v>
      </c>
      <c r="C3538" s="1" t="n">
        <v>45645</v>
      </c>
      <c r="D3538" t="inlineStr">
        <is>
          <t>VÄSTERNORRLANDS LÄN</t>
        </is>
      </c>
      <c r="E3538" t="inlineStr">
        <is>
          <t>ÖRNSKÖLDSVIK</t>
        </is>
      </c>
      <c r="G3538" t="n">
        <v>9.800000000000001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19108-2024</t>
        </is>
      </c>
      <c r="B3539" s="1" t="n">
        <v>45427</v>
      </c>
      <c r="C3539" s="1" t="n">
        <v>45645</v>
      </c>
      <c r="D3539" t="inlineStr">
        <is>
          <t>VÄSTERNORRLANDS LÄN</t>
        </is>
      </c>
      <c r="E3539" t="inlineStr">
        <is>
          <t>ÖRNSKÖLDSVIK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18964-2024</t>
        </is>
      </c>
      <c r="B3540" s="1" t="n">
        <v>45427</v>
      </c>
      <c r="C3540" s="1" t="n">
        <v>45645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18936-2024</t>
        </is>
      </c>
      <c r="B3541" s="1" t="n">
        <v>45427</v>
      </c>
      <c r="C3541" s="1" t="n">
        <v>45645</v>
      </c>
      <c r="D3541" t="inlineStr">
        <is>
          <t>VÄSTERNORRLANDS LÄN</t>
        </is>
      </c>
      <c r="E3541" t="inlineStr">
        <is>
          <t>ÖRNSKÖLDSVIK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19017-2024</t>
        </is>
      </c>
      <c r="B3542" s="1" t="n">
        <v>45427</v>
      </c>
      <c r="C3542" s="1" t="n">
        <v>45645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8.699999999999999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19127-2024</t>
        </is>
      </c>
      <c r="B3543" s="1" t="n">
        <v>45428</v>
      </c>
      <c r="C3543" s="1" t="n">
        <v>45645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19104-2024</t>
        </is>
      </c>
      <c r="B3544" s="1" t="n">
        <v>45428</v>
      </c>
      <c r="C3544" s="1" t="n">
        <v>45645</v>
      </c>
      <c r="D3544" t="inlineStr">
        <is>
          <t>VÄSTERNORRLANDS LÄN</t>
        </is>
      </c>
      <c r="E3544" t="inlineStr">
        <is>
          <t>ÖRNSKÖLDSVIK</t>
        </is>
      </c>
      <c r="G3544" t="n">
        <v>8.1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19103-2024</t>
        </is>
      </c>
      <c r="B3545" s="1" t="n">
        <v>45428</v>
      </c>
      <c r="C3545" s="1" t="n">
        <v>45645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19297-2024</t>
        </is>
      </c>
      <c r="B3546" s="1" t="n">
        <v>45428</v>
      </c>
      <c r="C3546" s="1" t="n">
        <v>45645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19098-2024</t>
        </is>
      </c>
      <c r="B3547" s="1" t="n">
        <v>45428</v>
      </c>
      <c r="C3547" s="1" t="n">
        <v>45645</v>
      </c>
      <c r="D3547" t="inlineStr">
        <is>
          <t>VÄSTERNORRLANDS LÄN</t>
        </is>
      </c>
      <c r="E3547" t="inlineStr">
        <is>
          <t>ÖRNSKÖLDSVIK</t>
        </is>
      </c>
      <c r="G3547" t="n">
        <v>12.6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19361-2024</t>
        </is>
      </c>
      <c r="B3548" s="1" t="n">
        <v>45429</v>
      </c>
      <c r="C3548" s="1" t="n">
        <v>45645</v>
      </c>
      <c r="D3548" t="inlineStr">
        <is>
          <t>VÄSTERNORRLANDS LÄN</t>
        </is>
      </c>
      <c r="E3548" t="inlineStr">
        <is>
          <t>ÖRNSKÖLDSVIK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19355-2024</t>
        </is>
      </c>
      <c r="B3549" s="1" t="n">
        <v>45429</v>
      </c>
      <c r="C3549" s="1" t="n">
        <v>45645</v>
      </c>
      <c r="D3549" t="inlineStr">
        <is>
          <t>VÄSTERNORRLANDS LÄN</t>
        </is>
      </c>
      <c r="E3549" t="inlineStr">
        <is>
          <t>ÖRNSKÖLDSVIK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19437-2024</t>
        </is>
      </c>
      <c r="B3550" s="1" t="n">
        <v>45429</v>
      </c>
      <c r="C3550" s="1" t="n">
        <v>45645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19360-2024</t>
        </is>
      </c>
      <c r="B3551" s="1" t="n">
        <v>45429</v>
      </c>
      <c r="C3551" s="1" t="n">
        <v>45645</v>
      </c>
      <c r="D3551" t="inlineStr">
        <is>
          <t>VÄSTERNORRLANDS LÄN</t>
        </is>
      </c>
      <c r="E3551" t="inlineStr">
        <is>
          <t>ÖRNSKÖLDSVIK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19466-2024</t>
        </is>
      </c>
      <c r="B3552" s="1" t="n">
        <v>45429</v>
      </c>
      <c r="C3552" s="1" t="n">
        <v>45645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19548-2024</t>
        </is>
      </c>
      <c r="B3553" s="1" t="n">
        <v>45429</v>
      </c>
      <c r="C3553" s="1" t="n">
        <v>45645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19737-2024</t>
        </is>
      </c>
      <c r="B3554" s="1" t="n">
        <v>45432</v>
      </c>
      <c r="C3554" s="1" t="n">
        <v>45645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19611-2024</t>
        </is>
      </c>
      <c r="B3555" s="1" t="n">
        <v>45432</v>
      </c>
      <c r="C3555" s="1" t="n">
        <v>45645</v>
      </c>
      <c r="D3555" t="inlineStr">
        <is>
          <t>VÄSTERNORRLANDS LÄN</t>
        </is>
      </c>
      <c r="E3555" t="inlineStr">
        <is>
          <t>ÖRNSKÖLDSVIK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19812-2024</t>
        </is>
      </c>
      <c r="B3556" s="1" t="n">
        <v>45433</v>
      </c>
      <c r="C3556" s="1" t="n">
        <v>45645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19840-2024</t>
        </is>
      </c>
      <c r="B3557" s="1" t="n">
        <v>45433</v>
      </c>
      <c r="C3557" s="1" t="n">
        <v>45645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19845-2024</t>
        </is>
      </c>
      <c r="B3558" s="1" t="n">
        <v>45433</v>
      </c>
      <c r="C3558" s="1" t="n">
        <v>45645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19829-2024</t>
        </is>
      </c>
      <c r="B3559" s="1" t="n">
        <v>45433</v>
      </c>
      <c r="C3559" s="1" t="n">
        <v>45645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19889-2024</t>
        </is>
      </c>
      <c r="B3560" s="1" t="n">
        <v>45433</v>
      </c>
      <c r="C3560" s="1" t="n">
        <v>45645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19958-2024</t>
        </is>
      </c>
      <c r="B3561" s="1" t="n">
        <v>45433</v>
      </c>
      <c r="C3561" s="1" t="n">
        <v>45645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19991-2024</t>
        </is>
      </c>
      <c r="B3562" s="1" t="n">
        <v>45433</v>
      </c>
      <c r="C3562" s="1" t="n">
        <v>45645</v>
      </c>
      <c r="D3562" t="inlineStr">
        <is>
          <t>VÄSTERNORRLANDS LÄN</t>
        </is>
      </c>
      <c r="E3562" t="inlineStr">
        <is>
          <t>ÖRNSKÖLDSVIK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19935-2024</t>
        </is>
      </c>
      <c r="B3563" s="1" t="n">
        <v>45433</v>
      </c>
      <c r="C3563" s="1" t="n">
        <v>45645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20071-2024</t>
        </is>
      </c>
      <c r="B3564" s="1" t="n">
        <v>45434</v>
      </c>
      <c r="C3564" s="1" t="n">
        <v>45645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20099-2024</t>
        </is>
      </c>
      <c r="B3565" s="1" t="n">
        <v>45434</v>
      </c>
      <c r="C3565" s="1" t="n">
        <v>45645</v>
      </c>
      <c r="D3565" t="inlineStr">
        <is>
          <t>VÄSTERNORRLANDS LÄN</t>
        </is>
      </c>
      <c r="E3565" t="inlineStr">
        <is>
          <t>ÖRNSKÖLDSVIK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20076-2024</t>
        </is>
      </c>
      <c r="B3566" s="1" t="n">
        <v>45434</v>
      </c>
      <c r="C3566" s="1" t="n">
        <v>45645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20041-2024</t>
        </is>
      </c>
      <c r="B3567" s="1" t="n">
        <v>45434</v>
      </c>
      <c r="C3567" s="1" t="n">
        <v>45645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20222-2024</t>
        </is>
      </c>
      <c r="B3568" s="1" t="n">
        <v>45434</v>
      </c>
      <c r="C3568" s="1" t="n">
        <v>45645</v>
      </c>
      <c r="D3568" t="inlineStr">
        <is>
          <t>VÄSTERNORRLANDS LÄN</t>
        </is>
      </c>
      <c r="E3568" t="inlineStr">
        <is>
          <t>ÖRNSKÖLDSVIK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20234-2024</t>
        </is>
      </c>
      <c r="B3569" s="1" t="n">
        <v>45434</v>
      </c>
      <c r="C3569" s="1" t="n">
        <v>45645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20172-2024</t>
        </is>
      </c>
      <c r="B3570" s="1" t="n">
        <v>45434</v>
      </c>
      <c r="C3570" s="1" t="n">
        <v>45645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20216-2024</t>
        </is>
      </c>
      <c r="B3571" s="1" t="n">
        <v>45434</v>
      </c>
      <c r="C3571" s="1" t="n">
        <v>45645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20286-2024</t>
        </is>
      </c>
      <c r="B3572" s="1" t="n">
        <v>45435</v>
      </c>
      <c r="C3572" s="1" t="n">
        <v>45645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20453-2024</t>
        </is>
      </c>
      <c r="B3573" s="1" t="n">
        <v>45435</v>
      </c>
      <c r="C3573" s="1" t="n">
        <v>45645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20457-2024</t>
        </is>
      </c>
      <c r="B3574" s="1" t="n">
        <v>45435</v>
      </c>
      <c r="C3574" s="1" t="n">
        <v>45645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20322-2024</t>
        </is>
      </c>
      <c r="B3575" s="1" t="n">
        <v>45435</v>
      </c>
      <c r="C3575" s="1" t="n">
        <v>45645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20432-2024</t>
        </is>
      </c>
      <c r="B3576" s="1" t="n">
        <v>45435</v>
      </c>
      <c r="C3576" s="1" t="n">
        <v>45645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20436-2024</t>
        </is>
      </c>
      <c r="B3577" s="1" t="n">
        <v>45435</v>
      </c>
      <c r="C3577" s="1" t="n">
        <v>45645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20451-2024</t>
        </is>
      </c>
      <c r="B3578" s="1" t="n">
        <v>45435</v>
      </c>
      <c r="C3578" s="1" t="n">
        <v>45645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20529-2024</t>
        </is>
      </c>
      <c r="B3579" s="1" t="n">
        <v>45435</v>
      </c>
      <c r="C3579" s="1" t="n">
        <v>45645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SCA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20667-2024</t>
        </is>
      </c>
      <c r="B3580" s="1" t="n">
        <v>45436</v>
      </c>
      <c r="C3580" s="1" t="n">
        <v>45645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7.5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20733-2024</t>
        </is>
      </c>
      <c r="B3581" s="1" t="n">
        <v>45436</v>
      </c>
      <c r="C3581" s="1" t="n">
        <v>45645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20735-2024</t>
        </is>
      </c>
      <c r="B3582" s="1" t="n">
        <v>45436</v>
      </c>
      <c r="C3582" s="1" t="n">
        <v>45645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20729-2024</t>
        </is>
      </c>
      <c r="B3583" s="1" t="n">
        <v>45436</v>
      </c>
      <c r="C3583" s="1" t="n">
        <v>45645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20655-2024</t>
        </is>
      </c>
      <c r="B3584" s="1" t="n">
        <v>45436</v>
      </c>
      <c r="C3584" s="1" t="n">
        <v>45645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20551-2024</t>
        </is>
      </c>
      <c r="B3585" s="1" t="n">
        <v>45436</v>
      </c>
      <c r="C3585" s="1" t="n">
        <v>45645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20575-2024</t>
        </is>
      </c>
      <c r="B3586" s="1" t="n">
        <v>45436</v>
      </c>
      <c r="C3586" s="1" t="n">
        <v>45645</v>
      </c>
      <c r="D3586" t="inlineStr">
        <is>
          <t>VÄSTERNORRLANDS LÄN</t>
        </is>
      </c>
      <c r="E3586" t="inlineStr">
        <is>
          <t>ÖRNSKÖLDSVIK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20660-2024</t>
        </is>
      </c>
      <c r="B3587" s="1" t="n">
        <v>45436</v>
      </c>
      <c r="C3587" s="1" t="n">
        <v>45645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20576-2024</t>
        </is>
      </c>
      <c r="B3588" s="1" t="n">
        <v>45436</v>
      </c>
      <c r="C3588" s="1" t="n">
        <v>45645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20856-2024</t>
        </is>
      </c>
      <c r="B3589" s="1" t="n">
        <v>45439</v>
      </c>
      <c r="C3589" s="1" t="n">
        <v>45645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20817-2024</t>
        </is>
      </c>
      <c r="B3590" s="1" t="n">
        <v>45439</v>
      </c>
      <c r="C3590" s="1" t="n">
        <v>45645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20818-2024</t>
        </is>
      </c>
      <c r="B3591" s="1" t="n">
        <v>45439</v>
      </c>
      <c r="C3591" s="1" t="n">
        <v>45645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21043-2024</t>
        </is>
      </c>
      <c r="B3592" s="1" t="n">
        <v>45439</v>
      </c>
      <c r="C3592" s="1" t="n">
        <v>45645</v>
      </c>
      <c r="D3592" t="inlineStr">
        <is>
          <t>VÄSTERNORRLANDS LÄN</t>
        </is>
      </c>
      <c r="E3592" t="inlineStr">
        <is>
          <t>ÖRNSKÖLDSVIK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21034-2024</t>
        </is>
      </c>
      <c r="B3593" s="1" t="n">
        <v>45439</v>
      </c>
      <c r="C3593" s="1" t="n">
        <v>45645</v>
      </c>
      <c r="D3593" t="inlineStr">
        <is>
          <t>VÄSTERNORRLANDS LÄN</t>
        </is>
      </c>
      <c r="E3593" t="inlineStr">
        <is>
          <t>ÖRNSKÖLDSVIK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21054-2024</t>
        </is>
      </c>
      <c r="B3594" s="1" t="n">
        <v>45439</v>
      </c>
      <c r="C3594" s="1" t="n">
        <v>45645</v>
      </c>
      <c r="D3594" t="inlineStr">
        <is>
          <t>VÄSTERNORRLANDS LÄN</t>
        </is>
      </c>
      <c r="E3594" t="inlineStr">
        <is>
          <t>ÖRNSKÖLDSVIK</t>
        </is>
      </c>
      <c r="G3594" t="n">
        <v>8.6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21226-2024</t>
        </is>
      </c>
      <c r="B3595" s="1" t="n">
        <v>45440</v>
      </c>
      <c r="C3595" s="1" t="n">
        <v>45645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21265-2024</t>
        </is>
      </c>
      <c r="B3596" s="1" t="n">
        <v>45440</v>
      </c>
      <c r="C3596" s="1" t="n">
        <v>45645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21235-2024</t>
        </is>
      </c>
      <c r="B3597" s="1" t="n">
        <v>45440</v>
      </c>
      <c r="C3597" s="1" t="n">
        <v>45645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21136-2024</t>
        </is>
      </c>
      <c r="B3598" s="1" t="n">
        <v>45440</v>
      </c>
      <c r="C3598" s="1" t="n">
        <v>45645</v>
      </c>
      <c r="D3598" t="inlineStr">
        <is>
          <t>VÄSTERNORRLANDS LÄN</t>
        </is>
      </c>
      <c r="E3598" t="inlineStr">
        <is>
          <t>ÖRNSKÖLDSVIK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21122-2024</t>
        </is>
      </c>
      <c r="B3599" s="1" t="n">
        <v>45440</v>
      </c>
      <c r="C3599" s="1" t="n">
        <v>45645</v>
      </c>
      <c r="D3599" t="inlineStr">
        <is>
          <t>VÄSTERNORRLANDS LÄN</t>
        </is>
      </c>
      <c r="E3599" t="inlineStr">
        <is>
          <t>ÖRNSKÖLDSVIK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21133-2024</t>
        </is>
      </c>
      <c r="B3600" s="1" t="n">
        <v>45440</v>
      </c>
      <c r="C3600" s="1" t="n">
        <v>45645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21123-2024</t>
        </is>
      </c>
      <c r="B3601" s="1" t="n">
        <v>45440</v>
      </c>
      <c r="C3601" s="1" t="n">
        <v>45645</v>
      </c>
      <c r="D3601" t="inlineStr">
        <is>
          <t>VÄSTERNORRLANDS LÄN</t>
        </is>
      </c>
      <c r="E3601" t="inlineStr">
        <is>
          <t>ÖRNSKÖLDSVIK</t>
        </is>
      </c>
      <c r="G3601" t="n">
        <v>10.6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21138-2024</t>
        </is>
      </c>
      <c r="B3602" s="1" t="n">
        <v>45440</v>
      </c>
      <c r="C3602" s="1" t="n">
        <v>45645</v>
      </c>
      <c r="D3602" t="inlineStr">
        <is>
          <t>VÄSTERNORRLANDS LÄN</t>
        </is>
      </c>
      <c r="E3602" t="inlineStr">
        <is>
          <t>ÖRNSKÖLDSVIK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21130-2024</t>
        </is>
      </c>
      <c r="B3603" s="1" t="n">
        <v>45440</v>
      </c>
      <c r="C3603" s="1" t="n">
        <v>45645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21124-2024</t>
        </is>
      </c>
      <c r="B3604" s="1" t="n">
        <v>45440</v>
      </c>
      <c r="C3604" s="1" t="n">
        <v>45645</v>
      </c>
      <c r="D3604" t="inlineStr">
        <is>
          <t>VÄSTERNORRLANDS LÄN</t>
        </is>
      </c>
      <c r="E3604" t="inlineStr">
        <is>
          <t>ÖRNSKÖLDSVIK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21147-2024</t>
        </is>
      </c>
      <c r="B3605" s="1" t="n">
        <v>45440</v>
      </c>
      <c r="C3605" s="1" t="n">
        <v>45645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21125-2024</t>
        </is>
      </c>
      <c r="B3606" s="1" t="n">
        <v>45440</v>
      </c>
      <c r="C3606" s="1" t="n">
        <v>45645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21324-2024</t>
        </is>
      </c>
      <c r="B3607" s="1" t="n">
        <v>45440</v>
      </c>
      <c r="C3607" s="1" t="n">
        <v>45645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21322-2024</t>
        </is>
      </c>
      <c r="B3608" s="1" t="n">
        <v>45440</v>
      </c>
      <c r="C3608" s="1" t="n">
        <v>45645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21533-2024</t>
        </is>
      </c>
      <c r="B3609" s="1" t="n">
        <v>45441</v>
      </c>
      <c r="C3609" s="1" t="n">
        <v>45645</v>
      </c>
      <c r="D3609" t="inlineStr">
        <is>
          <t>VÄSTERNORRLANDS LÄN</t>
        </is>
      </c>
      <c r="E3609" t="inlineStr">
        <is>
          <t>ÖRNSKÖLDSVIK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21718-2024</t>
        </is>
      </c>
      <c r="B3610" s="1" t="n">
        <v>45442</v>
      </c>
      <c r="C3610" s="1" t="n">
        <v>45645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9.800000000000001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21642-2024</t>
        </is>
      </c>
      <c r="B3611" s="1" t="n">
        <v>45442</v>
      </c>
      <c r="C3611" s="1" t="n">
        <v>45645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21701-2024</t>
        </is>
      </c>
      <c r="B3612" s="1" t="n">
        <v>45442</v>
      </c>
      <c r="C3612" s="1" t="n">
        <v>45645</v>
      </c>
      <c r="D3612" t="inlineStr">
        <is>
          <t>VÄSTERNORRLANDS LÄN</t>
        </is>
      </c>
      <c r="E3612" t="inlineStr">
        <is>
          <t>ÖRNSKÖLDSVIK</t>
        </is>
      </c>
      <c r="G3612" t="n">
        <v>10.4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21821-2024</t>
        </is>
      </c>
      <c r="B3613" s="1" t="n">
        <v>45442</v>
      </c>
      <c r="C3613" s="1" t="n">
        <v>45645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18.1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21724-2024</t>
        </is>
      </c>
      <c r="B3614" s="1" t="n">
        <v>45442</v>
      </c>
      <c r="C3614" s="1" t="n">
        <v>45645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21683-2024</t>
        </is>
      </c>
      <c r="B3615" s="1" t="n">
        <v>45442</v>
      </c>
      <c r="C3615" s="1" t="n">
        <v>45645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21651-2024</t>
        </is>
      </c>
      <c r="B3616" s="1" t="n">
        <v>45442</v>
      </c>
      <c r="C3616" s="1" t="n">
        <v>45645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21727-2024</t>
        </is>
      </c>
      <c r="B3617" s="1" t="n">
        <v>45442</v>
      </c>
      <c r="C3617" s="1" t="n">
        <v>45645</v>
      </c>
      <c r="D3617" t="inlineStr">
        <is>
          <t>VÄSTERNORRLANDS LÄN</t>
        </is>
      </c>
      <c r="E3617" t="inlineStr">
        <is>
          <t>ÖRNSKÖLDSVIK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21731-2024</t>
        </is>
      </c>
      <c r="B3618" s="1" t="n">
        <v>45442</v>
      </c>
      <c r="C3618" s="1" t="n">
        <v>45645</v>
      </c>
      <c r="D3618" t="inlineStr">
        <is>
          <t>VÄSTERNORRLANDS LÄN</t>
        </is>
      </c>
      <c r="E3618" t="inlineStr">
        <is>
          <t>ÖRNSKÖLDSVIK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21771-2024</t>
        </is>
      </c>
      <c r="B3619" s="1" t="n">
        <v>45442</v>
      </c>
      <c r="C3619" s="1" t="n">
        <v>45645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21888-2024</t>
        </is>
      </c>
      <c r="B3620" s="1" t="n">
        <v>45443</v>
      </c>
      <c r="C3620" s="1" t="n">
        <v>45645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21890-2024</t>
        </is>
      </c>
      <c r="B3621" s="1" t="n">
        <v>45443</v>
      </c>
      <c r="C3621" s="1" t="n">
        <v>45645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22078-2024</t>
        </is>
      </c>
      <c r="B3622" s="1" t="n">
        <v>45443</v>
      </c>
      <c r="C3622" s="1" t="n">
        <v>45645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21970-2024</t>
        </is>
      </c>
      <c r="B3623" s="1" t="n">
        <v>45443</v>
      </c>
      <c r="C3623" s="1" t="n">
        <v>45645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22075-2024</t>
        </is>
      </c>
      <c r="B3624" s="1" t="n">
        <v>45443</v>
      </c>
      <c r="C3624" s="1" t="n">
        <v>45645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22023-2024</t>
        </is>
      </c>
      <c r="B3625" s="1" t="n">
        <v>45443</v>
      </c>
      <c r="C3625" s="1" t="n">
        <v>45645</v>
      </c>
      <c r="D3625" t="inlineStr">
        <is>
          <t>VÄSTERNORRLANDS LÄN</t>
        </is>
      </c>
      <c r="E3625" t="inlineStr">
        <is>
          <t>ÖRNSKÖLDSVIK</t>
        </is>
      </c>
      <c r="G3625" t="n">
        <v>14.8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22019-2024</t>
        </is>
      </c>
      <c r="B3626" s="1" t="n">
        <v>45443</v>
      </c>
      <c r="C3626" s="1" t="n">
        <v>45645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21869-2024</t>
        </is>
      </c>
      <c r="B3627" s="1" t="n">
        <v>45443</v>
      </c>
      <c r="C3627" s="1" t="n">
        <v>45645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21897-2024</t>
        </is>
      </c>
      <c r="B3628" s="1" t="n">
        <v>45443</v>
      </c>
      <c r="C3628" s="1" t="n">
        <v>45645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21893-2024</t>
        </is>
      </c>
      <c r="B3629" s="1" t="n">
        <v>45443</v>
      </c>
      <c r="C3629" s="1" t="n">
        <v>45645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22137-2024</t>
        </is>
      </c>
      <c r="B3630" s="1" t="n">
        <v>45444</v>
      </c>
      <c r="C3630" s="1" t="n">
        <v>45645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22158-2024</t>
        </is>
      </c>
      <c r="B3631" s="1" t="n">
        <v>45445</v>
      </c>
      <c r="C3631" s="1" t="n">
        <v>45645</v>
      </c>
      <c r="D3631" t="inlineStr">
        <is>
          <t>VÄSTERNORRLANDS LÄN</t>
        </is>
      </c>
      <c r="E3631" t="inlineStr">
        <is>
          <t>ÖRNSKÖLDSVIK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22288-2024</t>
        </is>
      </c>
      <c r="B3632" s="1" t="n">
        <v>45446</v>
      </c>
      <c r="C3632" s="1" t="n">
        <v>45645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22245-2024</t>
        </is>
      </c>
      <c r="B3633" s="1" t="n">
        <v>45446</v>
      </c>
      <c r="C3633" s="1" t="n">
        <v>45645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22236-2024</t>
        </is>
      </c>
      <c r="B3634" s="1" t="n">
        <v>45446</v>
      </c>
      <c r="C3634" s="1" t="n">
        <v>45645</v>
      </c>
      <c r="D3634" t="inlineStr">
        <is>
          <t>VÄSTERNORRLANDS LÄN</t>
        </is>
      </c>
      <c r="E3634" t="inlineStr">
        <is>
          <t>ÖRNSKÖLDSVIK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22333-2024</t>
        </is>
      </c>
      <c r="B3635" s="1" t="n">
        <v>45446</v>
      </c>
      <c r="C3635" s="1" t="n">
        <v>45645</v>
      </c>
      <c r="D3635" t="inlineStr">
        <is>
          <t>VÄSTERNORRLANDS LÄN</t>
        </is>
      </c>
      <c r="E3635" t="inlineStr">
        <is>
          <t>ÖRNSKÖLDSVIK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22338-2024</t>
        </is>
      </c>
      <c r="B3636" s="1" t="n">
        <v>45446</v>
      </c>
      <c r="C3636" s="1" t="n">
        <v>45645</v>
      </c>
      <c r="D3636" t="inlineStr">
        <is>
          <t>VÄSTERNORRLANDS LÄN</t>
        </is>
      </c>
      <c r="E3636" t="inlineStr">
        <is>
          <t>ÖRNSKÖLDSVIK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22206-2024</t>
        </is>
      </c>
      <c r="B3637" s="1" t="n">
        <v>45446</v>
      </c>
      <c r="C3637" s="1" t="n">
        <v>45645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22417-2024</t>
        </is>
      </c>
      <c r="B3638" s="1" t="n">
        <v>45446</v>
      </c>
      <c r="C3638" s="1" t="n">
        <v>45645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22318-2024</t>
        </is>
      </c>
      <c r="B3639" s="1" t="n">
        <v>45446</v>
      </c>
      <c r="C3639" s="1" t="n">
        <v>45645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22289-2024</t>
        </is>
      </c>
      <c r="B3640" s="1" t="n">
        <v>45446</v>
      </c>
      <c r="C3640" s="1" t="n">
        <v>45645</v>
      </c>
      <c r="D3640" t="inlineStr">
        <is>
          <t>VÄSTERNORRLANDS LÄN</t>
        </is>
      </c>
      <c r="E3640" t="inlineStr">
        <is>
          <t>ÖRNSKÖLDSVIK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22273-2024</t>
        </is>
      </c>
      <c r="B3641" s="1" t="n">
        <v>45446</v>
      </c>
      <c r="C3641" s="1" t="n">
        <v>45645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22663-2024</t>
        </is>
      </c>
      <c r="B3642" s="1" t="n">
        <v>45447</v>
      </c>
      <c r="C3642" s="1" t="n">
        <v>45645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22519-2024</t>
        </is>
      </c>
      <c r="B3643" s="1" t="n">
        <v>45447</v>
      </c>
      <c r="C3643" s="1" t="n">
        <v>45645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22515-2024</t>
        </is>
      </c>
      <c r="B3644" s="1" t="n">
        <v>45447</v>
      </c>
      <c r="C3644" s="1" t="n">
        <v>45645</v>
      </c>
      <c r="D3644" t="inlineStr">
        <is>
          <t>VÄSTERNORRLANDS LÄN</t>
        </is>
      </c>
      <c r="E3644" t="inlineStr">
        <is>
          <t>ÖRNSKÖLDSVIK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22631-2024</t>
        </is>
      </c>
      <c r="B3645" s="1" t="n">
        <v>45447</v>
      </c>
      <c r="C3645" s="1" t="n">
        <v>45645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22574-2024</t>
        </is>
      </c>
      <c r="B3646" s="1" t="n">
        <v>45447</v>
      </c>
      <c r="C3646" s="1" t="n">
        <v>45645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22558-2024</t>
        </is>
      </c>
      <c r="B3647" s="1" t="n">
        <v>45447</v>
      </c>
      <c r="C3647" s="1" t="n">
        <v>45645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22493-2024</t>
        </is>
      </c>
      <c r="B3648" s="1" t="n">
        <v>45447</v>
      </c>
      <c r="C3648" s="1" t="n">
        <v>45645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22630-2024</t>
        </is>
      </c>
      <c r="B3649" s="1" t="n">
        <v>45447</v>
      </c>
      <c r="C3649" s="1" t="n">
        <v>45645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9.6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22800-2024</t>
        </is>
      </c>
      <c r="B3650" s="1" t="n">
        <v>45448</v>
      </c>
      <c r="C3650" s="1" t="n">
        <v>45645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22871-2024</t>
        </is>
      </c>
      <c r="B3651" s="1" t="n">
        <v>45448</v>
      </c>
      <c r="C3651" s="1" t="n">
        <v>45645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22955-2024</t>
        </is>
      </c>
      <c r="B3652" s="1" t="n">
        <v>45449</v>
      </c>
      <c r="C3652" s="1" t="n">
        <v>45645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22963-2024</t>
        </is>
      </c>
      <c r="B3653" s="1" t="n">
        <v>45449</v>
      </c>
      <c r="C3653" s="1" t="n">
        <v>45645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22962-2024</t>
        </is>
      </c>
      <c r="B3654" s="1" t="n">
        <v>45449</v>
      </c>
      <c r="C3654" s="1" t="n">
        <v>45645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22958-2024</t>
        </is>
      </c>
      <c r="B3655" s="1" t="n">
        <v>45449</v>
      </c>
      <c r="C3655" s="1" t="n">
        <v>45645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23097-2024</t>
        </is>
      </c>
      <c r="B3656" s="1" t="n">
        <v>45450</v>
      </c>
      <c r="C3656" s="1" t="n">
        <v>45645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23137-2024</t>
        </is>
      </c>
      <c r="B3657" s="1" t="n">
        <v>45450</v>
      </c>
      <c r="C3657" s="1" t="n">
        <v>45645</v>
      </c>
      <c r="D3657" t="inlineStr">
        <is>
          <t>VÄSTERNORRLANDS LÄN</t>
        </is>
      </c>
      <c r="E3657" t="inlineStr">
        <is>
          <t>ÖRNSKÖLDSVIK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22998-2024</t>
        </is>
      </c>
      <c r="B3658" s="1" t="n">
        <v>45450</v>
      </c>
      <c r="C3658" s="1" t="n">
        <v>45645</v>
      </c>
      <c r="D3658" t="inlineStr">
        <is>
          <t>VÄSTERNORRLANDS LÄN</t>
        </is>
      </c>
      <c r="E3658" t="inlineStr">
        <is>
          <t>ÖRNSKÖLDSVIK</t>
        </is>
      </c>
      <c r="G3658" t="n">
        <v>17.7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23140-2024</t>
        </is>
      </c>
      <c r="B3659" s="1" t="n">
        <v>45450</v>
      </c>
      <c r="C3659" s="1" t="n">
        <v>45645</v>
      </c>
      <c r="D3659" t="inlineStr">
        <is>
          <t>VÄSTERNORRLANDS LÄN</t>
        </is>
      </c>
      <c r="E3659" t="inlineStr">
        <is>
          <t>ÖRNSKÖLDSVIK</t>
        </is>
      </c>
      <c r="G3659" t="n">
        <v>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23094-2024</t>
        </is>
      </c>
      <c r="B3660" s="1" t="n">
        <v>45450</v>
      </c>
      <c r="C3660" s="1" t="n">
        <v>45645</v>
      </c>
      <c r="D3660" t="inlineStr">
        <is>
          <t>VÄSTERNORRLANDS LÄN</t>
        </is>
      </c>
      <c r="E3660" t="inlineStr">
        <is>
          <t>ÖRNSKÖLDSVIK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23268-2024</t>
        </is>
      </c>
      <c r="B3661" s="1" t="n">
        <v>45453</v>
      </c>
      <c r="C3661" s="1" t="n">
        <v>45645</v>
      </c>
      <c r="D3661" t="inlineStr">
        <is>
          <t>VÄSTERNORRLANDS LÄN</t>
        </is>
      </c>
      <c r="E3661" t="inlineStr">
        <is>
          <t>ÖRNSKÖLDSVIK</t>
        </is>
      </c>
      <c r="G3661" t="n">
        <v>12.4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23340-2024</t>
        </is>
      </c>
      <c r="B3662" s="1" t="n">
        <v>45453</v>
      </c>
      <c r="C3662" s="1" t="n">
        <v>45645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23346-2024</t>
        </is>
      </c>
      <c r="B3663" s="1" t="n">
        <v>45453</v>
      </c>
      <c r="C3663" s="1" t="n">
        <v>45645</v>
      </c>
      <c r="D3663" t="inlineStr">
        <is>
          <t>VÄSTERNORRLANDS LÄN</t>
        </is>
      </c>
      <c r="E3663" t="inlineStr">
        <is>
          <t>ÖRNSKÖLDSVIK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23516-2024</t>
        </is>
      </c>
      <c r="B3664" s="1" t="n">
        <v>45453</v>
      </c>
      <c r="C3664" s="1" t="n">
        <v>45645</v>
      </c>
      <c r="D3664" t="inlineStr">
        <is>
          <t>VÄSTERNORRLANDS LÄN</t>
        </is>
      </c>
      <c r="E3664" t="inlineStr">
        <is>
          <t>ÖRNSKÖLDSVIK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23407-2024</t>
        </is>
      </c>
      <c r="B3665" s="1" t="n">
        <v>45453</v>
      </c>
      <c r="C3665" s="1" t="n">
        <v>45645</v>
      </c>
      <c r="D3665" t="inlineStr">
        <is>
          <t>VÄSTERNORRLANDS LÄN</t>
        </is>
      </c>
      <c r="E3665" t="inlineStr">
        <is>
          <t>ÖRNSKÖLDSVIK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23515-2024</t>
        </is>
      </c>
      <c r="B3666" s="1" t="n">
        <v>45453</v>
      </c>
      <c r="C3666" s="1" t="n">
        <v>45645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23551-2024</t>
        </is>
      </c>
      <c r="B3667" s="1" t="n">
        <v>45454</v>
      </c>
      <c r="C3667" s="1" t="n">
        <v>45645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23359-2024</t>
        </is>
      </c>
      <c r="B3668" s="1" t="n">
        <v>45453</v>
      </c>
      <c r="C3668" s="1" t="n">
        <v>45645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23590-2024</t>
        </is>
      </c>
      <c r="B3669" s="1" t="n">
        <v>45454</v>
      </c>
      <c r="C3669" s="1" t="n">
        <v>45645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23605-2024</t>
        </is>
      </c>
      <c r="B3670" s="1" t="n">
        <v>45454</v>
      </c>
      <c r="C3670" s="1" t="n">
        <v>45645</v>
      </c>
      <c r="D3670" t="inlineStr">
        <is>
          <t>VÄSTERNORRLANDS LÄN</t>
        </is>
      </c>
      <c r="E3670" t="inlineStr">
        <is>
          <t>ÖRNSKÖLDSVIK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23687-2024</t>
        </is>
      </c>
      <c r="B3671" s="1" t="n">
        <v>45454</v>
      </c>
      <c r="C3671" s="1" t="n">
        <v>45645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23685-2024</t>
        </is>
      </c>
      <c r="B3672" s="1" t="n">
        <v>45454</v>
      </c>
      <c r="C3672" s="1" t="n">
        <v>45645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23812-2024</t>
        </is>
      </c>
      <c r="B3673" s="1" t="n">
        <v>45455</v>
      </c>
      <c r="C3673" s="1" t="n">
        <v>45645</v>
      </c>
      <c r="D3673" t="inlineStr">
        <is>
          <t>VÄSTERNORRLANDS LÄN</t>
        </is>
      </c>
      <c r="E3673" t="inlineStr">
        <is>
          <t>ÖRNSKÖLDSVIK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23869-2024</t>
        </is>
      </c>
      <c r="B3674" s="1" t="n">
        <v>45455</v>
      </c>
      <c r="C3674" s="1" t="n">
        <v>45645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23960-2024</t>
        </is>
      </c>
      <c r="B3675" s="1" t="n">
        <v>45456</v>
      </c>
      <c r="C3675" s="1" t="n">
        <v>45645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24144-2024</t>
        </is>
      </c>
      <c r="B3676" s="1" t="n">
        <v>45456</v>
      </c>
      <c r="C3676" s="1" t="n">
        <v>45645</v>
      </c>
      <c r="D3676" t="inlineStr">
        <is>
          <t>VÄSTERNORRLANDS LÄN</t>
        </is>
      </c>
      <c r="E3676" t="inlineStr">
        <is>
          <t>ÖRNSKÖLDSVIK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24041-2024</t>
        </is>
      </c>
      <c r="B3677" s="1" t="n">
        <v>45456</v>
      </c>
      <c r="C3677" s="1" t="n">
        <v>45645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24070-2024</t>
        </is>
      </c>
      <c r="B3678" s="1" t="n">
        <v>45456</v>
      </c>
      <c r="C3678" s="1" t="n">
        <v>45645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24145-2024</t>
        </is>
      </c>
      <c r="B3679" s="1" t="n">
        <v>45456</v>
      </c>
      <c r="C3679" s="1" t="n">
        <v>45645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24165-2024</t>
        </is>
      </c>
      <c r="B3680" s="1" t="n">
        <v>45456</v>
      </c>
      <c r="C3680" s="1" t="n">
        <v>45645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24233-2024</t>
        </is>
      </c>
      <c r="B3681" s="1" t="n">
        <v>45457</v>
      </c>
      <c r="C3681" s="1" t="n">
        <v>45645</v>
      </c>
      <c r="D3681" t="inlineStr">
        <is>
          <t>VÄSTERNORRLANDS LÄN</t>
        </is>
      </c>
      <c r="E3681" t="inlineStr">
        <is>
          <t>ÖRNSKÖLDSVIK</t>
        </is>
      </c>
      <c r="G3681" t="n">
        <v>20.5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24237-2024</t>
        </is>
      </c>
      <c r="B3682" s="1" t="n">
        <v>45457</v>
      </c>
      <c r="C3682" s="1" t="n">
        <v>45645</v>
      </c>
      <c r="D3682" t="inlineStr">
        <is>
          <t>VÄSTERNORRLANDS LÄN</t>
        </is>
      </c>
      <c r="E3682" t="inlineStr">
        <is>
          <t>ÖRNSKÖLDSVIK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24277-2024</t>
        </is>
      </c>
      <c r="B3683" s="1" t="n">
        <v>45457</v>
      </c>
      <c r="C3683" s="1" t="n">
        <v>45645</v>
      </c>
      <c r="D3683" t="inlineStr">
        <is>
          <t>VÄSTERNORRLANDS LÄN</t>
        </is>
      </c>
      <c r="E3683" t="inlineStr">
        <is>
          <t>ÖRNSKÖLDSVIK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24405-2024</t>
        </is>
      </c>
      <c r="B3684" s="1" t="n">
        <v>45457</v>
      </c>
      <c r="C3684" s="1" t="n">
        <v>45645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24417-2024</t>
        </is>
      </c>
      <c r="B3685" s="1" t="n">
        <v>45457</v>
      </c>
      <c r="C3685" s="1" t="n">
        <v>45645</v>
      </c>
      <c r="D3685" t="inlineStr">
        <is>
          <t>VÄSTERNORRLANDS LÄN</t>
        </is>
      </c>
      <c r="E3685" t="inlineStr">
        <is>
          <t>ÖRNSKÖLDSVIK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24449-2024</t>
        </is>
      </c>
      <c r="B3686" s="1" t="n">
        <v>45458</v>
      </c>
      <c r="C3686" s="1" t="n">
        <v>45645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24324-2024</t>
        </is>
      </c>
      <c r="B3687" s="1" t="n">
        <v>45457</v>
      </c>
      <c r="C3687" s="1" t="n">
        <v>45645</v>
      </c>
      <c r="D3687" t="inlineStr">
        <is>
          <t>VÄSTERNORRLANDS LÄN</t>
        </is>
      </c>
      <c r="E3687" t="inlineStr">
        <is>
          <t>ÖRNSKÖLDSVIK</t>
        </is>
      </c>
      <c r="G3687" t="n">
        <v>6.9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24336-2024</t>
        </is>
      </c>
      <c r="B3688" s="1" t="n">
        <v>45457</v>
      </c>
      <c r="C3688" s="1" t="n">
        <v>45645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24416-2024</t>
        </is>
      </c>
      <c r="B3689" s="1" t="n">
        <v>45457</v>
      </c>
      <c r="C3689" s="1" t="n">
        <v>45645</v>
      </c>
      <c r="D3689" t="inlineStr">
        <is>
          <t>VÄSTERNORRLANDS LÄN</t>
        </is>
      </c>
      <c r="E3689" t="inlineStr">
        <is>
          <t>ÖRNSKÖLDSVIK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24448-2024</t>
        </is>
      </c>
      <c r="B3690" s="1" t="n">
        <v>45458</v>
      </c>
      <c r="C3690" s="1" t="n">
        <v>45645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24299-2024</t>
        </is>
      </c>
      <c r="B3691" s="1" t="n">
        <v>45457</v>
      </c>
      <c r="C3691" s="1" t="n">
        <v>45645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24754-2024</t>
        </is>
      </c>
      <c r="B3692" s="1" t="n">
        <v>45460</v>
      </c>
      <c r="C3692" s="1" t="n">
        <v>45645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24762-2024</t>
        </is>
      </c>
      <c r="B3693" s="1" t="n">
        <v>45460</v>
      </c>
      <c r="C3693" s="1" t="n">
        <v>45645</v>
      </c>
      <c r="D3693" t="inlineStr">
        <is>
          <t>VÄSTERNORRLANDS LÄN</t>
        </is>
      </c>
      <c r="E3693" t="inlineStr">
        <is>
          <t>ÖRNSKÖLDSVIK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24729-2024</t>
        </is>
      </c>
      <c r="B3694" s="1" t="n">
        <v>45460</v>
      </c>
      <c r="C3694" s="1" t="n">
        <v>45645</v>
      </c>
      <c r="D3694" t="inlineStr">
        <is>
          <t>VÄSTERNORRLANDS LÄN</t>
        </is>
      </c>
      <c r="E3694" t="inlineStr">
        <is>
          <t>ÖRNSKÖLDSVIK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24751-2024</t>
        </is>
      </c>
      <c r="B3695" s="1" t="n">
        <v>45460</v>
      </c>
      <c r="C3695" s="1" t="n">
        <v>45645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24808-2024</t>
        </is>
      </c>
      <c r="B3696" s="1" t="n">
        <v>45461</v>
      </c>
      <c r="C3696" s="1" t="n">
        <v>45645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24661-2024</t>
        </is>
      </c>
      <c r="B3697" s="1" t="n">
        <v>45460</v>
      </c>
      <c r="C3697" s="1" t="n">
        <v>45645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24997-2024</t>
        </is>
      </c>
      <c r="B3698" s="1" t="n">
        <v>45461</v>
      </c>
      <c r="C3698" s="1" t="n">
        <v>45645</v>
      </c>
      <c r="D3698" t="inlineStr">
        <is>
          <t>VÄSTERNORRLANDS LÄN</t>
        </is>
      </c>
      <c r="E3698" t="inlineStr">
        <is>
          <t>ÖRNSKÖLDSVIK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25001-2024</t>
        </is>
      </c>
      <c r="B3699" s="1" t="n">
        <v>45461</v>
      </c>
      <c r="C3699" s="1" t="n">
        <v>45645</v>
      </c>
      <c r="D3699" t="inlineStr">
        <is>
          <t>VÄSTERNORRLANDS LÄN</t>
        </is>
      </c>
      <c r="E3699" t="inlineStr">
        <is>
          <t>ÖRNSKÖLDSVIK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24897-2024</t>
        </is>
      </c>
      <c r="B3700" s="1" t="n">
        <v>45461</v>
      </c>
      <c r="C3700" s="1" t="n">
        <v>45645</v>
      </c>
      <c r="D3700" t="inlineStr">
        <is>
          <t>VÄSTERNORRLANDS LÄN</t>
        </is>
      </c>
      <c r="E3700" t="inlineStr">
        <is>
          <t>ÖRNSKÖLDSVIK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25002-2024</t>
        </is>
      </c>
      <c r="B3701" s="1" t="n">
        <v>45461</v>
      </c>
      <c r="C3701" s="1" t="n">
        <v>45645</v>
      </c>
      <c r="D3701" t="inlineStr">
        <is>
          <t>VÄSTERNORRLANDS LÄN</t>
        </is>
      </c>
      <c r="E3701" t="inlineStr">
        <is>
          <t>ÖRNSKÖLDSVIK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24996-2024</t>
        </is>
      </c>
      <c r="B3702" s="1" t="n">
        <v>45461</v>
      </c>
      <c r="C3702" s="1" t="n">
        <v>45645</v>
      </c>
      <c r="D3702" t="inlineStr">
        <is>
          <t>VÄSTERNORRLANDS LÄN</t>
        </is>
      </c>
      <c r="E3702" t="inlineStr">
        <is>
          <t>ÖRNSKÖLDSVIK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25000-2024</t>
        </is>
      </c>
      <c r="B3703" s="1" t="n">
        <v>45461</v>
      </c>
      <c r="C3703" s="1" t="n">
        <v>45645</v>
      </c>
      <c r="D3703" t="inlineStr">
        <is>
          <t>VÄSTERNORRLANDS LÄN</t>
        </is>
      </c>
      <c r="E3703" t="inlineStr">
        <is>
          <t>ÖRNSKÖLDSVIK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25278-2024</t>
        </is>
      </c>
      <c r="B3704" s="1" t="n">
        <v>45462</v>
      </c>
      <c r="C3704" s="1" t="n">
        <v>45645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25201-2024</t>
        </is>
      </c>
      <c r="B3705" s="1" t="n">
        <v>45462</v>
      </c>
      <c r="C3705" s="1" t="n">
        <v>45645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25189-2024</t>
        </is>
      </c>
      <c r="B3706" s="1" t="n">
        <v>45462</v>
      </c>
      <c r="C3706" s="1" t="n">
        <v>45645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25185-2024</t>
        </is>
      </c>
      <c r="B3707" s="1" t="n">
        <v>45462</v>
      </c>
      <c r="C3707" s="1" t="n">
        <v>45645</v>
      </c>
      <c r="D3707" t="inlineStr">
        <is>
          <t>VÄSTERNORRLANDS LÄN</t>
        </is>
      </c>
      <c r="E3707" t="inlineStr">
        <is>
          <t>ÖRNSKÖLDSVIK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25329-2024</t>
        </is>
      </c>
      <c r="B3708" s="1" t="n">
        <v>45462</v>
      </c>
      <c r="C3708" s="1" t="n">
        <v>45645</v>
      </c>
      <c r="D3708" t="inlineStr">
        <is>
          <t>VÄSTERNORRLANDS LÄN</t>
        </is>
      </c>
      <c r="E3708" t="inlineStr">
        <is>
          <t>ÖRNSKÖLDSVIK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25236-2024</t>
        </is>
      </c>
      <c r="B3709" s="1" t="n">
        <v>45462</v>
      </c>
      <c r="C3709" s="1" t="n">
        <v>45645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9.800000000000001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25192-2024</t>
        </is>
      </c>
      <c r="B3710" s="1" t="n">
        <v>45462</v>
      </c>
      <c r="C3710" s="1" t="n">
        <v>45645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25128-2024</t>
        </is>
      </c>
      <c r="B3711" s="1" t="n">
        <v>45462</v>
      </c>
      <c r="C3711" s="1" t="n">
        <v>45645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25097-2024</t>
        </is>
      </c>
      <c r="B3712" s="1" t="n">
        <v>45462</v>
      </c>
      <c r="C3712" s="1" t="n">
        <v>45645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25072-2024</t>
        </is>
      </c>
      <c r="B3713" s="1" t="n">
        <v>45462</v>
      </c>
      <c r="C3713" s="1" t="n">
        <v>45645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25068-2024</t>
        </is>
      </c>
      <c r="B3714" s="1" t="n">
        <v>45462</v>
      </c>
      <c r="C3714" s="1" t="n">
        <v>45645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25060-2024</t>
        </is>
      </c>
      <c r="B3715" s="1" t="n">
        <v>45462</v>
      </c>
      <c r="C3715" s="1" t="n">
        <v>45645</v>
      </c>
      <c r="D3715" t="inlineStr">
        <is>
          <t>VÄSTERNORRLANDS LÄN</t>
        </is>
      </c>
      <c r="E3715" t="inlineStr">
        <is>
          <t>ÖRNSKÖLDSVIK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25044-2024</t>
        </is>
      </c>
      <c r="B3716" s="1" t="n">
        <v>45462</v>
      </c>
      <c r="C3716" s="1" t="n">
        <v>45645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8.9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25246-2024</t>
        </is>
      </c>
      <c r="B3717" s="1" t="n">
        <v>45462</v>
      </c>
      <c r="C3717" s="1" t="n">
        <v>45645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25218-2024</t>
        </is>
      </c>
      <c r="B3718" s="1" t="n">
        <v>45462</v>
      </c>
      <c r="C3718" s="1" t="n">
        <v>45645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25186-2024</t>
        </is>
      </c>
      <c r="B3719" s="1" t="n">
        <v>45462</v>
      </c>
      <c r="C3719" s="1" t="n">
        <v>45645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25138-2024</t>
        </is>
      </c>
      <c r="B3720" s="1" t="n">
        <v>45462</v>
      </c>
      <c r="C3720" s="1" t="n">
        <v>45645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25130-2024</t>
        </is>
      </c>
      <c r="B3721" s="1" t="n">
        <v>45462</v>
      </c>
      <c r="C3721" s="1" t="n">
        <v>45645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25107-2024</t>
        </is>
      </c>
      <c r="B3722" s="1" t="n">
        <v>45462</v>
      </c>
      <c r="C3722" s="1" t="n">
        <v>45645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25065-2024</t>
        </is>
      </c>
      <c r="B3723" s="1" t="n">
        <v>45462</v>
      </c>
      <c r="C3723" s="1" t="n">
        <v>45645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25061-2024</t>
        </is>
      </c>
      <c r="B3724" s="1" t="n">
        <v>45462</v>
      </c>
      <c r="C3724" s="1" t="n">
        <v>45645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25062-2024</t>
        </is>
      </c>
      <c r="B3725" s="1" t="n">
        <v>45462</v>
      </c>
      <c r="C3725" s="1" t="n">
        <v>45645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25050-2024</t>
        </is>
      </c>
      <c r="B3726" s="1" t="n">
        <v>45462</v>
      </c>
      <c r="C3726" s="1" t="n">
        <v>45645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25543-2024</t>
        </is>
      </c>
      <c r="B3727" s="1" t="n">
        <v>45463</v>
      </c>
      <c r="C3727" s="1" t="n">
        <v>45645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25508-2024</t>
        </is>
      </c>
      <c r="B3728" s="1" t="n">
        <v>45463</v>
      </c>
      <c r="C3728" s="1" t="n">
        <v>45645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25492-2024</t>
        </is>
      </c>
      <c r="B3729" s="1" t="n">
        <v>45463</v>
      </c>
      <c r="C3729" s="1" t="n">
        <v>45645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18.2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25424-2024</t>
        </is>
      </c>
      <c r="B3730" s="1" t="n">
        <v>45463</v>
      </c>
      <c r="C3730" s="1" t="n">
        <v>45645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25405-2024</t>
        </is>
      </c>
      <c r="B3731" s="1" t="n">
        <v>45463</v>
      </c>
      <c r="C3731" s="1" t="n">
        <v>45645</v>
      </c>
      <c r="D3731" t="inlineStr">
        <is>
          <t>VÄSTERNORRLANDS LÄN</t>
        </is>
      </c>
      <c r="E3731" t="inlineStr">
        <is>
          <t>ÖRNSKÖLDSVIK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25483-2024</t>
        </is>
      </c>
      <c r="B3732" s="1" t="n">
        <v>45463</v>
      </c>
      <c r="C3732" s="1" t="n">
        <v>45645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25481-2024</t>
        </is>
      </c>
      <c r="B3733" s="1" t="n">
        <v>45463</v>
      </c>
      <c r="C3733" s="1" t="n">
        <v>45645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25416-2024</t>
        </is>
      </c>
      <c r="B3734" s="1" t="n">
        <v>45463</v>
      </c>
      <c r="C3734" s="1" t="n">
        <v>45645</v>
      </c>
      <c r="D3734" t="inlineStr">
        <is>
          <t>VÄSTERNORRLANDS LÄN</t>
        </is>
      </c>
      <c r="E3734" t="inlineStr">
        <is>
          <t>ÖRNSKÖLDSVIK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25406-2024</t>
        </is>
      </c>
      <c r="B3735" s="1" t="n">
        <v>45463</v>
      </c>
      <c r="C3735" s="1" t="n">
        <v>45645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25926-2024</t>
        </is>
      </c>
      <c r="B3736" s="1" t="n">
        <v>45467</v>
      </c>
      <c r="C3736" s="1" t="n">
        <v>45645</v>
      </c>
      <c r="D3736" t="inlineStr">
        <is>
          <t>VÄSTERNORRLANDS LÄN</t>
        </is>
      </c>
      <c r="E3736" t="inlineStr">
        <is>
          <t>ÖRNSKÖLDSVIK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25920-2024</t>
        </is>
      </c>
      <c r="B3737" s="1" t="n">
        <v>45467</v>
      </c>
      <c r="C3737" s="1" t="n">
        <v>45645</v>
      </c>
      <c r="D3737" t="inlineStr">
        <is>
          <t>VÄSTERNORRLANDS LÄN</t>
        </is>
      </c>
      <c r="E3737" t="inlineStr">
        <is>
          <t>ÖRNSKÖLDSVIK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25888-2024</t>
        </is>
      </c>
      <c r="B3738" s="1" t="n">
        <v>45467</v>
      </c>
      <c r="C3738" s="1" t="n">
        <v>45645</v>
      </c>
      <c r="D3738" t="inlineStr">
        <is>
          <t>VÄSTERNORRLANDS LÄN</t>
        </is>
      </c>
      <c r="E3738" t="inlineStr">
        <is>
          <t>ÖRNSKÖLDSVIK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25965-2024</t>
        </is>
      </c>
      <c r="B3739" s="1" t="n">
        <v>45467</v>
      </c>
      <c r="C3739" s="1" t="n">
        <v>45645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25985-2024</t>
        </is>
      </c>
      <c r="B3740" s="1" t="n">
        <v>45467</v>
      </c>
      <c r="C3740" s="1" t="n">
        <v>45645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25986-2024</t>
        </is>
      </c>
      <c r="B3741" s="1" t="n">
        <v>45467</v>
      </c>
      <c r="C3741" s="1" t="n">
        <v>45645</v>
      </c>
      <c r="D3741" t="inlineStr">
        <is>
          <t>VÄSTERNORRLANDS LÄN</t>
        </is>
      </c>
      <c r="E3741" t="inlineStr">
        <is>
          <t>ÖRNSKÖLDSVIK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26050-2024</t>
        </is>
      </c>
      <c r="B3742" s="1" t="n">
        <v>45467</v>
      </c>
      <c r="C3742" s="1" t="n">
        <v>45645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26245-2024</t>
        </is>
      </c>
      <c r="B3743" s="1" t="n">
        <v>45468</v>
      </c>
      <c r="C3743" s="1" t="n">
        <v>45645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78.59999999999999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26263-2024</t>
        </is>
      </c>
      <c r="B3744" s="1" t="n">
        <v>45468</v>
      </c>
      <c r="C3744" s="1" t="n">
        <v>45645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26161-2024</t>
        </is>
      </c>
      <c r="B3745" s="1" t="n">
        <v>45468</v>
      </c>
      <c r="C3745" s="1" t="n">
        <v>45645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26097-2024</t>
        </is>
      </c>
      <c r="B3746" s="1" t="n">
        <v>45468</v>
      </c>
      <c r="C3746" s="1" t="n">
        <v>45645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26059-2024</t>
        </is>
      </c>
      <c r="B3747" s="1" t="n">
        <v>45468</v>
      </c>
      <c r="C3747" s="1" t="n">
        <v>45645</v>
      </c>
      <c r="D3747" t="inlineStr">
        <is>
          <t>VÄSTERNORRLANDS LÄN</t>
        </is>
      </c>
      <c r="E3747" t="inlineStr">
        <is>
          <t>ÖRNSKÖLDSVIK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26055-2024</t>
        </is>
      </c>
      <c r="B3748" s="1" t="n">
        <v>45468</v>
      </c>
      <c r="C3748" s="1" t="n">
        <v>45645</v>
      </c>
      <c r="D3748" t="inlineStr">
        <is>
          <t>VÄSTERNORRLANDS LÄN</t>
        </is>
      </c>
      <c r="E3748" t="inlineStr">
        <is>
          <t>ÖRNSKÖLDSVIK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26268-2024</t>
        </is>
      </c>
      <c r="B3749" s="1" t="n">
        <v>45468</v>
      </c>
      <c r="C3749" s="1" t="n">
        <v>45645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26069-2024</t>
        </is>
      </c>
      <c r="B3750" s="1" t="n">
        <v>45468</v>
      </c>
      <c r="C3750" s="1" t="n">
        <v>45645</v>
      </c>
      <c r="D3750" t="inlineStr">
        <is>
          <t>VÄSTERNORRLANDS LÄN</t>
        </is>
      </c>
      <c r="E3750" t="inlineStr">
        <is>
          <t>ÖRNSKÖLDSVIK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26064-2024</t>
        </is>
      </c>
      <c r="B3751" s="1" t="n">
        <v>45468</v>
      </c>
      <c r="C3751" s="1" t="n">
        <v>45645</v>
      </c>
      <c r="D3751" t="inlineStr">
        <is>
          <t>VÄSTERNORRLANDS LÄN</t>
        </is>
      </c>
      <c r="E3751" t="inlineStr">
        <is>
          <t>ÖRNSKÖLDSVIK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26052-2024</t>
        </is>
      </c>
      <c r="B3752" s="1" t="n">
        <v>45468</v>
      </c>
      <c r="C3752" s="1" t="n">
        <v>45645</v>
      </c>
      <c r="D3752" t="inlineStr">
        <is>
          <t>VÄSTERNORRLANDS LÄN</t>
        </is>
      </c>
      <c r="E3752" t="inlineStr">
        <is>
          <t>ÖRNSKÖLDSVIK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26065-2024</t>
        </is>
      </c>
      <c r="B3753" s="1" t="n">
        <v>45468</v>
      </c>
      <c r="C3753" s="1" t="n">
        <v>45645</v>
      </c>
      <c r="D3753" t="inlineStr">
        <is>
          <t>VÄSTERNORRLANDS LÄN</t>
        </is>
      </c>
      <c r="E3753" t="inlineStr">
        <is>
          <t>ÖRNSKÖLDSVIK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26363-2024</t>
        </is>
      </c>
      <c r="B3754" s="1" t="n">
        <v>45469</v>
      </c>
      <c r="C3754" s="1" t="n">
        <v>45645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26378-2024</t>
        </is>
      </c>
      <c r="B3755" s="1" t="n">
        <v>45469</v>
      </c>
      <c r="C3755" s="1" t="n">
        <v>45645</v>
      </c>
      <c r="D3755" t="inlineStr">
        <is>
          <t>VÄSTERNORRLANDS LÄN</t>
        </is>
      </c>
      <c r="E3755" t="inlineStr">
        <is>
          <t>ÖRNSKÖLDSVIK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26382-2024</t>
        </is>
      </c>
      <c r="B3756" s="1" t="n">
        <v>45469</v>
      </c>
      <c r="C3756" s="1" t="n">
        <v>45645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26395-2024</t>
        </is>
      </c>
      <c r="B3757" s="1" t="n">
        <v>45469</v>
      </c>
      <c r="C3757" s="1" t="n">
        <v>45645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26530-2024</t>
        </is>
      </c>
      <c r="B3758" s="1" t="n">
        <v>45469</v>
      </c>
      <c r="C3758" s="1" t="n">
        <v>45645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26566-2024</t>
        </is>
      </c>
      <c r="B3759" s="1" t="n">
        <v>45469</v>
      </c>
      <c r="C3759" s="1" t="n">
        <v>45645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26578-2024</t>
        </is>
      </c>
      <c r="B3760" s="1" t="n">
        <v>45469</v>
      </c>
      <c r="C3760" s="1" t="n">
        <v>45645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26590-2024</t>
        </is>
      </c>
      <c r="B3761" s="1" t="n">
        <v>45469</v>
      </c>
      <c r="C3761" s="1" t="n">
        <v>45645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26515-2024</t>
        </is>
      </c>
      <c r="B3762" s="1" t="n">
        <v>45469</v>
      </c>
      <c r="C3762" s="1" t="n">
        <v>45645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26433-2024</t>
        </is>
      </c>
      <c r="B3763" s="1" t="n">
        <v>45469</v>
      </c>
      <c r="C3763" s="1" t="n">
        <v>45645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26405-2024</t>
        </is>
      </c>
      <c r="B3764" s="1" t="n">
        <v>45469</v>
      </c>
      <c r="C3764" s="1" t="n">
        <v>45645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26392-2024</t>
        </is>
      </c>
      <c r="B3765" s="1" t="n">
        <v>45469</v>
      </c>
      <c r="C3765" s="1" t="n">
        <v>45645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26593-2024</t>
        </is>
      </c>
      <c r="B3766" s="1" t="n">
        <v>45469</v>
      </c>
      <c r="C3766" s="1" t="n">
        <v>45645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26466-2024</t>
        </is>
      </c>
      <c r="B3767" s="1" t="n">
        <v>45469</v>
      </c>
      <c r="C3767" s="1" t="n">
        <v>45645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26544-2024</t>
        </is>
      </c>
      <c r="B3768" s="1" t="n">
        <v>45469</v>
      </c>
      <c r="C3768" s="1" t="n">
        <v>45645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26846-2024</t>
        </is>
      </c>
      <c r="B3769" s="1" t="n">
        <v>45470</v>
      </c>
      <c r="C3769" s="1" t="n">
        <v>45645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26776-2024</t>
        </is>
      </c>
      <c r="B3770" s="1" t="n">
        <v>45470</v>
      </c>
      <c r="C3770" s="1" t="n">
        <v>45645</v>
      </c>
      <c r="D3770" t="inlineStr">
        <is>
          <t>VÄSTERNORRLANDS LÄN</t>
        </is>
      </c>
      <c r="E3770" t="inlineStr">
        <is>
          <t>ÖRNSKÖLDSVIK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26765-2024</t>
        </is>
      </c>
      <c r="B3771" s="1" t="n">
        <v>45470</v>
      </c>
      <c r="C3771" s="1" t="n">
        <v>45645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26761-2024</t>
        </is>
      </c>
      <c r="B3772" s="1" t="n">
        <v>45470</v>
      </c>
      <c r="C3772" s="1" t="n">
        <v>45645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26755-2024</t>
        </is>
      </c>
      <c r="B3773" s="1" t="n">
        <v>45470</v>
      </c>
      <c r="C3773" s="1" t="n">
        <v>45645</v>
      </c>
      <c r="D3773" t="inlineStr">
        <is>
          <t>VÄSTERNORRLANDS LÄN</t>
        </is>
      </c>
      <c r="E3773" t="inlineStr">
        <is>
          <t>ÖRNSKÖLDSVIK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26895-2024</t>
        </is>
      </c>
      <c r="B3774" s="1" t="n">
        <v>45470</v>
      </c>
      <c r="C3774" s="1" t="n">
        <v>45645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26851-2024</t>
        </is>
      </c>
      <c r="B3775" s="1" t="n">
        <v>45470</v>
      </c>
      <c r="C3775" s="1" t="n">
        <v>45645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26762-2024</t>
        </is>
      </c>
      <c r="B3776" s="1" t="n">
        <v>45470</v>
      </c>
      <c r="C3776" s="1" t="n">
        <v>45645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26706-2024</t>
        </is>
      </c>
      <c r="B3777" s="1" t="n">
        <v>45470</v>
      </c>
      <c r="C3777" s="1" t="n">
        <v>45645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26965-2024</t>
        </is>
      </c>
      <c r="B3778" s="1" t="n">
        <v>45471</v>
      </c>
      <c r="C3778" s="1" t="n">
        <v>45645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26775-2024</t>
        </is>
      </c>
      <c r="B3779" s="1" t="n">
        <v>45470</v>
      </c>
      <c r="C3779" s="1" t="n">
        <v>45645</v>
      </c>
      <c r="D3779" t="inlineStr">
        <is>
          <t>VÄSTERNORRLANDS LÄN</t>
        </is>
      </c>
      <c r="E3779" t="inlineStr">
        <is>
          <t>ÖRNSKÖLDSVIK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26740-2024</t>
        </is>
      </c>
      <c r="B3780" s="1" t="n">
        <v>45470</v>
      </c>
      <c r="C3780" s="1" t="n">
        <v>45645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26723-2024</t>
        </is>
      </c>
      <c r="B3781" s="1" t="n">
        <v>45470</v>
      </c>
      <c r="C3781" s="1" t="n">
        <v>45645</v>
      </c>
      <c r="D3781" t="inlineStr">
        <is>
          <t>VÄSTERNORRLANDS LÄN</t>
        </is>
      </c>
      <c r="E3781" t="inlineStr">
        <is>
          <t>ÖRNSKÖLDSVIK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27049-2024</t>
        </is>
      </c>
      <c r="B3782" s="1" t="n">
        <v>45471</v>
      </c>
      <c r="C3782" s="1" t="n">
        <v>45645</v>
      </c>
      <c r="D3782" t="inlineStr">
        <is>
          <t>VÄSTERNORRLANDS LÄN</t>
        </is>
      </c>
      <c r="E3782" t="inlineStr">
        <is>
          <t>ÖRNSKÖLDSVIK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27034-2024</t>
        </is>
      </c>
      <c r="B3783" s="1" t="n">
        <v>45471</v>
      </c>
      <c r="C3783" s="1" t="n">
        <v>45645</v>
      </c>
      <c r="D3783" t="inlineStr">
        <is>
          <t>VÄSTERNORRLANDS LÄN</t>
        </is>
      </c>
      <c r="E3783" t="inlineStr">
        <is>
          <t>ÖRNSKÖLDSVIK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27137-2024</t>
        </is>
      </c>
      <c r="B3784" s="1" t="n">
        <v>45471</v>
      </c>
      <c r="C3784" s="1" t="n">
        <v>45645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26981-2024</t>
        </is>
      </c>
      <c r="B3785" s="1" t="n">
        <v>45471</v>
      </c>
      <c r="C3785" s="1" t="n">
        <v>45645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27003-2024</t>
        </is>
      </c>
      <c r="B3786" s="1" t="n">
        <v>45471</v>
      </c>
      <c r="C3786" s="1" t="n">
        <v>45645</v>
      </c>
      <c r="D3786" t="inlineStr">
        <is>
          <t>VÄSTERNORRLANDS LÄN</t>
        </is>
      </c>
      <c r="E3786" t="inlineStr">
        <is>
          <t>ÖRNSKÖLDSVIK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27148-2024</t>
        </is>
      </c>
      <c r="B3787" s="1" t="n">
        <v>45471</v>
      </c>
      <c r="C3787" s="1" t="n">
        <v>45645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27236-2024</t>
        </is>
      </c>
      <c r="B3788" s="1" t="n">
        <v>45471</v>
      </c>
      <c r="C3788" s="1" t="n">
        <v>45645</v>
      </c>
      <c r="D3788" t="inlineStr">
        <is>
          <t>VÄSTERNORRLANDS LÄN</t>
        </is>
      </c>
      <c r="E3788" t="inlineStr">
        <is>
          <t>ÖRNSKÖLDSVIK</t>
        </is>
      </c>
      <c r="G3788" t="n">
        <v>24.2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27225-2024</t>
        </is>
      </c>
      <c r="B3789" s="1" t="n">
        <v>45471</v>
      </c>
      <c r="C3789" s="1" t="n">
        <v>45645</v>
      </c>
      <c r="D3789" t="inlineStr">
        <is>
          <t>VÄSTERNORRLANDS LÄN</t>
        </is>
      </c>
      <c r="E3789" t="inlineStr">
        <is>
          <t>ÖRNSKÖLDSVIK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27214-2024</t>
        </is>
      </c>
      <c r="B3790" s="1" t="n">
        <v>45471</v>
      </c>
      <c r="C3790" s="1" t="n">
        <v>45645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27217-2024</t>
        </is>
      </c>
      <c r="B3791" s="1" t="n">
        <v>45471</v>
      </c>
      <c r="C3791" s="1" t="n">
        <v>45645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27041-2024</t>
        </is>
      </c>
      <c r="B3792" s="1" t="n">
        <v>45471</v>
      </c>
      <c r="C3792" s="1" t="n">
        <v>45645</v>
      </c>
      <c r="D3792" t="inlineStr">
        <is>
          <t>VÄSTERNORRLANDS LÄN</t>
        </is>
      </c>
      <c r="E3792" t="inlineStr">
        <is>
          <t>ÖRNSKÖLDSVIK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26987-2024</t>
        </is>
      </c>
      <c r="B3793" s="1" t="n">
        <v>45471</v>
      </c>
      <c r="C3793" s="1" t="n">
        <v>45645</v>
      </c>
      <c r="D3793" t="inlineStr">
        <is>
          <t>VÄSTERNORRLANDS LÄN</t>
        </is>
      </c>
      <c r="E3793" t="inlineStr">
        <is>
          <t>ÖRNSKÖLDSVIK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26979-2024</t>
        </is>
      </c>
      <c r="B3794" s="1" t="n">
        <v>45471</v>
      </c>
      <c r="C3794" s="1" t="n">
        <v>45645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26971-2024</t>
        </is>
      </c>
      <c r="B3795" s="1" t="n">
        <v>45471</v>
      </c>
      <c r="C3795" s="1" t="n">
        <v>45645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26966-2024</t>
        </is>
      </c>
      <c r="B3796" s="1" t="n">
        <v>45471</v>
      </c>
      <c r="C3796" s="1" t="n">
        <v>45645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27084-2024</t>
        </is>
      </c>
      <c r="B3797" s="1" t="n">
        <v>45471</v>
      </c>
      <c r="C3797" s="1" t="n">
        <v>45645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27072-2024</t>
        </is>
      </c>
      <c r="B3798" s="1" t="n">
        <v>45471</v>
      </c>
      <c r="C3798" s="1" t="n">
        <v>45645</v>
      </c>
      <c r="D3798" t="inlineStr">
        <is>
          <t>VÄSTERNORRLANDS LÄN</t>
        </is>
      </c>
      <c r="E3798" t="inlineStr">
        <is>
          <t>ÖRNSKÖLDSVIK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27010-2024</t>
        </is>
      </c>
      <c r="B3799" s="1" t="n">
        <v>45471</v>
      </c>
      <c r="C3799" s="1" t="n">
        <v>45645</v>
      </c>
      <c r="D3799" t="inlineStr">
        <is>
          <t>VÄSTERNORRLANDS LÄN</t>
        </is>
      </c>
      <c r="E3799" t="inlineStr">
        <is>
          <t>ÖRNSKÖLDSVIK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26967-2024</t>
        </is>
      </c>
      <c r="B3800" s="1" t="n">
        <v>45471</v>
      </c>
      <c r="C3800" s="1" t="n">
        <v>45645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27414-2024</t>
        </is>
      </c>
      <c r="B3801" s="1" t="n">
        <v>45473</v>
      </c>
      <c r="C3801" s="1" t="n">
        <v>45645</v>
      </c>
      <c r="D3801" t="inlineStr">
        <is>
          <t>VÄSTERNORRLANDS LÄN</t>
        </is>
      </c>
      <c r="E3801" t="inlineStr">
        <is>
          <t>ÖRNSKÖLDSVIK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27395-2024</t>
        </is>
      </c>
      <c r="B3802" s="1" t="n">
        <v>45474</v>
      </c>
      <c r="C3802" s="1" t="n">
        <v>45645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27536-2024</t>
        </is>
      </c>
      <c r="B3803" s="1" t="n">
        <v>45474</v>
      </c>
      <c r="C3803" s="1" t="n">
        <v>45645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27394-2024</t>
        </is>
      </c>
      <c r="B3804" s="1" t="n">
        <v>45474</v>
      </c>
      <c r="C3804" s="1" t="n">
        <v>45645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27407-2024</t>
        </is>
      </c>
      <c r="B3805" s="1" t="n">
        <v>45474</v>
      </c>
      <c r="C3805" s="1" t="n">
        <v>45645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27531-2024</t>
        </is>
      </c>
      <c r="B3806" s="1" t="n">
        <v>45474</v>
      </c>
      <c r="C3806" s="1" t="n">
        <v>45645</v>
      </c>
      <c r="D3806" t="inlineStr">
        <is>
          <t>VÄSTERNORRLANDS LÄN</t>
        </is>
      </c>
      <c r="E3806" t="inlineStr">
        <is>
          <t>ÖRNSKÖLDSVIK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27539-2024</t>
        </is>
      </c>
      <c r="B3807" s="1" t="n">
        <v>45474</v>
      </c>
      <c r="C3807" s="1" t="n">
        <v>45645</v>
      </c>
      <c r="D3807" t="inlineStr">
        <is>
          <t>VÄSTERNORRLANDS LÄN</t>
        </is>
      </c>
      <c r="E3807" t="inlineStr">
        <is>
          <t>ÖRNSKÖLDSVIK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27567-2024</t>
        </is>
      </c>
      <c r="B3808" s="1" t="n">
        <v>45474</v>
      </c>
      <c r="C3808" s="1" t="n">
        <v>45645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27599-2024</t>
        </is>
      </c>
      <c r="B3809" s="1" t="n">
        <v>45474</v>
      </c>
      <c r="C3809" s="1" t="n">
        <v>45645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27562-2024</t>
        </is>
      </c>
      <c r="B3810" s="1" t="n">
        <v>45474</v>
      </c>
      <c r="C3810" s="1" t="n">
        <v>45645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27572-2024</t>
        </is>
      </c>
      <c r="B3811" s="1" t="n">
        <v>45474</v>
      </c>
      <c r="C3811" s="1" t="n">
        <v>45645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27485-2024</t>
        </is>
      </c>
      <c r="B3812" s="1" t="n">
        <v>45474</v>
      </c>
      <c r="C3812" s="1" t="n">
        <v>45645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27684-2024</t>
        </is>
      </c>
      <c r="B3813" s="1" t="n">
        <v>45475</v>
      </c>
      <c r="C3813" s="1" t="n">
        <v>45645</v>
      </c>
      <c r="D3813" t="inlineStr">
        <is>
          <t>VÄSTERNORRLANDS LÄN</t>
        </is>
      </c>
      <c r="E3813" t="inlineStr">
        <is>
          <t>ÖRNSKÖLDSVIK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27703-2024</t>
        </is>
      </c>
      <c r="B3814" s="1" t="n">
        <v>45475</v>
      </c>
      <c r="C3814" s="1" t="n">
        <v>45645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27854-2024</t>
        </is>
      </c>
      <c r="B3815" s="1" t="n">
        <v>45475</v>
      </c>
      <c r="C3815" s="1" t="n">
        <v>45645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27766-2024</t>
        </is>
      </c>
      <c r="B3816" s="1" t="n">
        <v>45475</v>
      </c>
      <c r="C3816" s="1" t="n">
        <v>45645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27458-2024</t>
        </is>
      </c>
      <c r="B3817" s="1" t="n">
        <v>45475</v>
      </c>
      <c r="C3817" s="1" t="n">
        <v>45645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27800-2024</t>
        </is>
      </c>
      <c r="B3818" s="1" t="n">
        <v>45475</v>
      </c>
      <c r="C3818" s="1" t="n">
        <v>45645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27860-2024</t>
        </is>
      </c>
      <c r="B3819" s="1" t="n">
        <v>45475</v>
      </c>
      <c r="C3819" s="1" t="n">
        <v>45645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27849-2024</t>
        </is>
      </c>
      <c r="B3820" s="1" t="n">
        <v>45475</v>
      </c>
      <c r="C3820" s="1" t="n">
        <v>45645</v>
      </c>
      <c r="D3820" t="inlineStr">
        <is>
          <t>VÄSTERNORRLANDS LÄN</t>
        </is>
      </c>
      <c r="E3820" t="inlineStr">
        <is>
          <t>ÖRNSKÖLDSVIK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27785-2024</t>
        </is>
      </c>
      <c r="B3821" s="1" t="n">
        <v>45475</v>
      </c>
      <c r="C3821" s="1" t="n">
        <v>45645</v>
      </c>
      <c r="D3821" t="inlineStr">
        <is>
          <t>VÄSTERNORRLANDS LÄN</t>
        </is>
      </c>
      <c r="E3821" t="inlineStr">
        <is>
          <t>ÖRNSKÖLDSVIK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27765-2024</t>
        </is>
      </c>
      <c r="B3822" s="1" t="n">
        <v>45475</v>
      </c>
      <c r="C3822" s="1" t="n">
        <v>45645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27741-2024</t>
        </is>
      </c>
      <c r="B3823" s="1" t="n">
        <v>45475</v>
      </c>
      <c r="C3823" s="1" t="n">
        <v>45645</v>
      </c>
      <c r="D3823" t="inlineStr">
        <is>
          <t>VÄSTERNORRLANDS LÄN</t>
        </is>
      </c>
      <c r="E3823" t="inlineStr">
        <is>
          <t>ÖRNSKÖLDSVIK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27755-2024</t>
        </is>
      </c>
      <c r="B3824" s="1" t="n">
        <v>45475</v>
      </c>
      <c r="C3824" s="1" t="n">
        <v>45645</v>
      </c>
      <c r="D3824" t="inlineStr">
        <is>
          <t>VÄSTERNORRLANDS LÄN</t>
        </is>
      </c>
      <c r="E3824" t="inlineStr">
        <is>
          <t>ÖRNSKÖLDSVIK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27803-2024</t>
        </is>
      </c>
      <c r="B3825" s="1" t="n">
        <v>45475</v>
      </c>
      <c r="C3825" s="1" t="n">
        <v>45645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27807-2024</t>
        </is>
      </c>
      <c r="B3826" s="1" t="n">
        <v>45475</v>
      </c>
      <c r="C3826" s="1" t="n">
        <v>45645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28062-2024</t>
        </is>
      </c>
      <c r="B3827" s="1" t="n">
        <v>45476</v>
      </c>
      <c r="C3827" s="1" t="n">
        <v>45645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28167-2024</t>
        </is>
      </c>
      <c r="B3828" s="1" t="n">
        <v>45477</v>
      </c>
      <c r="C3828" s="1" t="n">
        <v>45645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28168-2024</t>
        </is>
      </c>
      <c r="B3829" s="1" t="n">
        <v>45477</v>
      </c>
      <c r="C3829" s="1" t="n">
        <v>45645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28136-2024</t>
        </is>
      </c>
      <c r="B3830" s="1" t="n">
        <v>45476</v>
      </c>
      <c r="C3830" s="1" t="n">
        <v>45645</v>
      </c>
      <c r="D3830" t="inlineStr">
        <is>
          <t>VÄSTERNORRLANDS LÄN</t>
        </is>
      </c>
      <c r="E3830" t="inlineStr">
        <is>
          <t>ÖRNSKÖLDSVIK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28169-2024</t>
        </is>
      </c>
      <c r="B3831" s="1" t="n">
        <v>45477</v>
      </c>
      <c r="C3831" s="1" t="n">
        <v>45645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27938-2024</t>
        </is>
      </c>
      <c r="B3832" s="1" t="n">
        <v>45476</v>
      </c>
      <c r="C3832" s="1" t="n">
        <v>45645</v>
      </c>
      <c r="D3832" t="inlineStr">
        <is>
          <t>VÄSTERNORRLANDS LÄN</t>
        </is>
      </c>
      <c r="E3832" t="inlineStr">
        <is>
          <t>ÖRNSKÖLDSVIK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27972-2024</t>
        </is>
      </c>
      <c r="B3833" s="1" t="n">
        <v>45476</v>
      </c>
      <c r="C3833" s="1" t="n">
        <v>45645</v>
      </c>
      <c r="D3833" t="inlineStr">
        <is>
          <t>VÄSTERNORRLANDS LÄN</t>
        </is>
      </c>
      <c r="E3833" t="inlineStr">
        <is>
          <t>ÖRNSKÖLDSVIK</t>
        </is>
      </c>
      <c r="G3833" t="n">
        <v>5.9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27948-2024</t>
        </is>
      </c>
      <c r="B3834" s="1" t="n">
        <v>45476</v>
      </c>
      <c r="C3834" s="1" t="n">
        <v>45645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28432-2024</t>
        </is>
      </c>
      <c r="B3835" s="1" t="n">
        <v>45477</v>
      </c>
      <c r="C3835" s="1" t="n">
        <v>45645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28339-2024</t>
        </is>
      </c>
      <c r="B3836" s="1" t="n">
        <v>45477</v>
      </c>
      <c r="C3836" s="1" t="n">
        <v>45645</v>
      </c>
      <c r="D3836" t="inlineStr">
        <is>
          <t>VÄSTERNORRLANDS LÄN</t>
        </is>
      </c>
      <c r="E3836" t="inlineStr">
        <is>
          <t>ÖRNSKÖLDSVIK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28423-2024</t>
        </is>
      </c>
      <c r="B3837" s="1" t="n">
        <v>45477</v>
      </c>
      <c r="C3837" s="1" t="n">
        <v>45645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28382-2024</t>
        </is>
      </c>
      <c r="B3838" s="1" t="n">
        <v>45477</v>
      </c>
      <c r="C3838" s="1" t="n">
        <v>45645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28281-2024</t>
        </is>
      </c>
      <c r="B3839" s="1" t="n">
        <v>45477</v>
      </c>
      <c r="C3839" s="1" t="n">
        <v>45645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28337-2024</t>
        </is>
      </c>
      <c r="B3840" s="1" t="n">
        <v>45477</v>
      </c>
      <c r="C3840" s="1" t="n">
        <v>45645</v>
      </c>
      <c r="D3840" t="inlineStr">
        <is>
          <t>VÄSTERNORRLANDS LÄN</t>
        </is>
      </c>
      <c r="E3840" t="inlineStr">
        <is>
          <t>ÖRNSKÖLDSVIK</t>
        </is>
      </c>
      <c r="G3840" t="n">
        <v>10.7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28338-2024</t>
        </is>
      </c>
      <c r="B3841" s="1" t="n">
        <v>45477</v>
      </c>
      <c r="C3841" s="1" t="n">
        <v>45645</v>
      </c>
      <c r="D3841" t="inlineStr">
        <is>
          <t>VÄSTERNORRLANDS LÄN</t>
        </is>
      </c>
      <c r="E3841" t="inlineStr">
        <is>
          <t>ÖRNSKÖLDSVIK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28334-2024</t>
        </is>
      </c>
      <c r="B3842" s="1" t="n">
        <v>45477</v>
      </c>
      <c r="C3842" s="1" t="n">
        <v>45645</v>
      </c>
      <c r="D3842" t="inlineStr">
        <is>
          <t>VÄSTERNORRLANDS LÄN</t>
        </is>
      </c>
      <c r="E3842" t="inlineStr">
        <is>
          <t>ÖRNSKÖLDSVIK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28462-2024</t>
        </is>
      </c>
      <c r="B3843" s="1" t="n">
        <v>45477</v>
      </c>
      <c r="C3843" s="1" t="n">
        <v>45645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28438-2024</t>
        </is>
      </c>
      <c r="B3844" s="1" t="n">
        <v>45477</v>
      </c>
      <c r="C3844" s="1" t="n">
        <v>45645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28182-2024</t>
        </is>
      </c>
      <c r="B3845" s="1" t="n">
        <v>45477</v>
      </c>
      <c r="C3845" s="1" t="n">
        <v>45645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9.699999999999999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28195-2024</t>
        </is>
      </c>
      <c r="B3846" s="1" t="n">
        <v>45477</v>
      </c>
      <c r="C3846" s="1" t="n">
        <v>45645</v>
      </c>
      <c r="D3846" t="inlineStr">
        <is>
          <t>VÄSTERNORRLANDS LÄN</t>
        </is>
      </c>
      <c r="E3846" t="inlineStr">
        <is>
          <t>ÖRNSKÖLDSVIK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28336-2024</t>
        </is>
      </c>
      <c r="B3847" s="1" t="n">
        <v>45477</v>
      </c>
      <c r="C3847" s="1" t="n">
        <v>45645</v>
      </c>
      <c r="D3847" t="inlineStr">
        <is>
          <t>VÄSTERNORRLANDS LÄN</t>
        </is>
      </c>
      <c r="E3847" t="inlineStr">
        <is>
          <t>ÖRNSKÖLDSVIK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28312-2024</t>
        </is>
      </c>
      <c r="B3848" s="1" t="n">
        <v>45477</v>
      </c>
      <c r="C3848" s="1" t="n">
        <v>45645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28240-2024</t>
        </is>
      </c>
      <c r="B3849" s="1" t="n">
        <v>45477</v>
      </c>
      <c r="C3849" s="1" t="n">
        <v>45645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28202-2024</t>
        </is>
      </c>
      <c r="B3850" s="1" t="n">
        <v>45477</v>
      </c>
      <c r="C3850" s="1" t="n">
        <v>45645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28547-2024</t>
        </is>
      </c>
      <c r="B3851" s="1" t="n">
        <v>45478</v>
      </c>
      <c r="C3851" s="1" t="n">
        <v>45645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28567-2024</t>
        </is>
      </c>
      <c r="B3852" s="1" t="n">
        <v>45478</v>
      </c>
      <c r="C3852" s="1" t="n">
        <v>45645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28623-2024</t>
        </is>
      </c>
      <c r="B3853" s="1" t="n">
        <v>45478</v>
      </c>
      <c r="C3853" s="1" t="n">
        <v>45645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28546-2024</t>
        </is>
      </c>
      <c r="B3854" s="1" t="n">
        <v>45478</v>
      </c>
      <c r="C3854" s="1" t="n">
        <v>45645</v>
      </c>
      <c r="D3854" t="inlineStr">
        <is>
          <t>VÄSTERNORRLANDS LÄN</t>
        </is>
      </c>
      <c r="E3854" t="inlineStr">
        <is>
          <t>ÖRNSKÖLDSVIK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28558-2024</t>
        </is>
      </c>
      <c r="B3855" s="1" t="n">
        <v>45478</v>
      </c>
      <c r="C3855" s="1" t="n">
        <v>45645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28618-2024</t>
        </is>
      </c>
      <c r="B3856" s="1" t="n">
        <v>45478</v>
      </c>
      <c r="C3856" s="1" t="n">
        <v>45645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28659-2024</t>
        </is>
      </c>
      <c r="B3857" s="1" t="n">
        <v>45478</v>
      </c>
      <c r="C3857" s="1" t="n">
        <v>45645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28671-2024</t>
        </is>
      </c>
      <c r="B3858" s="1" t="n">
        <v>45478</v>
      </c>
      <c r="C3858" s="1" t="n">
        <v>45645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28699-2024</t>
        </is>
      </c>
      <c r="B3859" s="1" t="n">
        <v>45478</v>
      </c>
      <c r="C3859" s="1" t="n">
        <v>45645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28557-2024</t>
        </is>
      </c>
      <c r="B3860" s="1" t="n">
        <v>45478</v>
      </c>
      <c r="C3860" s="1" t="n">
        <v>45645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28696-2024</t>
        </is>
      </c>
      <c r="B3861" s="1" t="n">
        <v>45478</v>
      </c>
      <c r="C3861" s="1" t="n">
        <v>45645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28548-2024</t>
        </is>
      </c>
      <c r="B3862" s="1" t="n">
        <v>45478</v>
      </c>
      <c r="C3862" s="1" t="n">
        <v>45645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28745-2024</t>
        </is>
      </c>
      <c r="B3863" s="1" t="n">
        <v>45478</v>
      </c>
      <c r="C3863" s="1" t="n">
        <v>45645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28596-2024</t>
        </is>
      </c>
      <c r="B3864" s="1" t="n">
        <v>45478</v>
      </c>
      <c r="C3864" s="1" t="n">
        <v>45645</v>
      </c>
      <c r="D3864" t="inlineStr">
        <is>
          <t>VÄSTERNORRLANDS LÄN</t>
        </is>
      </c>
      <c r="E3864" t="inlineStr">
        <is>
          <t>ÖRNSKÖLDSVIK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28789-2024</t>
        </is>
      </c>
      <c r="B3865" s="1" t="n">
        <v>45478</v>
      </c>
      <c r="C3865" s="1" t="n">
        <v>45645</v>
      </c>
      <c r="D3865" t="inlineStr">
        <is>
          <t>VÄSTERNORRLANDS LÄN</t>
        </is>
      </c>
      <c r="E3865" t="inlineStr">
        <is>
          <t>ÖRNSKÖLDSVIK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28677-2024</t>
        </is>
      </c>
      <c r="B3866" s="1" t="n">
        <v>45478</v>
      </c>
      <c r="C3866" s="1" t="n">
        <v>45645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28613-2024</t>
        </is>
      </c>
      <c r="B3867" s="1" t="n">
        <v>45478</v>
      </c>
      <c r="C3867" s="1" t="n">
        <v>45645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28711-2024</t>
        </is>
      </c>
      <c r="B3868" s="1" t="n">
        <v>45478</v>
      </c>
      <c r="C3868" s="1" t="n">
        <v>45645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28743-2024</t>
        </is>
      </c>
      <c r="B3869" s="1" t="n">
        <v>45478</v>
      </c>
      <c r="C3869" s="1" t="n">
        <v>45645</v>
      </c>
      <c r="D3869" t="inlineStr">
        <is>
          <t>VÄSTERNORRLANDS LÄN</t>
        </is>
      </c>
      <c r="E3869" t="inlineStr">
        <is>
          <t>ÖRNSKÖLDSVIK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28755-2024</t>
        </is>
      </c>
      <c r="B3870" s="1" t="n">
        <v>45478</v>
      </c>
      <c r="C3870" s="1" t="n">
        <v>45645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28763-2024</t>
        </is>
      </c>
      <c r="B3871" s="1" t="n">
        <v>45478</v>
      </c>
      <c r="C3871" s="1" t="n">
        <v>45645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28787-2024</t>
        </is>
      </c>
      <c r="B3872" s="1" t="n">
        <v>45478</v>
      </c>
      <c r="C3872" s="1" t="n">
        <v>45645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29073-2024</t>
        </is>
      </c>
      <c r="B3873" s="1" t="n">
        <v>45481</v>
      </c>
      <c r="C3873" s="1" t="n">
        <v>45645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29092-2024</t>
        </is>
      </c>
      <c r="B3874" s="1" t="n">
        <v>45482</v>
      </c>
      <c r="C3874" s="1" t="n">
        <v>45645</v>
      </c>
      <c r="D3874" t="inlineStr">
        <is>
          <t>VÄSTERNORRLANDS LÄN</t>
        </is>
      </c>
      <c r="E3874" t="inlineStr">
        <is>
          <t>ÖRNSKÖLDSVIK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29170-2024</t>
        </is>
      </c>
      <c r="B3875" s="1" t="n">
        <v>45482</v>
      </c>
      <c r="C3875" s="1" t="n">
        <v>45645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29179-2024</t>
        </is>
      </c>
      <c r="B3876" s="1" t="n">
        <v>45482</v>
      </c>
      <c r="C3876" s="1" t="n">
        <v>45645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29163-2024</t>
        </is>
      </c>
      <c r="B3877" s="1" t="n">
        <v>45482</v>
      </c>
      <c r="C3877" s="1" t="n">
        <v>45645</v>
      </c>
      <c r="D3877" t="inlineStr">
        <is>
          <t>VÄSTERNORRLANDS LÄN</t>
        </is>
      </c>
      <c r="E3877" t="inlineStr">
        <is>
          <t>ÖRNSKÖLDSVIK</t>
        </is>
      </c>
      <c r="G3877" t="n">
        <v>0.3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29241-2024</t>
        </is>
      </c>
      <c r="B3878" s="1" t="n">
        <v>45482</v>
      </c>
      <c r="C3878" s="1" t="n">
        <v>45645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SCA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29374-2024</t>
        </is>
      </c>
      <c r="B3879" s="1" t="n">
        <v>45483</v>
      </c>
      <c r="C3879" s="1" t="n">
        <v>45645</v>
      </c>
      <c r="D3879" t="inlineStr">
        <is>
          <t>VÄSTERNORRLANDS LÄN</t>
        </is>
      </c>
      <c r="E3879" t="inlineStr">
        <is>
          <t>ÖRNSKÖLDSVIK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29383-2024</t>
        </is>
      </c>
      <c r="B3880" s="1" t="n">
        <v>45483</v>
      </c>
      <c r="C3880" s="1" t="n">
        <v>45645</v>
      </c>
      <c r="D3880" t="inlineStr">
        <is>
          <t>VÄSTERNORRLANDS LÄN</t>
        </is>
      </c>
      <c r="E3880" t="inlineStr">
        <is>
          <t>ÖRNSKÖLDSVIK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29556-2024</t>
        </is>
      </c>
      <c r="B3881" s="1" t="n">
        <v>45484</v>
      </c>
      <c r="C3881" s="1" t="n">
        <v>45645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29810-2024</t>
        </is>
      </c>
      <c r="B3882" s="1" t="n">
        <v>45485</v>
      </c>
      <c r="C3882" s="1" t="n">
        <v>45645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30211-2024</t>
        </is>
      </c>
      <c r="B3883" s="1" t="n">
        <v>45488</v>
      </c>
      <c r="C3883" s="1" t="n">
        <v>45645</v>
      </c>
      <c r="D3883" t="inlineStr">
        <is>
          <t>VÄSTERNORRLANDS LÄN</t>
        </is>
      </c>
      <c r="E3883" t="inlineStr">
        <is>
          <t>ÖRNSKÖLDSVIK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30056-2024</t>
        </is>
      </c>
      <c r="B3884" s="1" t="n">
        <v>45489</v>
      </c>
      <c r="C3884" s="1" t="n">
        <v>45645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6.1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30209-2024</t>
        </is>
      </c>
      <c r="B3885" s="1" t="n">
        <v>45488</v>
      </c>
      <c r="C3885" s="1" t="n">
        <v>45645</v>
      </c>
      <c r="D3885" t="inlineStr">
        <is>
          <t>VÄSTERNORRLANDS LÄN</t>
        </is>
      </c>
      <c r="E3885" t="inlineStr">
        <is>
          <t>ÖRNSKÖLDSVIK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30207-2024</t>
        </is>
      </c>
      <c r="B3886" s="1" t="n">
        <v>45488</v>
      </c>
      <c r="C3886" s="1" t="n">
        <v>45645</v>
      </c>
      <c r="D3886" t="inlineStr">
        <is>
          <t>VÄSTERNORRLANDS LÄN</t>
        </is>
      </c>
      <c r="E3886" t="inlineStr">
        <is>
          <t>ÖRNSKÖLDSVIK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30118-2024</t>
        </is>
      </c>
      <c r="B3887" s="1" t="n">
        <v>45489</v>
      </c>
      <c r="C3887" s="1" t="n">
        <v>45645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30263-2024</t>
        </is>
      </c>
      <c r="B3888" s="1" t="n">
        <v>45489</v>
      </c>
      <c r="C3888" s="1" t="n">
        <v>45645</v>
      </c>
      <c r="D3888" t="inlineStr">
        <is>
          <t>VÄSTERNORRLANDS LÄN</t>
        </is>
      </c>
      <c r="E3888" t="inlineStr">
        <is>
          <t>ÖRNSKÖLDSVIK</t>
        </is>
      </c>
      <c r="G3888" t="n">
        <v>11.5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30233-2024</t>
        </is>
      </c>
      <c r="B3889" s="1" t="n">
        <v>45489</v>
      </c>
      <c r="C3889" s="1" t="n">
        <v>45645</v>
      </c>
      <c r="D3889" t="inlineStr">
        <is>
          <t>VÄSTERNORRLANDS LÄN</t>
        </is>
      </c>
      <c r="E3889" t="inlineStr">
        <is>
          <t>ÖRNSKÖLDSVIK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30230-2024</t>
        </is>
      </c>
      <c r="B3890" s="1" t="n">
        <v>45489</v>
      </c>
      <c r="C3890" s="1" t="n">
        <v>45645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30260-2024</t>
        </is>
      </c>
      <c r="B3891" s="1" t="n">
        <v>45489</v>
      </c>
      <c r="C3891" s="1" t="n">
        <v>45645</v>
      </c>
      <c r="D3891" t="inlineStr">
        <is>
          <t>VÄSTERNORRLANDS LÄN</t>
        </is>
      </c>
      <c r="E3891" t="inlineStr">
        <is>
          <t>ÖRNSKÖLDSVIK</t>
        </is>
      </c>
      <c r="G3891" t="n">
        <v>14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30237-2024</t>
        </is>
      </c>
      <c r="B3892" s="1" t="n">
        <v>45489</v>
      </c>
      <c r="C3892" s="1" t="n">
        <v>45645</v>
      </c>
      <c r="D3892" t="inlineStr">
        <is>
          <t>VÄSTERNORRLANDS LÄN</t>
        </is>
      </c>
      <c r="E3892" t="inlineStr">
        <is>
          <t>ÖRNSKÖLDSVIK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30226-2024</t>
        </is>
      </c>
      <c r="B3893" s="1" t="n">
        <v>45489</v>
      </c>
      <c r="C3893" s="1" t="n">
        <v>45645</v>
      </c>
      <c r="D3893" t="inlineStr">
        <is>
          <t>VÄSTERNORRLANDS LÄN</t>
        </is>
      </c>
      <c r="E3893" t="inlineStr">
        <is>
          <t>ÖRNSKÖLDSVIK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30258-2024</t>
        </is>
      </c>
      <c r="B3894" s="1" t="n">
        <v>45489</v>
      </c>
      <c r="C3894" s="1" t="n">
        <v>45645</v>
      </c>
      <c r="D3894" t="inlineStr">
        <is>
          <t>VÄSTERNORRLANDS LÄN</t>
        </is>
      </c>
      <c r="E3894" t="inlineStr">
        <is>
          <t>ÖRNSKÖLDSVIK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30349-2024</t>
        </is>
      </c>
      <c r="B3895" s="1" t="n">
        <v>45491</v>
      </c>
      <c r="C3895" s="1" t="n">
        <v>45645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30442-2024</t>
        </is>
      </c>
      <c r="B3896" s="1" t="n">
        <v>45491</v>
      </c>
      <c r="C3896" s="1" t="n">
        <v>45645</v>
      </c>
      <c r="D3896" t="inlineStr">
        <is>
          <t>VÄSTERNORRLANDS LÄN</t>
        </is>
      </c>
      <c r="E3896" t="inlineStr">
        <is>
          <t>ÖRNSKÖLDSVIK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30460-2024</t>
        </is>
      </c>
      <c r="B3897" s="1" t="n">
        <v>45492</v>
      </c>
      <c r="C3897" s="1" t="n">
        <v>45645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30459-2024</t>
        </is>
      </c>
      <c r="B3898" s="1" t="n">
        <v>45492</v>
      </c>
      <c r="C3898" s="1" t="n">
        <v>45645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30546-2024</t>
        </is>
      </c>
      <c r="B3899" s="1" t="n">
        <v>45492</v>
      </c>
      <c r="C3899" s="1" t="n">
        <v>45645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30542-2024</t>
        </is>
      </c>
      <c r="B3900" s="1" t="n">
        <v>45492</v>
      </c>
      <c r="C3900" s="1" t="n">
        <v>45645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30590-2024</t>
        </is>
      </c>
      <c r="B3901" s="1" t="n">
        <v>45493</v>
      </c>
      <c r="C3901" s="1" t="n">
        <v>45645</v>
      </c>
      <c r="D3901" t="inlineStr">
        <is>
          <t>VÄSTERNORRLANDS LÄN</t>
        </is>
      </c>
      <c r="E3901" t="inlineStr">
        <is>
          <t>ÖRNSKÖLDSVIK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30589-2024</t>
        </is>
      </c>
      <c r="B3902" s="1" t="n">
        <v>45493</v>
      </c>
      <c r="C3902" s="1" t="n">
        <v>45645</v>
      </c>
      <c r="D3902" t="inlineStr">
        <is>
          <t>VÄSTERNORRLANDS LÄN</t>
        </is>
      </c>
      <c r="E3902" t="inlineStr">
        <is>
          <t>ÖRNSKÖLDSVIK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30614-2024</t>
        </is>
      </c>
      <c r="B3903" s="1" t="n">
        <v>45495</v>
      </c>
      <c r="C3903" s="1" t="n">
        <v>45645</v>
      </c>
      <c r="D3903" t="inlineStr">
        <is>
          <t>VÄSTERNORRLANDS LÄN</t>
        </is>
      </c>
      <c r="E3903" t="inlineStr">
        <is>
          <t>ÖRNSKÖLDSVIK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30608-2024</t>
        </is>
      </c>
      <c r="B3904" s="1" t="n">
        <v>45495</v>
      </c>
      <c r="C3904" s="1" t="n">
        <v>45645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30868-2024</t>
        </is>
      </c>
      <c r="B3905" s="1" t="n">
        <v>45497</v>
      </c>
      <c r="C3905" s="1" t="n">
        <v>45645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30894-2024</t>
        </is>
      </c>
      <c r="B3906" s="1" t="n">
        <v>45498</v>
      </c>
      <c r="C3906" s="1" t="n">
        <v>45645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31081-2024</t>
        </is>
      </c>
      <c r="B3907" s="1" t="n">
        <v>45502</v>
      </c>
      <c r="C3907" s="1" t="n">
        <v>45645</v>
      </c>
      <c r="D3907" t="inlineStr">
        <is>
          <t>VÄSTERNORRLANDS LÄN</t>
        </is>
      </c>
      <c r="E3907" t="inlineStr">
        <is>
          <t>ÖRNSKÖLDSVIK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31282-2024</t>
        </is>
      </c>
      <c r="B3908" s="1" t="n">
        <v>45504</v>
      </c>
      <c r="C3908" s="1" t="n">
        <v>45645</v>
      </c>
      <c r="D3908" t="inlineStr">
        <is>
          <t>VÄSTERNORRLANDS LÄN</t>
        </is>
      </c>
      <c r="E3908" t="inlineStr">
        <is>
          <t>ÖRNSKÖLDSVIK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31347-2024</t>
        </is>
      </c>
      <c r="B3909" s="1" t="n">
        <v>45505</v>
      </c>
      <c r="C3909" s="1" t="n">
        <v>45645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31350-2024</t>
        </is>
      </c>
      <c r="B3910" s="1" t="n">
        <v>45505</v>
      </c>
      <c r="C3910" s="1" t="n">
        <v>45645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31348-2024</t>
        </is>
      </c>
      <c r="B3911" s="1" t="n">
        <v>45505</v>
      </c>
      <c r="C3911" s="1" t="n">
        <v>45645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31340-2024</t>
        </is>
      </c>
      <c r="B3912" s="1" t="n">
        <v>45504</v>
      </c>
      <c r="C3912" s="1" t="n">
        <v>45645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31345-2024</t>
        </is>
      </c>
      <c r="B3913" s="1" t="n">
        <v>45505</v>
      </c>
      <c r="C3913" s="1" t="n">
        <v>45645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31349-2024</t>
        </is>
      </c>
      <c r="B3914" s="1" t="n">
        <v>45505</v>
      </c>
      <c r="C3914" s="1" t="n">
        <v>45645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31334-2024</t>
        </is>
      </c>
      <c r="B3915" s="1" t="n">
        <v>45504</v>
      </c>
      <c r="C3915" s="1" t="n">
        <v>45645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31338-2024</t>
        </is>
      </c>
      <c r="B3916" s="1" t="n">
        <v>45504</v>
      </c>
      <c r="C3916" s="1" t="n">
        <v>45645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31346-2024</t>
        </is>
      </c>
      <c r="B3917" s="1" t="n">
        <v>45505</v>
      </c>
      <c r="C3917" s="1" t="n">
        <v>45645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31276-2024</t>
        </is>
      </c>
      <c r="B3918" s="1" t="n">
        <v>45504</v>
      </c>
      <c r="C3918" s="1" t="n">
        <v>45645</v>
      </c>
      <c r="D3918" t="inlineStr">
        <is>
          <t>VÄSTERNORRLANDS LÄN</t>
        </is>
      </c>
      <c r="E3918" t="inlineStr">
        <is>
          <t>ÖRNSKÖLDSVIK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31543-2024</t>
        </is>
      </c>
      <c r="B3919" s="1" t="n">
        <v>45505</v>
      </c>
      <c r="C3919" s="1" t="n">
        <v>45645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33.8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31419-2024</t>
        </is>
      </c>
      <c r="B3920" s="1" t="n">
        <v>45505</v>
      </c>
      <c r="C3920" s="1" t="n">
        <v>45645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31410-2024</t>
        </is>
      </c>
      <c r="B3921" s="1" t="n">
        <v>45505</v>
      </c>
      <c r="C3921" s="1" t="n">
        <v>45645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31540-2024</t>
        </is>
      </c>
      <c r="B3922" s="1" t="n">
        <v>45505</v>
      </c>
      <c r="C3922" s="1" t="n">
        <v>45645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31693-2024</t>
        </is>
      </c>
      <c r="B3923" s="1" t="n">
        <v>45508</v>
      </c>
      <c r="C3923" s="1" t="n">
        <v>45645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8.9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31769-2024</t>
        </is>
      </c>
      <c r="B3924" s="1" t="n">
        <v>45509</v>
      </c>
      <c r="C3924" s="1" t="n">
        <v>45645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31785-2024</t>
        </is>
      </c>
      <c r="B3925" s="1" t="n">
        <v>45509</v>
      </c>
      <c r="C3925" s="1" t="n">
        <v>45645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31855-2024</t>
        </is>
      </c>
      <c r="B3926" s="1" t="n">
        <v>45509</v>
      </c>
      <c r="C3926" s="1" t="n">
        <v>45645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31859-2024</t>
        </is>
      </c>
      <c r="B3927" s="1" t="n">
        <v>45509</v>
      </c>
      <c r="C3927" s="1" t="n">
        <v>45645</v>
      </c>
      <c r="D3927" t="inlineStr">
        <is>
          <t>VÄSTERNORRLANDS LÄN</t>
        </is>
      </c>
      <c r="E3927" t="inlineStr">
        <is>
          <t>ÖRNSKÖLDSVIK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31841-2024</t>
        </is>
      </c>
      <c r="B3928" s="1" t="n">
        <v>45509</v>
      </c>
      <c r="C3928" s="1" t="n">
        <v>45645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31721-2024</t>
        </is>
      </c>
      <c r="B3929" s="1" t="n">
        <v>45509</v>
      </c>
      <c r="C3929" s="1" t="n">
        <v>45645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31822-2024</t>
        </is>
      </c>
      <c r="B3930" s="1" t="n">
        <v>45509</v>
      </c>
      <c r="C3930" s="1" t="n">
        <v>45645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31786-2024</t>
        </is>
      </c>
      <c r="B3931" s="1" t="n">
        <v>45509</v>
      </c>
      <c r="C3931" s="1" t="n">
        <v>45645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31873-2024</t>
        </is>
      </c>
      <c r="B3932" s="1" t="n">
        <v>45510</v>
      </c>
      <c r="C3932" s="1" t="n">
        <v>45645</v>
      </c>
      <c r="D3932" t="inlineStr">
        <is>
          <t>VÄSTERNORRLANDS LÄN</t>
        </is>
      </c>
      <c r="E3932" t="inlineStr">
        <is>
          <t>ÖRNSKÖLDSVIK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31910-2024</t>
        </is>
      </c>
      <c r="B3933" s="1" t="n">
        <v>45510</v>
      </c>
      <c r="C3933" s="1" t="n">
        <v>45645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31977-2024</t>
        </is>
      </c>
      <c r="B3934" s="1" t="n">
        <v>45510</v>
      </c>
      <c r="C3934" s="1" t="n">
        <v>45645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31973-2024</t>
        </is>
      </c>
      <c r="B3935" s="1" t="n">
        <v>45510</v>
      </c>
      <c r="C3935" s="1" t="n">
        <v>45645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32010-2024</t>
        </is>
      </c>
      <c r="B3936" s="1" t="n">
        <v>45510</v>
      </c>
      <c r="C3936" s="1" t="n">
        <v>45645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31912-2024</t>
        </is>
      </c>
      <c r="B3937" s="1" t="n">
        <v>45510</v>
      </c>
      <c r="C3937" s="1" t="n">
        <v>45645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32075-2024</t>
        </is>
      </c>
      <c r="B3938" s="1" t="n">
        <v>45511</v>
      </c>
      <c r="C3938" s="1" t="n">
        <v>45645</v>
      </c>
      <c r="D3938" t="inlineStr">
        <is>
          <t>VÄSTERNORRLANDS LÄN</t>
        </is>
      </c>
      <c r="E3938" t="inlineStr">
        <is>
          <t>ÖRNSKÖLDSVIK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32208-2024</t>
        </is>
      </c>
      <c r="B3939" s="1" t="n">
        <v>45511</v>
      </c>
      <c r="C3939" s="1" t="n">
        <v>45645</v>
      </c>
      <c r="D3939" t="inlineStr">
        <is>
          <t>VÄSTERNORRLANDS LÄN</t>
        </is>
      </c>
      <c r="E3939" t="inlineStr">
        <is>
          <t>ÖRNSKÖLDSVIK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32076-2024</t>
        </is>
      </c>
      <c r="B3940" s="1" t="n">
        <v>45511</v>
      </c>
      <c r="C3940" s="1" t="n">
        <v>45645</v>
      </c>
      <c r="D3940" t="inlineStr">
        <is>
          <t>VÄSTERNORRLANDS LÄN</t>
        </is>
      </c>
      <c r="E3940" t="inlineStr">
        <is>
          <t>ÖRNSKÖLDSVIK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32209-2024</t>
        </is>
      </c>
      <c r="B3941" s="1" t="n">
        <v>45511</v>
      </c>
      <c r="C3941" s="1" t="n">
        <v>45645</v>
      </c>
      <c r="D3941" t="inlineStr">
        <is>
          <t>VÄSTERNORRLANDS LÄN</t>
        </is>
      </c>
      <c r="E3941" t="inlineStr">
        <is>
          <t>ÖRNSKÖLDSVIK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32280-2024</t>
        </is>
      </c>
      <c r="B3942" s="1" t="n">
        <v>45512</v>
      </c>
      <c r="C3942" s="1" t="n">
        <v>45645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32365-2024</t>
        </is>
      </c>
      <c r="B3943" s="1" t="n">
        <v>45512</v>
      </c>
      <c r="C3943" s="1" t="n">
        <v>45645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32420-2024</t>
        </is>
      </c>
      <c r="B3944" s="1" t="n">
        <v>45512</v>
      </c>
      <c r="C3944" s="1" t="n">
        <v>45645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32406-2024</t>
        </is>
      </c>
      <c r="B3945" s="1" t="n">
        <v>45512</v>
      </c>
      <c r="C3945" s="1" t="n">
        <v>45645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32395-2024</t>
        </is>
      </c>
      <c r="B3946" s="1" t="n">
        <v>45512</v>
      </c>
      <c r="C3946" s="1" t="n">
        <v>45645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32411-2024</t>
        </is>
      </c>
      <c r="B3947" s="1" t="n">
        <v>45512</v>
      </c>
      <c r="C3947" s="1" t="n">
        <v>45645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32419-2024</t>
        </is>
      </c>
      <c r="B3948" s="1" t="n">
        <v>45512</v>
      </c>
      <c r="C3948" s="1" t="n">
        <v>45645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32392-2024</t>
        </is>
      </c>
      <c r="B3949" s="1" t="n">
        <v>45512</v>
      </c>
      <c r="C3949" s="1" t="n">
        <v>45645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32380-2024</t>
        </is>
      </c>
      <c r="B3950" s="1" t="n">
        <v>45512</v>
      </c>
      <c r="C3950" s="1" t="n">
        <v>45645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32405-2024</t>
        </is>
      </c>
      <c r="B3951" s="1" t="n">
        <v>45512</v>
      </c>
      <c r="C3951" s="1" t="n">
        <v>45645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32409-2024</t>
        </is>
      </c>
      <c r="B3952" s="1" t="n">
        <v>45512</v>
      </c>
      <c r="C3952" s="1" t="n">
        <v>45645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32488-2024</t>
        </is>
      </c>
      <c r="B3953" s="1" t="n">
        <v>45513</v>
      </c>
      <c r="C3953" s="1" t="n">
        <v>45645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32524-2024</t>
        </is>
      </c>
      <c r="B3954" s="1" t="n">
        <v>45513</v>
      </c>
      <c r="C3954" s="1" t="n">
        <v>45645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32515-2024</t>
        </is>
      </c>
      <c r="B3955" s="1" t="n">
        <v>45513</v>
      </c>
      <c r="C3955" s="1" t="n">
        <v>45645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32540-2024</t>
        </is>
      </c>
      <c r="B3956" s="1" t="n">
        <v>45513</v>
      </c>
      <c r="C3956" s="1" t="n">
        <v>45645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32592-2024</t>
        </is>
      </c>
      <c r="B3957" s="1" t="n">
        <v>45513</v>
      </c>
      <c r="C3957" s="1" t="n">
        <v>45645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32604-2024</t>
        </is>
      </c>
      <c r="B3958" s="1" t="n">
        <v>45513</v>
      </c>
      <c r="C3958" s="1" t="n">
        <v>45645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32534-2024</t>
        </is>
      </c>
      <c r="B3959" s="1" t="n">
        <v>45513</v>
      </c>
      <c r="C3959" s="1" t="n">
        <v>45645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32546-2024</t>
        </is>
      </c>
      <c r="B3960" s="1" t="n">
        <v>45513</v>
      </c>
      <c r="C3960" s="1" t="n">
        <v>45645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32583-2024</t>
        </is>
      </c>
      <c r="B3961" s="1" t="n">
        <v>45513</v>
      </c>
      <c r="C3961" s="1" t="n">
        <v>45645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32619-2024</t>
        </is>
      </c>
      <c r="B3962" s="1" t="n">
        <v>45513</v>
      </c>
      <c r="C3962" s="1" t="n">
        <v>45645</v>
      </c>
      <c r="D3962" t="inlineStr">
        <is>
          <t>VÄSTERNORRLANDS LÄN</t>
        </is>
      </c>
      <c r="E3962" t="inlineStr">
        <is>
          <t>ÖRNSKÖLDSVIK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32623-2024</t>
        </is>
      </c>
      <c r="B3963" s="1" t="n">
        <v>45513</v>
      </c>
      <c r="C3963" s="1" t="n">
        <v>45645</v>
      </c>
      <c r="D3963" t="inlineStr">
        <is>
          <t>VÄSTERNORRLANDS LÄN</t>
        </is>
      </c>
      <c r="E3963" t="inlineStr">
        <is>
          <t>ÖRNSKÖLDSVIK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32557-2024</t>
        </is>
      </c>
      <c r="B3964" s="1" t="n">
        <v>45513</v>
      </c>
      <c r="C3964" s="1" t="n">
        <v>45645</v>
      </c>
      <c r="D3964" t="inlineStr">
        <is>
          <t>VÄSTERNORRLANDS LÄN</t>
        </is>
      </c>
      <c r="E3964" t="inlineStr">
        <is>
          <t>ÖRNSKÖLDSVIK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32577-2024</t>
        </is>
      </c>
      <c r="B3965" s="1" t="n">
        <v>45513</v>
      </c>
      <c r="C3965" s="1" t="n">
        <v>45645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32613-2024</t>
        </is>
      </c>
      <c r="B3966" s="1" t="n">
        <v>45513</v>
      </c>
      <c r="C3966" s="1" t="n">
        <v>45645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32883-2024</t>
        </is>
      </c>
      <c r="B3967" s="1" t="n">
        <v>45516</v>
      </c>
      <c r="C3967" s="1" t="n">
        <v>45645</v>
      </c>
      <c r="D3967" t="inlineStr">
        <is>
          <t>VÄSTERNORRLANDS LÄN</t>
        </is>
      </c>
      <c r="E3967" t="inlineStr">
        <is>
          <t>ÖRNSKÖLDSVIK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32833-2024</t>
        </is>
      </c>
      <c r="B3968" s="1" t="n">
        <v>45516</v>
      </c>
      <c r="C3968" s="1" t="n">
        <v>45645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33028-2024</t>
        </is>
      </c>
      <c r="B3969" s="1" t="n">
        <v>45517</v>
      </c>
      <c r="C3969" s="1" t="n">
        <v>45645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33098-2024</t>
        </is>
      </c>
      <c r="B3970" s="1" t="n">
        <v>45517</v>
      </c>
      <c r="C3970" s="1" t="n">
        <v>45645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33021-2024</t>
        </is>
      </c>
      <c r="B3971" s="1" t="n">
        <v>45517</v>
      </c>
      <c r="C3971" s="1" t="n">
        <v>45645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33051-2024</t>
        </is>
      </c>
      <c r="B3972" s="1" t="n">
        <v>45517</v>
      </c>
      <c r="C3972" s="1" t="n">
        <v>45645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33253-2024</t>
        </is>
      </c>
      <c r="B3973" s="1" t="n">
        <v>45518</v>
      </c>
      <c r="C3973" s="1" t="n">
        <v>45645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33191-2024</t>
        </is>
      </c>
      <c r="B3974" s="1" t="n">
        <v>45518</v>
      </c>
      <c r="C3974" s="1" t="n">
        <v>45645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33187-2024</t>
        </is>
      </c>
      <c r="B3975" s="1" t="n">
        <v>45518</v>
      </c>
      <c r="C3975" s="1" t="n">
        <v>45645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33208-2024</t>
        </is>
      </c>
      <c r="B3976" s="1" t="n">
        <v>45518</v>
      </c>
      <c r="C3976" s="1" t="n">
        <v>45645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33368-2024</t>
        </is>
      </c>
      <c r="B3977" s="1" t="n">
        <v>45519</v>
      </c>
      <c r="C3977" s="1" t="n">
        <v>45645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33441-2024</t>
        </is>
      </c>
      <c r="B3978" s="1" t="n">
        <v>45519</v>
      </c>
      <c r="C3978" s="1" t="n">
        <v>45645</v>
      </c>
      <c r="D3978" t="inlineStr">
        <is>
          <t>VÄSTERNORRLANDS LÄN</t>
        </is>
      </c>
      <c r="E3978" t="inlineStr">
        <is>
          <t>ÖRNSKÖLDSVIK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33410-2024</t>
        </is>
      </c>
      <c r="B3979" s="1" t="n">
        <v>45519</v>
      </c>
      <c r="C3979" s="1" t="n">
        <v>45645</v>
      </c>
      <c r="D3979" t="inlineStr">
        <is>
          <t>VÄSTERNORRLANDS LÄN</t>
        </is>
      </c>
      <c r="E3979" t="inlineStr">
        <is>
          <t>ÖRNSKÖLDSVIK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33483-2024</t>
        </is>
      </c>
      <c r="B3980" s="1" t="n">
        <v>45519</v>
      </c>
      <c r="C3980" s="1" t="n">
        <v>45645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33579-2024</t>
        </is>
      </c>
      <c r="B3981" s="1" t="n">
        <v>45520</v>
      </c>
      <c r="C3981" s="1" t="n">
        <v>45645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33583-2024</t>
        </is>
      </c>
      <c r="B3982" s="1" t="n">
        <v>45520</v>
      </c>
      <c r="C3982" s="1" t="n">
        <v>45645</v>
      </c>
      <c r="D3982" t="inlineStr">
        <is>
          <t>VÄSTERNORRLANDS LÄN</t>
        </is>
      </c>
      <c r="E3982" t="inlineStr">
        <is>
          <t>ÖRNSKÖLDSVIK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33616-2024</t>
        </is>
      </c>
      <c r="B3983" s="1" t="n">
        <v>45520</v>
      </c>
      <c r="C3983" s="1" t="n">
        <v>45645</v>
      </c>
      <c r="D3983" t="inlineStr">
        <is>
          <t>VÄSTERNORRLANDS LÄN</t>
        </is>
      </c>
      <c r="E3983" t="inlineStr">
        <is>
          <t>ÖRNSKÖLDSVIK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33830-2024</t>
        </is>
      </c>
      <c r="B3984" s="1" t="n">
        <v>45520</v>
      </c>
      <c r="C3984" s="1" t="n">
        <v>45645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33676-2024</t>
        </is>
      </c>
      <c r="B3985" s="1" t="n">
        <v>45520</v>
      </c>
      <c r="C3985" s="1" t="n">
        <v>45645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33759-2024</t>
        </is>
      </c>
      <c r="B3986" s="1" t="n">
        <v>45520</v>
      </c>
      <c r="C3986" s="1" t="n">
        <v>45645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33771-2024</t>
        </is>
      </c>
      <c r="B3987" s="1" t="n">
        <v>45520</v>
      </c>
      <c r="C3987" s="1" t="n">
        <v>45645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33768-2024</t>
        </is>
      </c>
      <c r="B3988" s="1" t="n">
        <v>45520</v>
      </c>
      <c r="C3988" s="1" t="n">
        <v>45645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33825-2024</t>
        </is>
      </c>
      <c r="B3989" s="1" t="n">
        <v>45520</v>
      </c>
      <c r="C3989" s="1" t="n">
        <v>45645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33843-2024</t>
        </is>
      </c>
      <c r="B3990" s="1" t="n">
        <v>45520</v>
      </c>
      <c r="C3990" s="1" t="n">
        <v>45645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33863-2024</t>
        </is>
      </c>
      <c r="B3991" s="1" t="n">
        <v>45520</v>
      </c>
      <c r="C3991" s="1" t="n">
        <v>45645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33897-2024</t>
        </is>
      </c>
      <c r="B3992" s="1" t="n">
        <v>45523</v>
      </c>
      <c r="C3992" s="1" t="n">
        <v>45645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33906-2024</t>
        </is>
      </c>
      <c r="B3993" s="1" t="n">
        <v>45523</v>
      </c>
      <c r="C3993" s="1" t="n">
        <v>45645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8.5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33917-2024</t>
        </is>
      </c>
      <c r="B3994" s="1" t="n">
        <v>45523</v>
      </c>
      <c r="C3994" s="1" t="n">
        <v>45645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34175-2024</t>
        </is>
      </c>
      <c r="B3995" s="1" t="n">
        <v>45524</v>
      </c>
      <c r="C3995" s="1" t="n">
        <v>45645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34221-2024</t>
        </is>
      </c>
      <c r="B3996" s="1" t="n">
        <v>45524</v>
      </c>
      <c r="C3996" s="1" t="n">
        <v>45645</v>
      </c>
      <c r="D3996" t="inlineStr">
        <is>
          <t>VÄSTERNORRLANDS LÄN</t>
        </is>
      </c>
      <c r="E3996" t="inlineStr">
        <is>
          <t>ÖRNSKÖLDSVIK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34132-2024</t>
        </is>
      </c>
      <c r="B3997" s="1" t="n">
        <v>45524</v>
      </c>
      <c r="C3997" s="1" t="n">
        <v>45645</v>
      </c>
      <c r="D3997" t="inlineStr">
        <is>
          <t>VÄSTERNORRLANDS LÄN</t>
        </is>
      </c>
      <c r="E3997" t="inlineStr">
        <is>
          <t>ÖRNSKÖLDSVIK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34136-2024</t>
        </is>
      </c>
      <c r="B3998" s="1" t="n">
        <v>45524</v>
      </c>
      <c r="C3998" s="1" t="n">
        <v>45645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34152-2024</t>
        </is>
      </c>
      <c r="B3999" s="1" t="n">
        <v>45524</v>
      </c>
      <c r="C3999" s="1" t="n">
        <v>45645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34258-2024</t>
        </is>
      </c>
      <c r="B4000" s="1" t="n">
        <v>45524</v>
      </c>
      <c r="C4000" s="1" t="n">
        <v>45645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34300-2024</t>
        </is>
      </c>
      <c r="B4001" s="1" t="n">
        <v>45524</v>
      </c>
      <c r="C4001" s="1" t="n">
        <v>45645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9.699999999999999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34462-2024</t>
        </is>
      </c>
      <c r="B4002" s="1" t="n">
        <v>45525</v>
      </c>
      <c r="C4002" s="1" t="n">
        <v>45645</v>
      </c>
      <c r="D4002" t="inlineStr">
        <is>
          <t>VÄSTERNORRLANDS LÄN</t>
        </is>
      </c>
      <c r="E4002" t="inlineStr">
        <is>
          <t>ÖRNSKÖLDSVIK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34466-2024</t>
        </is>
      </c>
      <c r="B4003" s="1" t="n">
        <v>45525</v>
      </c>
      <c r="C4003" s="1" t="n">
        <v>45645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34482-2024</t>
        </is>
      </c>
      <c r="B4004" s="1" t="n">
        <v>45525</v>
      </c>
      <c r="C4004" s="1" t="n">
        <v>45645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34508-2024</t>
        </is>
      </c>
      <c r="B4005" s="1" t="n">
        <v>45525</v>
      </c>
      <c r="C4005" s="1" t="n">
        <v>45645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34524-2024</t>
        </is>
      </c>
      <c r="B4006" s="1" t="n">
        <v>45525</v>
      </c>
      <c r="C4006" s="1" t="n">
        <v>45645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34342-2024</t>
        </is>
      </c>
      <c r="B4007" s="1" t="n">
        <v>45525</v>
      </c>
      <c r="C4007" s="1" t="n">
        <v>45645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34360-2024</t>
        </is>
      </c>
      <c r="B4008" s="1" t="n">
        <v>45525</v>
      </c>
      <c r="C4008" s="1" t="n">
        <v>45645</v>
      </c>
      <c r="D4008" t="inlineStr">
        <is>
          <t>VÄSTERNORRLANDS LÄN</t>
        </is>
      </c>
      <c r="E4008" t="inlineStr">
        <is>
          <t>ÖRNSKÖLDSVIK</t>
        </is>
      </c>
      <c r="G4008" t="n">
        <v>16.6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34359-2024</t>
        </is>
      </c>
      <c r="B4009" s="1" t="n">
        <v>45525</v>
      </c>
      <c r="C4009" s="1" t="n">
        <v>45645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34363-2024</t>
        </is>
      </c>
      <c r="B4010" s="1" t="n">
        <v>45525</v>
      </c>
      <c r="C4010" s="1" t="n">
        <v>45645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34505-2024</t>
        </is>
      </c>
      <c r="B4011" s="1" t="n">
        <v>45525</v>
      </c>
      <c r="C4011" s="1" t="n">
        <v>45645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34406-2024</t>
        </is>
      </c>
      <c r="B4012" s="1" t="n">
        <v>45525</v>
      </c>
      <c r="C4012" s="1" t="n">
        <v>45645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34365-2024</t>
        </is>
      </c>
      <c r="B4013" s="1" t="n">
        <v>45525</v>
      </c>
      <c r="C4013" s="1" t="n">
        <v>45645</v>
      </c>
      <c r="D4013" t="inlineStr">
        <is>
          <t>VÄSTERNORRLANDS LÄN</t>
        </is>
      </c>
      <c r="E4013" t="inlineStr">
        <is>
          <t>ÖRNSKÖLDSVIK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34648-2024</t>
        </is>
      </c>
      <c r="B4014" s="1" t="n">
        <v>45526</v>
      </c>
      <c r="C4014" s="1" t="n">
        <v>45645</v>
      </c>
      <c r="D4014" t="inlineStr">
        <is>
          <t>VÄSTERNORRLANDS LÄN</t>
        </is>
      </c>
      <c r="E4014" t="inlineStr">
        <is>
          <t>ÖRNSKÖLDSVIK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34684-2024</t>
        </is>
      </c>
      <c r="B4015" s="1" t="n">
        <v>45526</v>
      </c>
      <c r="C4015" s="1" t="n">
        <v>45645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34800-2024</t>
        </is>
      </c>
      <c r="B4016" s="1" t="n">
        <v>45526</v>
      </c>
      <c r="C4016" s="1" t="n">
        <v>45645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34563-2024</t>
        </is>
      </c>
      <c r="B4017" s="1" t="n">
        <v>45526</v>
      </c>
      <c r="C4017" s="1" t="n">
        <v>45645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34746-2024</t>
        </is>
      </c>
      <c r="B4018" s="1" t="n">
        <v>45526</v>
      </c>
      <c r="C4018" s="1" t="n">
        <v>45645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34790-2024</t>
        </is>
      </c>
      <c r="B4019" s="1" t="n">
        <v>45526</v>
      </c>
      <c r="C4019" s="1" t="n">
        <v>45645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34577-2024</t>
        </is>
      </c>
      <c r="B4020" s="1" t="n">
        <v>45526</v>
      </c>
      <c r="C4020" s="1" t="n">
        <v>45645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34586-2024</t>
        </is>
      </c>
      <c r="B4021" s="1" t="n">
        <v>45526</v>
      </c>
      <c r="C4021" s="1" t="n">
        <v>45645</v>
      </c>
      <c r="D4021" t="inlineStr">
        <is>
          <t>VÄSTERNORRLANDS LÄN</t>
        </is>
      </c>
      <c r="E4021" t="inlineStr">
        <is>
          <t>ÖRNSKÖLDSVIK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34603-2024</t>
        </is>
      </c>
      <c r="B4022" s="1" t="n">
        <v>45526</v>
      </c>
      <c r="C4022" s="1" t="n">
        <v>45645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34619-2024</t>
        </is>
      </c>
      <c r="B4023" s="1" t="n">
        <v>45526</v>
      </c>
      <c r="C4023" s="1" t="n">
        <v>45645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34751-2024</t>
        </is>
      </c>
      <c r="B4024" s="1" t="n">
        <v>45526</v>
      </c>
      <c r="C4024" s="1" t="n">
        <v>45645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34625-2024</t>
        </is>
      </c>
      <c r="B4025" s="1" t="n">
        <v>45526</v>
      </c>
      <c r="C4025" s="1" t="n">
        <v>45645</v>
      </c>
      <c r="D4025" t="inlineStr">
        <is>
          <t>VÄSTERNORRLANDS LÄN</t>
        </is>
      </c>
      <c r="E4025" t="inlineStr">
        <is>
          <t>ÖRNSKÖLDSVIK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34674-2024</t>
        </is>
      </c>
      <c r="B4026" s="1" t="n">
        <v>45526</v>
      </c>
      <c r="C4026" s="1" t="n">
        <v>45645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34760-2024</t>
        </is>
      </c>
      <c r="B4027" s="1" t="n">
        <v>45526</v>
      </c>
      <c r="C4027" s="1" t="n">
        <v>45645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34756-2024</t>
        </is>
      </c>
      <c r="B4028" s="1" t="n">
        <v>45526</v>
      </c>
      <c r="C4028" s="1" t="n">
        <v>45645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34574-2024</t>
        </is>
      </c>
      <c r="B4029" s="1" t="n">
        <v>45526</v>
      </c>
      <c r="C4029" s="1" t="n">
        <v>45645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34561-2024</t>
        </is>
      </c>
      <c r="B4030" s="1" t="n">
        <v>45526</v>
      </c>
      <c r="C4030" s="1" t="n">
        <v>45645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35027-2024</t>
        </is>
      </c>
      <c r="B4031" s="1" t="n">
        <v>45527</v>
      </c>
      <c r="C4031" s="1" t="n">
        <v>45645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34898-2024</t>
        </is>
      </c>
      <c r="B4032" s="1" t="n">
        <v>45527</v>
      </c>
      <c r="C4032" s="1" t="n">
        <v>45645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34858-2024</t>
        </is>
      </c>
      <c r="B4033" s="1" t="n">
        <v>45527</v>
      </c>
      <c r="C4033" s="1" t="n">
        <v>45645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34854-2024</t>
        </is>
      </c>
      <c r="B4034" s="1" t="n">
        <v>45527</v>
      </c>
      <c r="C4034" s="1" t="n">
        <v>45645</v>
      </c>
      <c r="D4034" t="inlineStr">
        <is>
          <t>VÄSTERNORRLANDS LÄN</t>
        </is>
      </c>
      <c r="E4034" t="inlineStr">
        <is>
          <t>ÖRNSKÖLDSVIK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34850-2024</t>
        </is>
      </c>
      <c r="B4035" s="1" t="n">
        <v>45527</v>
      </c>
      <c r="C4035" s="1" t="n">
        <v>45645</v>
      </c>
      <c r="D4035" t="inlineStr">
        <is>
          <t>VÄSTERNORRLANDS LÄN</t>
        </is>
      </c>
      <c r="E4035" t="inlineStr">
        <is>
          <t>ÖRNSKÖLDSVIK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34852-2024</t>
        </is>
      </c>
      <c r="B4036" s="1" t="n">
        <v>45527</v>
      </c>
      <c r="C4036" s="1" t="n">
        <v>45645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34896-2024</t>
        </is>
      </c>
      <c r="B4037" s="1" t="n">
        <v>45527</v>
      </c>
      <c r="C4037" s="1" t="n">
        <v>45645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35050-2024</t>
        </is>
      </c>
      <c r="B4038" s="1" t="n">
        <v>45527</v>
      </c>
      <c r="C4038" s="1" t="n">
        <v>45645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34981-2024</t>
        </is>
      </c>
      <c r="B4039" s="1" t="n">
        <v>45527</v>
      </c>
      <c r="C4039" s="1" t="n">
        <v>45645</v>
      </c>
      <c r="D4039" t="inlineStr">
        <is>
          <t>VÄSTERNORRLANDS LÄN</t>
        </is>
      </c>
      <c r="E4039" t="inlineStr">
        <is>
          <t>ÖRNSKÖLDSVIK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34973-2024</t>
        </is>
      </c>
      <c r="B4040" s="1" t="n">
        <v>45527</v>
      </c>
      <c r="C4040" s="1" t="n">
        <v>45645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34953-2024</t>
        </is>
      </c>
      <c r="B4041" s="1" t="n">
        <v>45527</v>
      </c>
      <c r="C4041" s="1" t="n">
        <v>45645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34949-2024</t>
        </is>
      </c>
      <c r="B4042" s="1" t="n">
        <v>45527</v>
      </c>
      <c r="C4042" s="1" t="n">
        <v>45645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34917-2024</t>
        </is>
      </c>
      <c r="B4043" s="1" t="n">
        <v>45527</v>
      </c>
      <c r="C4043" s="1" t="n">
        <v>45645</v>
      </c>
      <c r="D4043" t="inlineStr">
        <is>
          <t>VÄSTERNORRLANDS LÄN</t>
        </is>
      </c>
      <c r="E4043" t="inlineStr">
        <is>
          <t>ÖRNSKÖLDSVIK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34905-2024</t>
        </is>
      </c>
      <c r="B4044" s="1" t="n">
        <v>45527</v>
      </c>
      <c r="C4044" s="1" t="n">
        <v>45645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35073-2024</t>
        </is>
      </c>
      <c r="B4045" s="1" t="n">
        <v>45527</v>
      </c>
      <c r="C4045" s="1" t="n">
        <v>45645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34975-2024</t>
        </is>
      </c>
      <c r="B4046" s="1" t="n">
        <v>45527</v>
      </c>
      <c r="C4046" s="1" t="n">
        <v>45645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34875-2024</t>
        </is>
      </c>
      <c r="B4047" s="1" t="n">
        <v>45527</v>
      </c>
      <c r="C4047" s="1" t="n">
        <v>45645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34859-2024</t>
        </is>
      </c>
      <c r="B4048" s="1" t="n">
        <v>45527</v>
      </c>
      <c r="C4048" s="1" t="n">
        <v>45645</v>
      </c>
      <c r="D4048" t="inlineStr">
        <is>
          <t>VÄSTERNORRLANDS LÄN</t>
        </is>
      </c>
      <c r="E4048" t="inlineStr">
        <is>
          <t>ÖRNSKÖLDSVIK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35150-2024</t>
        </is>
      </c>
      <c r="B4049" s="1" t="n">
        <v>45530</v>
      </c>
      <c r="C4049" s="1" t="n">
        <v>45645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35223-2024</t>
        </is>
      </c>
      <c r="B4050" s="1" t="n">
        <v>45530</v>
      </c>
      <c r="C4050" s="1" t="n">
        <v>45645</v>
      </c>
      <c r="D4050" t="inlineStr">
        <is>
          <t>VÄSTERNORRLANDS LÄN</t>
        </is>
      </c>
      <c r="E4050" t="inlineStr">
        <is>
          <t>ÖRNSKÖLDSVIK</t>
        </is>
      </c>
      <c r="G4050" t="n">
        <v>10.4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35129-2024</t>
        </is>
      </c>
      <c r="B4051" s="1" t="n">
        <v>45530</v>
      </c>
      <c r="C4051" s="1" t="n">
        <v>45645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35298-2024</t>
        </is>
      </c>
      <c r="B4052" s="1" t="n">
        <v>45530</v>
      </c>
      <c r="C4052" s="1" t="n">
        <v>45645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35359-2024</t>
        </is>
      </c>
      <c r="B4053" s="1" t="n">
        <v>45531</v>
      </c>
      <c r="C4053" s="1" t="n">
        <v>45645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35553-2024</t>
        </is>
      </c>
      <c r="B4054" s="1" t="n">
        <v>45531</v>
      </c>
      <c r="C4054" s="1" t="n">
        <v>45645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35388-2024</t>
        </is>
      </c>
      <c r="B4055" s="1" t="n">
        <v>45531</v>
      </c>
      <c r="C4055" s="1" t="n">
        <v>45645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35472-2024</t>
        </is>
      </c>
      <c r="B4056" s="1" t="n">
        <v>45531</v>
      </c>
      <c r="C4056" s="1" t="n">
        <v>45645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35476-2024</t>
        </is>
      </c>
      <c r="B4057" s="1" t="n">
        <v>45531</v>
      </c>
      <c r="C4057" s="1" t="n">
        <v>45645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35527-2024</t>
        </is>
      </c>
      <c r="B4058" s="1" t="n">
        <v>45531</v>
      </c>
      <c r="C4058" s="1" t="n">
        <v>45645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35568-2024</t>
        </is>
      </c>
      <c r="B4059" s="1" t="n">
        <v>45531</v>
      </c>
      <c r="C4059" s="1" t="n">
        <v>45645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35455-2024</t>
        </is>
      </c>
      <c r="B4060" s="1" t="n">
        <v>45531</v>
      </c>
      <c r="C4060" s="1" t="n">
        <v>45645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35551-2024</t>
        </is>
      </c>
      <c r="B4061" s="1" t="n">
        <v>45531</v>
      </c>
      <c r="C4061" s="1" t="n">
        <v>45645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35619-2024</t>
        </is>
      </c>
      <c r="B4062" s="1" t="n">
        <v>45531</v>
      </c>
      <c r="C4062" s="1" t="n">
        <v>45645</v>
      </c>
      <c r="D4062" t="inlineStr">
        <is>
          <t>VÄSTERNORRLANDS LÄN</t>
        </is>
      </c>
      <c r="E4062" t="inlineStr">
        <is>
          <t>ÖRNSKÖLDSVIK</t>
        </is>
      </c>
      <c r="G4062" t="n">
        <v>14.1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35618-2024</t>
        </is>
      </c>
      <c r="B4063" s="1" t="n">
        <v>45531</v>
      </c>
      <c r="C4063" s="1" t="n">
        <v>45645</v>
      </c>
      <c r="D4063" t="inlineStr">
        <is>
          <t>VÄSTERNORRLANDS LÄN</t>
        </is>
      </c>
      <c r="E4063" t="inlineStr">
        <is>
          <t>ÖRNSKÖLDSVIK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35776-2024</t>
        </is>
      </c>
      <c r="B4064" s="1" t="n">
        <v>45532</v>
      </c>
      <c r="C4064" s="1" t="n">
        <v>45645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35759-2024</t>
        </is>
      </c>
      <c r="B4065" s="1" t="n">
        <v>45532</v>
      </c>
      <c r="C4065" s="1" t="n">
        <v>45645</v>
      </c>
      <c r="D4065" t="inlineStr">
        <is>
          <t>VÄSTERNORRLANDS LÄN</t>
        </is>
      </c>
      <c r="E4065" t="inlineStr">
        <is>
          <t>ÖRNSKÖLDSVIK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35815-2024</t>
        </is>
      </c>
      <c r="B4066" s="1" t="n">
        <v>45532</v>
      </c>
      <c r="C4066" s="1" t="n">
        <v>45645</v>
      </c>
      <c r="D4066" t="inlineStr">
        <is>
          <t>VÄSTERNORRLANDS LÄN</t>
        </is>
      </c>
      <c r="E4066" t="inlineStr">
        <is>
          <t>ÖRNSKÖLDSVIK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35823-2024</t>
        </is>
      </c>
      <c r="B4067" s="1" t="n">
        <v>45532</v>
      </c>
      <c r="C4067" s="1" t="n">
        <v>45645</v>
      </c>
      <c r="D4067" t="inlineStr">
        <is>
          <t>VÄSTERNORRLANDS LÄN</t>
        </is>
      </c>
      <c r="E4067" t="inlineStr">
        <is>
          <t>ÖRNSKÖLDSVIK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35824-2024</t>
        </is>
      </c>
      <c r="B4068" s="1" t="n">
        <v>45532</v>
      </c>
      <c r="C4068" s="1" t="n">
        <v>45645</v>
      </c>
      <c r="D4068" t="inlineStr">
        <is>
          <t>VÄSTERNORRLANDS LÄN</t>
        </is>
      </c>
      <c r="E4068" t="inlineStr">
        <is>
          <t>ÖRNSKÖLDSVIK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35761-2024</t>
        </is>
      </c>
      <c r="B4069" s="1" t="n">
        <v>45532</v>
      </c>
      <c r="C4069" s="1" t="n">
        <v>45645</v>
      </c>
      <c r="D4069" t="inlineStr">
        <is>
          <t>VÄSTERNORRLANDS LÄN</t>
        </is>
      </c>
      <c r="E4069" t="inlineStr">
        <is>
          <t>ÖRNSKÖLDSVIK</t>
        </is>
      </c>
      <c r="G4069" t="n">
        <v>0.2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35941-2024</t>
        </is>
      </c>
      <c r="B4070" s="1" t="n">
        <v>45533</v>
      </c>
      <c r="C4070" s="1" t="n">
        <v>45645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35945-2024</t>
        </is>
      </c>
      <c r="B4071" s="1" t="n">
        <v>45533</v>
      </c>
      <c r="C4071" s="1" t="n">
        <v>45645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36044-2024</t>
        </is>
      </c>
      <c r="B4072" s="1" t="n">
        <v>45533</v>
      </c>
      <c r="C4072" s="1" t="n">
        <v>45645</v>
      </c>
      <c r="D4072" t="inlineStr">
        <is>
          <t>VÄSTERNORRLANDS LÄN</t>
        </is>
      </c>
      <c r="E4072" t="inlineStr">
        <is>
          <t>ÖRNSKÖLDSVIK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36085-2024</t>
        </is>
      </c>
      <c r="B4073" s="1" t="n">
        <v>45533</v>
      </c>
      <c r="C4073" s="1" t="n">
        <v>45645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8.6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36247-2024</t>
        </is>
      </c>
      <c r="B4074" s="1" t="n">
        <v>45534</v>
      </c>
      <c r="C4074" s="1" t="n">
        <v>45645</v>
      </c>
      <c r="D4074" t="inlineStr">
        <is>
          <t>VÄSTERNORRLANDS LÄN</t>
        </is>
      </c>
      <c r="E4074" t="inlineStr">
        <is>
          <t>ÖRNSKÖLDSVIK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36255-2024</t>
        </is>
      </c>
      <c r="B4075" s="1" t="n">
        <v>45534</v>
      </c>
      <c r="C4075" s="1" t="n">
        <v>45645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36198-2024</t>
        </is>
      </c>
      <c r="B4076" s="1" t="n">
        <v>45534</v>
      </c>
      <c r="C4076" s="1" t="n">
        <v>45645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36234-2024</t>
        </is>
      </c>
      <c r="B4077" s="1" t="n">
        <v>45534</v>
      </c>
      <c r="C4077" s="1" t="n">
        <v>45645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36368-2024</t>
        </is>
      </c>
      <c r="B4078" s="1" t="n">
        <v>45534</v>
      </c>
      <c r="C4078" s="1" t="n">
        <v>45645</v>
      </c>
      <c r="D4078" t="inlineStr">
        <is>
          <t>VÄSTERNORRLANDS LÄN</t>
        </is>
      </c>
      <c r="E4078" t="inlineStr">
        <is>
          <t>ÖRNSKÖLDSVIK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36474-2024</t>
        </is>
      </c>
      <c r="B4079" s="1" t="n">
        <v>45537</v>
      </c>
      <c r="C4079" s="1" t="n">
        <v>45645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36610-2024</t>
        </is>
      </c>
      <c r="B4080" s="1" t="n">
        <v>45537</v>
      </c>
      <c r="C4080" s="1" t="n">
        <v>45645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36460-2024</t>
        </is>
      </c>
      <c r="B4081" s="1" t="n">
        <v>45537</v>
      </c>
      <c r="C4081" s="1" t="n">
        <v>45645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36524-2024</t>
        </is>
      </c>
      <c r="B4082" s="1" t="n">
        <v>45537</v>
      </c>
      <c r="C4082" s="1" t="n">
        <v>45645</v>
      </c>
      <c r="D4082" t="inlineStr">
        <is>
          <t>VÄSTERNORRLANDS LÄN</t>
        </is>
      </c>
      <c r="E4082" t="inlineStr">
        <is>
          <t>ÖRNSKÖLDSVIK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36572-2024</t>
        </is>
      </c>
      <c r="B4083" s="1" t="n">
        <v>45537</v>
      </c>
      <c r="C4083" s="1" t="n">
        <v>45645</v>
      </c>
      <c r="D4083" t="inlineStr">
        <is>
          <t>VÄSTERNORRLANDS LÄN</t>
        </is>
      </c>
      <c r="E4083" t="inlineStr">
        <is>
          <t>ÖRNSKÖLDSVIK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36620-2024</t>
        </is>
      </c>
      <c r="B4084" s="1" t="n">
        <v>45537</v>
      </c>
      <c r="C4084" s="1" t="n">
        <v>45645</v>
      </c>
      <c r="D4084" t="inlineStr">
        <is>
          <t>VÄSTERNORRLANDS LÄN</t>
        </is>
      </c>
      <c r="E4084" t="inlineStr">
        <is>
          <t>ÖRNSKÖLDSVIK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36661-2024</t>
        </is>
      </c>
      <c r="B4085" s="1" t="n">
        <v>45537</v>
      </c>
      <c r="C4085" s="1" t="n">
        <v>45645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36436-2024</t>
        </is>
      </c>
      <c r="B4086" s="1" t="n">
        <v>45537</v>
      </c>
      <c r="C4086" s="1" t="n">
        <v>45645</v>
      </c>
      <c r="D4086" t="inlineStr">
        <is>
          <t>VÄSTERNORRLANDS LÄN</t>
        </is>
      </c>
      <c r="E4086" t="inlineStr">
        <is>
          <t>ÖRNSKÖLDSVIK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36487-2024</t>
        </is>
      </c>
      <c r="B4087" s="1" t="n">
        <v>45537</v>
      </c>
      <c r="C4087" s="1" t="n">
        <v>45645</v>
      </c>
      <c r="D4087" t="inlineStr">
        <is>
          <t>VÄSTERNORRLANDS LÄN</t>
        </is>
      </c>
      <c r="E4087" t="inlineStr">
        <is>
          <t>ÖRNSKÖLDSVIK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36704-2024</t>
        </is>
      </c>
      <c r="B4088" s="1" t="n">
        <v>45537</v>
      </c>
      <c r="C4088" s="1" t="n">
        <v>45645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36678-2024</t>
        </is>
      </c>
      <c r="B4089" s="1" t="n">
        <v>45537</v>
      </c>
      <c r="C4089" s="1" t="n">
        <v>45645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36667-2024</t>
        </is>
      </c>
      <c r="B4090" s="1" t="n">
        <v>45537</v>
      </c>
      <c r="C4090" s="1" t="n">
        <v>45645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36793-2024</t>
        </is>
      </c>
      <c r="B4091" s="1" t="n">
        <v>45538</v>
      </c>
      <c r="C4091" s="1" t="n">
        <v>45645</v>
      </c>
      <c r="D4091" t="inlineStr">
        <is>
          <t>VÄSTERNORRLANDS LÄN</t>
        </is>
      </c>
      <c r="E4091" t="inlineStr">
        <is>
          <t>ÖRNSKÖLDSVIK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36907-2024</t>
        </is>
      </c>
      <c r="B4092" s="1" t="n">
        <v>45538</v>
      </c>
      <c r="C4092" s="1" t="n">
        <v>45645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36915-2024</t>
        </is>
      </c>
      <c r="B4093" s="1" t="n">
        <v>45538</v>
      </c>
      <c r="C4093" s="1" t="n">
        <v>45645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36985-2024</t>
        </is>
      </c>
      <c r="B4094" s="1" t="n">
        <v>45539</v>
      </c>
      <c r="C4094" s="1" t="n">
        <v>45645</v>
      </c>
      <c r="D4094" t="inlineStr">
        <is>
          <t>VÄSTERNORRLANDS LÄN</t>
        </is>
      </c>
      <c r="E4094" t="inlineStr">
        <is>
          <t>ÖRNSKÖLDSVIK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37057-2024</t>
        </is>
      </c>
      <c r="B4095" s="1" t="n">
        <v>45539</v>
      </c>
      <c r="C4095" s="1" t="n">
        <v>45645</v>
      </c>
      <c r="D4095" t="inlineStr">
        <is>
          <t>VÄSTERNORRLANDS LÄN</t>
        </is>
      </c>
      <c r="E4095" t="inlineStr">
        <is>
          <t>ÖRNSKÖLDSVIK</t>
        </is>
      </c>
      <c r="G4095" t="n">
        <v>7.8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37081-2024</t>
        </is>
      </c>
      <c r="B4096" s="1" t="n">
        <v>45539</v>
      </c>
      <c r="C4096" s="1" t="n">
        <v>45645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37133-2024</t>
        </is>
      </c>
      <c r="B4097" s="1" t="n">
        <v>45539</v>
      </c>
      <c r="C4097" s="1" t="n">
        <v>45645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37154-2024</t>
        </is>
      </c>
      <c r="B4098" s="1" t="n">
        <v>45539</v>
      </c>
      <c r="C4098" s="1" t="n">
        <v>45645</v>
      </c>
      <c r="D4098" t="inlineStr">
        <is>
          <t>VÄSTERNORRLANDS LÄN</t>
        </is>
      </c>
      <c r="E4098" t="inlineStr">
        <is>
          <t>ÖRNSKÖLDSVIK</t>
        </is>
      </c>
      <c r="G4098" t="n">
        <v>8.800000000000001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37156-2024</t>
        </is>
      </c>
      <c r="B4099" s="1" t="n">
        <v>45539</v>
      </c>
      <c r="C4099" s="1" t="n">
        <v>45645</v>
      </c>
      <c r="D4099" t="inlineStr">
        <is>
          <t>VÄSTERNORRLANDS LÄN</t>
        </is>
      </c>
      <c r="E4099" t="inlineStr">
        <is>
          <t>ÖRNSKÖLDSVIK</t>
        </is>
      </c>
      <c r="G4099" t="n">
        <v>5.7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37177-2024</t>
        </is>
      </c>
      <c r="B4100" s="1" t="n">
        <v>45539</v>
      </c>
      <c r="C4100" s="1" t="n">
        <v>45645</v>
      </c>
      <c r="D4100" t="inlineStr">
        <is>
          <t>VÄSTERNORRLANDS LÄN</t>
        </is>
      </c>
      <c r="E4100" t="inlineStr">
        <is>
          <t>ÖRNSKÖLDSVIK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37001-2024</t>
        </is>
      </c>
      <c r="B4101" s="1" t="n">
        <v>45539</v>
      </c>
      <c r="C4101" s="1" t="n">
        <v>45645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37048-2024</t>
        </is>
      </c>
      <c r="B4102" s="1" t="n">
        <v>45539</v>
      </c>
      <c r="C4102" s="1" t="n">
        <v>45645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37368-2024</t>
        </is>
      </c>
      <c r="B4103" s="1" t="n">
        <v>45540</v>
      </c>
      <c r="C4103" s="1" t="n">
        <v>45645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37384-2024</t>
        </is>
      </c>
      <c r="B4104" s="1" t="n">
        <v>45540</v>
      </c>
      <c r="C4104" s="1" t="n">
        <v>45645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37333-2024</t>
        </is>
      </c>
      <c r="B4105" s="1" t="n">
        <v>45540</v>
      </c>
      <c r="C4105" s="1" t="n">
        <v>45645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37374-2024</t>
        </is>
      </c>
      <c r="B4106" s="1" t="n">
        <v>45540</v>
      </c>
      <c r="C4106" s="1" t="n">
        <v>45645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37390-2024</t>
        </is>
      </c>
      <c r="B4107" s="1" t="n">
        <v>45540</v>
      </c>
      <c r="C4107" s="1" t="n">
        <v>45645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37402-2024</t>
        </is>
      </c>
      <c r="B4108" s="1" t="n">
        <v>45540</v>
      </c>
      <c r="C4108" s="1" t="n">
        <v>45645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45645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37488-2024</t>
        </is>
      </c>
      <c r="B4110" s="1" t="n">
        <v>45541</v>
      </c>
      <c r="C4110" s="1" t="n">
        <v>45645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37523-2024</t>
        </is>
      </c>
      <c r="B4111" s="1" t="n">
        <v>45541</v>
      </c>
      <c r="C4111" s="1" t="n">
        <v>45645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37637-2024</t>
        </is>
      </c>
      <c r="B4112" s="1" t="n">
        <v>45541</v>
      </c>
      <c r="C4112" s="1" t="n">
        <v>45645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37682-2024</t>
        </is>
      </c>
      <c r="B4113" s="1" t="n">
        <v>45541</v>
      </c>
      <c r="C4113" s="1" t="n">
        <v>45645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37509-2024</t>
        </is>
      </c>
      <c r="B4114" s="1" t="n">
        <v>45541</v>
      </c>
      <c r="C4114" s="1" t="n">
        <v>45645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37660-2024</t>
        </is>
      </c>
      <c r="B4115" s="1" t="n">
        <v>45541</v>
      </c>
      <c r="C4115" s="1" t="n">
        <v>45645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37607-2024</t>
        </is>
      </c>
      <c r="B4116" s="1" t="n">
        <v>45541</v>
      </c>
      <c r="C4116" s="1" t="n">
        <v>45645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37623-2024</t>
        </is>
      </c>
      <c r="B4117" s="1" t="n">
        <v>45541</v>
      </c>
      <c r="C4117" s="1" t="n">
        <v>45645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37627-2024</t>
        </is>
      </c>
      <c r="B4118" s="1" t="n">
        <v>45541</v>
      </c>
      <c r="C4118" s="1" t="n">
        <v>45645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37659-2024</t>
        </is>
      </c>
      <c r="B4119" s="1" t="n">
        <v>45541</v>
      </c>
      <c r="C4119" s="1" t="n">
        <v>45645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37720-2024</t>
        </is>
      </c>
      <c r="B4120" s="1" t="n">
        <v>45541</v>
      </c>
      <c r="C4120" s="1" t="n">
        <v>45645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37724-2024</t>
        </is>
      </c>
      <c r="B4121" s="1" t="n">
        <v>45541</v>
      </c>
      <c r="C4121" s="1" t="n">
        <v>45645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37734-2024</t>
        </is>
      </c>
      <c r="B4122" s="1" t="n">
        <v>45541</v>
      </c>
      <c r="C4122" s="1" t="n">
        <v>45645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37792-2024</t>
        </is>
      </c>
      <c r="B4123" s="1" t="n">
        <v>45543</v>
      </c>
      <c r="C4123" s="1" t="n">
        <v>45645</v>
      </c>
      <c r="D4123" t="inlineStr">
        <is>
          <t>VÄSTERNORRLANDS LÄN</t>
        </is>
      </c>
      <c r="E4123" t="inlineStr">
        <is>
          <t>ÖRNSKÖLDSVIK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37864-2024</t>
        </is>
      </c>
      <c r="B4124" s="1" t="n">
        <v>45544</v>
      </c>
      <c r="C4124" s="1" t="n">
        <v>45645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37924-2024</t>
        </is>
      </c>
      <c r="B4125" s="1" t="n">
        <v>45544</v>
      </c>
      <c r="C4125" s="1" t="n">
        <v>45645</v>
      </c>
      <c r="D4125" t="inlineStr">
        <is>
          <t>VÄSTERNORRLANDS LÄN</t>
        </is>
      </c>
      <c r="E4125" t="inlineStr">
        <is>
          <t>ÖRNSKÖLDSVIK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37851-2024</t>
        </is>
      </c>
      <c r="B4126" s="1" t="n">
        <v>45544</v>
      </c>
      <c r="C4126" s="1" t="n">
        <v>45645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37855-2024</t>
        </is>
      </c>
      <c r="B4127" s="1" t="n">
        <v>45544</v>
      </c>
      <c r="C4127" s="1" t="n">
        <v>45645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37871-2024</t>
        </is>
      </c>
      <c r="B4128" s="1" t="n">
        <v>45544</v>
      </c>
      <c r="C4128" s="1" t="n">
        <v>45645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37911-2024</t>
        </is>
      </c>
      <c r="B4129" s="1" t="n">
        <v>45544</v>
      </c>
      <c r="C4129" s="1" t="n">
        <v>45645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37939-2024</t>
        </is>
      </c>
      <c r="B4130" s="1" t="n">
        <v>45544</v>
      </c>
      <c r="C4130" s="1" t="n">
        <v>45645</v>
      </c>
      <c r="D4130" t="inlineStr">
        <is>
          <t>VÄSTERNORRLANDS LÄN</t>
        </is>
      </c>
      <c r="E4130" t="inlineStr">
        <is>
          <t>ÖRNSKÖLDSVIK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37873-2024</t>
        </is>
      </c>
      <c r="B4131" s="1" t="n">
        <v>45544</v>
      </c>
      <c r="C4131" s="1" t="n">
        <v>45645</v>
      </c>
      <c r="D4131" t="inlineStr">
        <is>
          <t>VÄSTERNORRLANDS LÄN</t>
        </is>
      </c>
      <c r="E4131" t="inlineStr">
        <is>
          <t>ÖRNSKÖLDSVIK</t>
        </is>
      </c>
      <c r="G4131" t="n">
        <v>12.3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38021-2024</t>
        </is>
      </c>
      <c r="B4132" s="1" t="n">
        <v>45544</v>
      </c>
      <c r="C4132" s="1" t="n">
        <v>45645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37898-2024</t>
        </is>
      </c>
      <c r="B4133" s="1" t="n">
        <v>45544</v>
      </c>
      <c r="C4133" s="1" t="n">
        <v>45645</v>
      </c>
      <c r="D4133" t="inlineStr">
        <is>
          <t>VÄSTERNORRLANDS LÄN</t>
        </is>
      </c>
      <c r="E4133" t="inlineStr">
        <is>
          <t>ÖRNSKÖLDSVIK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37926-2024</t>
        </is>
      </c>
      <c r="B4134" s="1" t="n">
        <v>45544</v>
      </c>
      <c r="C4134" s="1" t="n">
        <v>45645</v>
      </c>
      <c r="D4134" t="inlineStr">
        <is>
          <t>VÄSTERNORRLANDS LÄN</t>
        </is>
      </c>
      <c r="E4134" t="inlineStr">
        <is>
          <t>ÖRNSKÖLDSVIK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37930-2024</t>
        </is>
      </c>
      <c r="B4135" s="1" t="n">
        <v>45544</v>
      </c>
      <c r="C4135" s="1" t="n">
        <v>45645</v>
      </c>
      <c r="D4135" t="inlineStr">
        <is>
          <t>VÄSTERNORRLANDS LÄN</t>
        </is>
      </c>
      <c r="E4135" t="inlineStr">
        <is>
          <t>ÖRNSKÖLDSVIK</t>
        </is>
      </c>
      <c r="G4135" t="n">
        <v>6.8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37938-2024</t>
        </is>
      </c>
      <c r="B4136" s="1" t="n">
        <v>45544</v>
      </c>
      <c r="C4136" s="1" t="n">
        <v>45645</v>
      </c>
      <c r="D4136" t="inlineStr">
        <is>
          <t>VÄSTERNORRLANDS LÄN</t>
        </is>
      </c>
      <c r="E4136" t="inlineStr">
        <is>
          <t>ÖRNSKÖLDSVIK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38033-2024</t>
        </is>
      </c>
      <c r="B4137" s="1" t="n">
        <v>45544</v>
      </c>
      <c r="C4137" s="1" t="n">
        <v>45645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38037-2024</t>
        </is>
      </c>
      <c r="B4138" s="1" t="n">
        <v>45544</v>
      </c>
      <c r="C4138" s="1" t="n">
        <v>45645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38118-2024</t>
        </is>
      </c>
      <c r="B4139" s="1" t="n">
        <v>45545</v>
      </c>
      <c r="C4139" s="1" t="n">
        <v>45645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38235-2024</t>
        </is>
      </c>
      <c r="B4140" s="1" t="n">
        <v>45545</v>
      </c>
      <c r="C4140" s="1" t="n">
        <v>45645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38177-2024</t>
        </is>
      </c>
      <c r="B4141" s="1" t="n">
        <v>45545</v>
      </c>
      <c r="C4141" s="1" t="n">
        <v>45645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38087-2024</t>
        </is>
      </c>
      <c r="B4142" s="1" t="n">
        <v>45545</v>
      </c>
      <c r="C4142" s="1" t="n">
        <v>45645</v>
      </c>
      <c r="D4142" t="inlineStr">
        <is>
          <t>VÄSTERNORRLANDS LÄN</t>
        </is>
      </c>
      <c r="E4142" t="inlineStr">
        <is>
          <t>ÖRNSKÖLDSVIK</t>
        </is>
      </c>
      <c r="G4142" t="n">
        <v>13.3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38249-2024</t>
        </is>
      </c>
      <c r="B4143" s="1" t="n">
        <v>45545</v>
      </c>
      <c r="C4143" s="1" t="n">
        <v>45645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38289-2024</t>
        </is>
      </c>
      <c r="B4144" s="1" t="n">
        <v>45545</v>
      </c>
      <c r="C4144" s="1" t="n">
        <v>45645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38314-2024</t>
        </is>
      </c>
      <c r="B4145" s="1" t="n">
        <v>45545</v>
      </c>
      <c r="C4145" s="1" t="n">
        <v>45645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38291-2024</t>
        </is>
      </c>
      <c r="B4146" s="1" t="n">
        <v>45545</v>
      </c>
      <c r="C4146" s="1" t="n">
        <v>45645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38307-2024</t>
        </is>
      </c>
      <c r="B4147" s="1" t="n">
        <v>45545</v>
      </c>
      <c r="C4147" s="1" t="n">
        <v>45645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38331-2024</t>
        </is>
      </c>
      <c r="B4148" s="1" t="n">
        <v>45545</v>
      </c>
      <c r="C4148" s="1" t="n">
        <v>45645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38334-2024</t>
        </is>
      </c>
      <c r="B4149" s="1" t="n">
        <v>45545</v>
      </c>
      <c r="C4149" s="1" t="n">
        <v>45645</v>
      </c>
      <c r="D4149" t="inlineStr">
        <is>
          <t>VÄSTERNORRLANDS LÄN</t>
        </is>
      </c>
      <c r="E4149" t="inlineStr">
        <is>
          <t>ÖRNSKÖLDSVIK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38329-2024</t>
        </is>
      </c>
      <c r="B4150" s="1" t="n">
        <v>45545</v>
      </c>
      <c r="C4150" s="1" t="n">
        <v>45645</v>
      </c>
      <c r="D4150" t="inlineStr">
        <is>
          <t>VÄSTERNORRLANDS LÄN</t>
        </is>
      </c>
      <c r="E4150" t="inlineStr">
        <is>
          <t>ÖRNSKÖLDSVIK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38264-2024</t>
        </is>
      </c>
      <c r="B4151" s="1" t="n">
        <v>45545</v>
      </c>
      <c r="C4151" s="1" t="n">
        <v>45645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38292-2024</t>
        </is>
      </c>
      <c r="B4152" s="1" t="n">
        <v>45545</v>
      </c>
      <c r="C4152" s="1" t="n">
        <v>45645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38296-2024</t>
        </is>
      </c>
      <c r="B4153" s="1" t="n">
        <v>45545</v>
      </c>
      <c r="C4153" s="1" t="n">
        <v>45645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38584-2024</t>
        </is>
      </c>
      <c r="B4154" s="1" t="n">
        <v>45546</v>
      </c>
      <c r="C4154" s="1" t="n">
        <v>45645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38714-2024</t>
        </is>
      </c>
      <c r="B4155" s="1" t="n">
        <v>45547</v>
      </c>
      <c r="C4155" s="1" t="n">
        <v>45645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38709-2024</t>
        </is>
      </c>
      <c r="B4156" s="1" t="n">
        <v>45547</v>
      </c>
      <c r="C4156" s="1" t="n">
        <v>45645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38746-2024</t>
        </is>
      </c>
      <c r="B4157" s="1" t="n">
        <v>45547</v>
      </c>
      <c r="C4157" s="1" t="n">
        <v>45645</v>
      </c>
      <c r="D4157" t="inlineStr">
        <is>
          <t>VÄSTERNORRLANDS LÄN</t>
        </is>
      </c>
      <c r="E4157" t="inlineStr">
        <is>
          <t>ÖRNSKÖLDSVIK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38745-2024</t>
        </is>
      </c>
      <c r="B4158" s="1" t="n">
        <v>45547</v>
      </c>
      <c r="C4158" s="1" t="n">
        <v>45645</v>
      </c>
      <c r="D4158" t="inlineStr">
        <is>
          <t>VÄSTERNORRLANDS LÄN</t>
        </is>
      </c>
      <c r="E4158" t="inlineStr">
        <is>
          <t>ÖRNSKÖLDSVIK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38753-2024</t>
        </is>
      </c>
      <c r="B4159" s="1" t="n">
        <v>45547</v>
      </c>
      <c r="C4159" s="1" t="n">
        <v>45645</v>
      </c>
      <c r="D4159" t="inlineStr">
        <is>
          <t>VÄSTERNORRLANDS LÄN</t>
        </is>
      </c>
      <c r="E4159" t="inlineStr">
        <is>
          <t>ÖRNSKÖLDSVIK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38765-2024</t>
        </is>
      </c>
      <c r="B4160" s="1" t="n">
        <v>45547</v>
      </c>
      <c r="C4160" s="1" t="n">
        <v>45645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38750-2024</t>
        </is>
      </c>
      <c r="B4161" s="1" t="n">
        <v>45547</v>
      </c>
      <c r="C4161" s="1" t="n">
        <v>45645</v>
      </c>
      <c r="D4161" t="inlineStr">
        <is>
          <t>VÄSTERNORRLANDS LÄN</t>
        </is>
      </c>
      <c r="E4161" t="inlineStr">
        <is>
          <t>ÖRNSKÖLDSVIK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38661-2024</t>
        </is>
      </c>
      <c r="B4162" s="1" t="n">
        <v>45547</v>
      </c>
      <c r="C4162" s="1" t="n">
        <v>45645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38867-2024</t>
        </is>
      </c>
      <c r="B4163" s="1" t="n">
        <v>45547</v>
      </c>
      <c r="C4163" s="1" t="n">
        <v>45645</v>
      </c>
      <c r="D4163" t="inlineStr">
        <is>
          <t>VÄSTERNORRLANDS LÄN</t>
        </is>
      </c>
      <c r="E4163" t="inlineStr">
        <is>
          <t>ÖRNSKÖLDSVIK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38894-2024</t>
        </is>
      </c>
      <c r="B4164" s="1" t="n">
        <v>45547</v>
      </c>
      <c r="C4164" s="1" t="n">
        <v>45645</v>
      </c>
      <c r="D4164" t="inlineStr">
        <is>
          <t>VÄSTERNORRLANDS LÄN</t>
        </is>
      </c>
      <c r="E4164" t="inlineStr">
        <is>
          <t>ÖRNSKÖLDSVIK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38888-2024</t>
        </is>
      </c>
      <c r="B4165" s="1" t="n">
        <v>45547</v>
      </c>
      <c r="C4165" s="1" t="n">
        <v>45645</v>
      </c>
      <c r="D4165" t="inlineStr">
        <is>
          <t>VÄSTERNORRLANDS LÄN</t>
        </is>
      </c>
      <c r="E4165" t="inlineStr">
        <is>
          <t>ÖRNSKÖLDSVIK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38966-2024</t>
        </is>
      </c>
      <c r="B4166" s="1" t="n">
        <v>45548</v>
      </c>
      <c r="C4166" s="1" t="n">
        <v>45645</v>
      </c>
      <c r="D4166" t="inlineStr">
        <is>
          <t>VÄSTERNORRLANDS LÄN</t>
        </is>
      </c>
      <c r="E4166" t="inlineStr">
        <is>
          <t>ÖRNSKÖLDSVIK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39088-2024</t>
        </is>
      </c>
      <c r="B4167" s="1" t="n">
        <v>45548</v>
      </c>
      <c r="C4167" s="1" t="n">
        <v>45645</v>
      </c>
      <c r="D4167" t="inlineStr">
        <is>
          <t>VÄSTERNORRLANDS LÄN</t>
        </is>
      </c>
      <c r="E4167" t="inlineStr">
        <is>
          <t>ÖRNSKÖLDSVIK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39016-2024</t>
        </is>
      </c>
      <c r="B4168" s="1" t="n">
        <v>45548</v>
      </c>
      <c r="C4168" s="1" t="n">
        <v>45645</v>
      </c>
      <c r="D4168" t="inlineStr">
        <is>
          <t>VÄSTERNORRLANDS LÄN</t>
        </is>
      </c>
      <c r="E4168" t="inlineStr">
        <is>
          <t>ÖRNSKÖLDSVIK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45645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39331-2024</t>
        </is>
      </c>
      <c r="B4170" s="1" t="n">
        <v>45551</v>
      </c>
      <c r="C4170" s="1" t="n">
        <v>45645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9.800000000000001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39375-2024</t>
        </is>
      </c>
      <c r="B4171" s="1" t="n">
        <v>45551</v>
      </c>
      <c r="C4171" s="1" t="n">
        <v>45645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39379-2024</t>
        </is>
      </c>
      <c r="B4172" s="1" t="n">
        <v>45551</v>
      </c>
      <c r="C4172" s="1" t="n">
        <v>45645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39384-2024</t>
        </is>
      </c>
      <c r="B4173" s="1" t="n">
        <v>45551</v>
      </c>
      <c r="C4173" s="1" t="n">
        <v>45645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39452-2024</t>
        </is>
      </c>
      <c r="B4174" s="1" t="n">
        <v>45551</v>
      </c>
      <c r="C4174" s="1" t="n">
        <v>45645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39312-2024</t>
        </is>
      </c>
      <c r="B4175" s="1" t="n">
        <v>45551</v>
      </c>
      <c r="C4175" s="1" t="n">
        <v>45645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39324-2024</t>
        </is>
      </c>
      <c r="B4176" s="1" t="n">
        <v>45551</v>
      </c>
      <c r="C4176" s="1" t="n">
        <v>45645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39352-2024</t>
        </is>
      </c>
      <c r="B4177" s="1" t="n">
        <v>45551</v>
      </c>
      <c r="C4177" s="1" t="n">
        <v>45645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9.300000000000001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39372-2024</t>
        </is>
      </c>
      <c r="B4178" s="1" t="n">
        <v>45551</v>
      </c>
      <c r="C4178" s="1" t="n">
        <v>45645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39310-2024</t>
        </is>
      </c>
      <c r="B4179" s="1" t="n">
        <v>45551</v>
      </c>
      <c r="C4179" s="1" t="n">
        <v>45645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39413-2024</t>
        </is>
      </c>
      <c r="B4180" s="1" t="n">
        <v>45551</v>
      </c>
      <c r="C4180" s="1" t="n">
        <v>45645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39434-2024</t>
        </is>
      </c>
      <c r="B4181" s="1" t="n">
        <v>45551</v>
      </c>
      <c r="C4181" s="1" t="n">
        <v>45645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8.6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39499-2024</t>
        </is>
      </c>
      <c r="B4182" s="1" t="n">
        <v>45551</v>
      </c>
      <c r="C4182" s="1" t="n">
        <v>45645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39550-2024</t>
        </is>
      </c>
      <c r="B4183" s="1" t="n">
        <v>45552</v>
      </c>
      <c r="C4183" s="1" t="n">
        <v>45645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39566-2024</t>
        </is>
      </c>
      <c r="B4184" s="1" t="n">
        <v>45552</v>
      </c>
      <c r="C4184" s="1" t="n">
        <v>45645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39571-2024</t>
        </is>
      </c>
      <c r="B4185" s="1" t="n">
        <v>45552</v>
      </c>
      <c r="C4185" s="1" t="n">
        <v>45645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39579-2024</t>
        </is>
      </c>
      <c r="B4186" s="1" t="n">
        <v>45552</v>
      </c>
      <c r="C4186" s="1" t="n">
        <v>45645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27.3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39637-2024</t>
        </is>
      </c>
      <c r="B4187" s="1" t="n">
        <v>45552</v>
      </c>
      <c r="C4187" s="1" t="n">
        <v>45645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39635-2024</t>
        </is>
      </c>
      <c r="B4188" s="1" t="n">
        <v>45552</v>
      </c>
      <c r="C4188" s="1" t="n">
        <v>45645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39723-2024</t>
        </is>
      </c>
      <c r="B4189" s="1" t="n">
        <v>45552</v>
      </c>
      <c r="C4189" s="1" t="n">
        <v>45645</v>
      </c>
      <c r="D4189" t="inlineStr">
        <is>
          <t>VÄSTERNORRLANDS LÄN</t>
        </is>
      </c>
      <c r="E4189" t="inlineStr">
        <is>
          <t>ÖRNSKÖLDSVIK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39636-2024</t>
        </is>
      </c>
      <c r="B4190" s="1" t="n">
        <v>45552</v>
      </c>
      <c r="C4190" s="1" t="n">
        <v>45645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39700-2024</t>
        </is>
      </c>
      <c r="B4191" s="1" t="n">
        <v>45552</v>
      </c>
      <c r="C4191" s="1" t="n">
        <v>45645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39732-2024</t>
        </is>
      </c>
      <c r="B4192" s="1" t="n">
        <v>45552</v>
      </c>
      <c r="C4192" s="1" t="n">
        <v>45645</v>
      </c>
      <c r="D4192" t="inlineStr">
        <is>
          <t>VÄSTERNORRLANDS LÄN</t>
        </is>
      </c>
      <c r="E4192" t="inlineStr">
        <is>
          <t>ÖRNSKÖLDSVIK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39602-2024</t>
        </is>
      </c>
      <c r="B4193" s="1" t="n">
        <v>45552</v>
      </c>
      <c r="C4193" s="1" t="n">
        <v>45645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39831-2024</t>
        </is>
      </c>
      <c r="B4194" s="1" t="n">
        <v>45553</v>
      </c>
      <c r="C4194" s="1" t="n">
        <v>45645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39811-2024</t>
        </is>
      </c>
      <c r="B4195" s="1" t="n">
        <v>45553</v>
      </c>
      <c r="C4195" s="1" t="n">
        <v>45645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39833-2024</t>
        </is>
      </c>
      <c r="B4196" s="1" t="n">
        <v>45553</v>
      </c>
      <c r="C4196" s="1" t="n">
        <v>45645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39903-2024</t>
        </is>
      </c>
      <c r="B4197" s="1" t="n">
        <v>45553</v>
      </c>
      <c r="C4197" s="1" t="n">
        <v>45645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18.9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39841-2024</t>
        </is>
      </c>
      <c r="B4198" s="1" t="n">
        <v>45553</v>
      </c>
      <c r="C4198" s="1" t="n">
        <v>45645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39904-2024</t>
        </is>
      </c>
      <c r="B4199" s="1" t="n">
        <v>45553</v>
      </c>
      <c r="C4199" s="1" t="n">
        <v>45645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8.6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40003-2024</t>
        </is>
      </c>
      <c r="B4200" s="1" t="n">
        <v>45553</v>
      </c>
      <c r="C4200" s="1" t="n">
        <v>45645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39969-2024</t>
        </is>
      </c>
      <c r="B4201" s="1" t="n">
        <v>45553</v>
      </c>
      <c r="C4201" s="1" t="n">
        <v>45645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39808-2024</t>
        </is>
      </c>
      <c r="B4202" s="1" t="n">
        <v>45553</v>
      </c>
      <c r="C4202" s="1" t="n">
        <v>45645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39863-2024</t>
        </is>
      </c>
      <c r="B4203" s="1" t="n">
        <v>45553</v>
      </c>
      <c r="C4203" s="1" t="n">
        <v>45645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40172-2024</t>
        </is>
      </c>
      <c r="B4204" s="1" t="n">
        <v>45554</v>
      </c>
      <c r="C4204" s="1" t="n">
        <v>45645</v>
      </c>
      <c r="D4204" t="inlineStr">
        <is>
          <t>VÄSTERNORRLANDS LÄN</t>
        </is>
      </c>
      <c r="E4204" t="inlineStr">
        <is>
          <t>ÖRNSKÖLDSVIK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40276-2024</t>
        </is>
      </c>
      <c r="B4205" s="1" t="n">
        <v>45554</v>
      </c>
      <c r="C4205" s="1" t="n">
        <v>45645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40207-2024</t>
        </is>
      </c>
      <c r="B4206" s="1" t="n">
        <v>45554</v>
      </c>
      <c r="C4206" s="1" t="n">
        <v>45645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40153-2024</t>
        </is>
      </c>
      <c r="B4207" s="1" t="n">
        <v>45554</v>
      </c>
      <c r="C4207" s="1" t="n">
        <v>45645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40143-2024</t>
        </is>
      </c>
      <c r="B4208" s="1" t="n">
        <v>45554</v>
      </c>
      <c r="C4208" s="1" t="n">
        <v>45645</v>
      </c>
      <c r="D4208" t="inlineStr">
        <is>
          <t>VÄSTERNORRLANDS LÄN</t>
        </is>
      </c>
      <c r="E4208" t="inlineStr">
        <is>
          <t>ÖRNSKÖLDSVIK</t>
        </is>
      </c>
      <c r="G4208" t="n">
        <v>14.7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40212-2024</t>
        </is>
      </c>
      <c r="B4209" s="1" t="n">
        <v>45554</v>
      </c>
      <c r="C4209" s="1" t="n">
        <v>45645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40342-2024</t>
        </is>
      </c>
      <c r="B4210" s="1" t="n">
        <v>45555</v>
      </c>
      <c r="C4210" s="1" t="n">
        <v>45645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40350-2024</t>
        </is>
      </c>
      <c r="B4211" s="1" t="n">
        <v>45555</v>
      </c>
      <c r="C4211" s="1" t="n">
        <v>45645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40362-2024</t>
        </is>
      </c>
      <c r="B4212" s="1" t="n">
        <v>45555</v>
      </c>
      <c r="C4212" s="1" t="n">
        <v>45645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40396-2024</t>
        </is>
      </c>
      <c r="B4213" s="1" t="n">
        <v>45555</v>
      </c>
      <c r="C4213" s="1" t="n">
        <v>45645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9.5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40508-2024</t>
        </is>
      </c>
      <c r="B4214" s="1" t="n">
        <v>45555</v>
      </c>
      <c r="C4214" s="1" t="n">
        <v>45645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40490-2024</t>
        </is>
      </c>
      <c r="B4215" s="1" t="n">
        <v>45555</v>
      </c>
      <c r="C4215" s="1" t="n">
        <v>45645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40526-2024</t>
        </is>
      </c>
      <c r="B4216" s="1" t="n">
        <v>45555</v>
      </c>
      <c r="C4216" s="1" t="n">
        <v>45645</v>
      </c>
      <c r="D4216" t="inlineStr">
        <is>
          <t>VÄSTERNORRLANDS LÄN</t>
        </is>
      </c>
      <c r="E4216" t="inlineStr">
        <is>
          <t>ÖRNSKÖLDSVIK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40690-2024</t>
        </is>
      </c>
      <c r="B4217" s="1" t="n">
        <v>45558</v>
      </c>
      <c r="C4217" s="1" t="n">
        <v>45645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40764-2024</t>
        </is>
      </c>
      <c r="B4218" s="1" t="n">
        <v>45558</v>
      </c>
      <c r="C4218" s="1" t="n">
        <v>45645</v>
      </c>
      <c r="D4218" t="inlineStr">
        <is>
          <t>VÄSTERNORRLANDS LÄN</t>
        </is>
      </c>
      <c r="E4218" t="inlineStr">
        <is>
          <t>ÖRNSKÖLDSVIK</t>
        </is>
      </c>
      <c r="G4218" t="n">
        <v>5.5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40705-2024</t>
        </is>
      </c>
      <c r="B4219" s="1" t="n">
        <v>45558</v>
      </c>
      <c r="C4219" s="1" t="n">
        <v>45645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40708-2024</t>
        </is>
      </c>
      <c r="B4220" s="1" t="n">
        <v>45558</v>
      </c>
      <c r="C4220" s="1" t="n">
        <v>45645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40872-2024</t>
        </is>
      </c>
      <c r="B4221" s="1" t="n">
        <v>45558</v>
      </c>
      <c r="C4221" s="1" t="n">
        <v>45645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40913-2024</t>
        </is>
      </c>
      <c r="B4222" s="1" t="n">
        <v>45558</v>
      </c>
      <c r="C4222" s="1" t="n">
        <v>45645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40949-2024</t>
        </is>
      </c>
      <c r="B4223" s="1" t="n">
        <v>45558</v>
      </c>
      <c r="C4223" s="1" t="n">
        <v>45645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40977-2024</t>
        </is>
      </c>
      <c r="B4224" s="1" t="n">
        <v>45558</v>
      </c>
      <c r="C4224" s="1" t="n">
        <v>45645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40769-2024</t>
        </is>
      </c>
      <c r="B4225" s="1" t="n">
        <v>45558</v>
      </c>
      <c r="C4225" s="1" t="n">
        <v>45645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40854-2024</t>
        </is>
      </c>
      <c r="B4226" s="1" t="n">
        <v>45558</v>
      </c>
      <c r="C4226" s="1" t="n">
        <v>45645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40890-2024</t>
        </is>
      </c>
      <c r="B4227" s="1" t="n">
        <v>45558</v>
      </c>
      <c r="C4227" s="1" t="n">
        <v>45645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41238-2024</t>
        </is>
      </c>
      <c r="B4228" s="1" t="n">
        <v>45558</v>
      </c>
      <c r="C4228" s="1" t="n">
        <v>45645</v>
      </c>
      <c r="D4228" t="inlineStr">
        <is>
          <t>VÄSTERNORRLANDS LÄN</t>
        </is>
      </c>
      <c r="E4228" t="inlineStr">
        <is>
          <t>ÖRNSKÖLDSVIK</t>
        </is>
      </c>
      <c r="G4228" t="n">
        <v>7.5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41010-2024</t>
        </is>
      </c>
      <c r="B4229" s="1" t="n">
        <v>45559</v>
      </c>
      <c r="C4229" s="1" t="n">
        <v>45645</v>
      </c>
      <c r="D4229" t="inlineStr">
        <is>
          <t>VÄSTERNORRLANDS LÄN</t>
        </is>
      </c>
      <c r="E4229" t="inlineStr">
        <is>
          <t>ÖRNSKÖLDSVIK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41043-2024</t>
        </is>
      </c>
      <c r="B4230" s="1" t="n">
        <v>45559</v>
      </c>
      <c r="C4230" s="1" t="n">
        <v>45645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41045-2024</t>
        </is>
      </c>
      <c r="B4231" s="1" t="n">
        <v>45559</v>
      </c>
      <c r="C4231" s="1" t="n">
        <v>45645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41102-2024</t>
        </is>
      </c>
      <c r="B4232" s="1" t="n">
        <v>45559</v>
      </c>
      <c r="C4232" s="1" t="n">
        <v>45645</v>
      </c>
      <c r="D4232" t="inlineStr">
        <is>
          <t>VÄSTERNORRLANDS LÄN</t>
        </is>
      </c>
      <c r="E4232" t="inlineStr">
        <is>
          <t>ÖRNSKÖLDSVIK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41075-2024</t>
        </is>
      </c>
      <c r="B4233" s="1" t="n">
        <v>45559</v>
      </c>
      <c r="C4233" s="1" t="n">
        <v>45645</v>
      </c>
      <c r="D4233" t="inlineStr">
        <is>
          <t>VÄSTERNORRLANDS LÄN</t>
        </is>
      </c>
      <c r="E4233" t="inlineStr">
        <is>
          <t>ÖRNSKÖLDSVIK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41111-2024</t>
        </is>
      </c>
      <c r="B4234" s="1" t="n">
        <v>45559</v>
      </c>
      <c r="C4234" s="1" t="n">
        <v>45645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41265-2024</t>
        </is>
      </c>
      <c r="B4235" s="1" t="n">
        <v>45559</v>
      </c>
      <c r="C4235" s="1" t="n">
        <v>45645</v>
      </c>
      <c r="D4235" t="inlineStr">
        <is>
          <t>VÄSTERNORRLANDS LÄN</t>
        </is>
      </c>
      <c r="E4235" t="inlineStr">
        <is>
          <t>ÖRNSKÖLDSVIK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41327-2024</t>
        </is>
      </c>
      <c r="B4236" s="1" t="n">
        <v>45559</v>
      </c>
      <c r="C4236" s="1" t="n">
        <v>45645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41009-2024</t>
        </is>
      </c>
      <c r="B4237" s="1" t="n">
        <v>45559</v>
      </c>
      <c r="C4237" s="1" t="n">
        <v>45645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41114-2024</t>
        </is>
      </c>
      <c r="B4238" s="1" t="n">
        <v>45559</v>
      </c>
      <c r="C4238" s="1" t="n">
        <v>45645</v>
      </c>
      <c r="D4238" t="inlineStr">
        <is>
          <t>VÄSTERNORRLANDS LÄN</t>
        </is>
      </c>
      <c r="E4238" t="inlineStr">
        <is>
          <t>ÖRNSKÖLDSVIK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41147-2024</t>
        </is>
      </c>
      <c r="B4239" s="1" t="n">
        <v>45559</v>
      </c>
      <c r="C4239" s="1" t="n">
        <v>45645</v>
      </c>
      <c r="D4239" t="inlineStr">
        <is>
          <t>VÄSTERNORRLANDS LÄN</t>
        </is>
      </c>
      <c r="E4239" t="inlineStr">
        <is>
          <t>ÖRNSKÖLDSVIK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45645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45645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41435-2024</t>
        </is>
      </c>
      <c r="B4242" s="1" t="n">
        <v>45560</v>
      </c>
      <c r="C4242" s="1" t="n">
        <v>45645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41492-2024</t>
        </is>
      </c>
      <c r="B4243" s="1" t="n">
        <v>45560</v>
      </c>
      <c r="C4243" s="1" t="n">
        <v>45645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41594-2024</t>
        </is>
      </c>
      <c r="B4244" s="1" t="n">
        <v>45560</v>
      </c>
      <c r="C4244" s="1" t="n">
        <v>45645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SCA</t>
        </is>
      </c>
      <c r="G4244" t="n">
        <v>19.8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41600-2024</t>
        </is>
      </c>
      <c r="B4245" s="1" t="n">
        <v>45560</v>
      </c>
      <c r="C4245" s="1" t="n">
        <v>45645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41520-2024</t>
        </is>
      </c>
      <c r="B4246" s="1" t="n">
        <v>45560</v>
      </c>
      <c r="C4246" s="1" t="n">
        <v>45645</v>
      </c>
      <c r="D4246" t="inlineStr">
        <is>
          <t>VÄSTERNORRLANDS LÄN</t>
        </is>
      </c>
      <c r="E4246" t="inlineStr">
        <is>
          <t>ÖRNSKÖLDSVIK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41580-2024</t>
        </is>
      </c>
      <c r="B4247" s="1" t="n">
        <v>45560</v>
      </c>
      <c r="C4247" s="1" t="n">
        <v>45645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41560-2024</t>
        </is>
      </c>
      <c r="B4248" s="1" t="n">
        <v>45560</v>
      </c>
      <c r="C4248" s="1" t="n">
        <v>45645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41589-2024</t>
        </is>
      </c>
      <c r="B4249" s="1" t="n">
        <v>45560</v>
      </c>
      <c r="C4249" s="1" t="n">
        <v>45645</v>
      </c>
      <c r="D4249" t="inlineStr">
        <is>
          <t>VÄSTERNORRLANDS LÄN</t>
        </is>
      </c>
      <c r="E4249" t="inlineStr">
        <is>
          <t>ÖRNSKÖLDSVIK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41617-2024</t>
        </is>
      </c>
      <c r="B4250" s="1" t="n">
        <v>45560</v>
      </c>
      <c r="C4250" s="1" t="n">
        <v>45645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41619-2024</t>
        </is>
      </c>
      <c r="B4251" s="1" t="n">
        <v>45560</v>
      </c>
      <c r="C4251" s="1" t="n">
        <v>45645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42075-2024</t>
        </is>
      </c>
      <c r="B4252" s="1" t="n">
        <v>45562</v>
      </c>
      <c r="C4252" s="1" t="n">
        <v>45645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42118-2024</t>
        </is>
      </c>
      <c r="B4253" s="1" t="n">
        <v>45562</v>
      </c>
      <c r="C4253" s="1" t="n">
        <v>45645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42251-2024</t>
        </is>
      </c>
      <c r="B4254" s="1" t="n">
        <v>45562</v>
      </c>
      <c r="C4254" s="1" t="n">
        <v>45645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42321-2024</t>
        </is>
      </c>
      <c r="B4255" s="1" t="n">
        <v>45562</v>
      </c>
      <c r="C4255" s="1" t="n">
        <v>45645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42139-2024</t>
        </is>
      </c>
      <c r="B4256" s="1" t="n">
        <v>45562</v>
      </c>
      <c r="C4256" s="1" t="n">
        <v>45645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42318-2024</t>
        </is>
      </c>
      <c r="B4257" s="1" t="n">
        <v>45562</v>
      </c>
      <c r="C4257" s="1" t="n">
        <v>45645</v>
      </c>
      <c r="D4257" t="inlineStr">
        <is>
          <t>VÄSTERNORRLANDS LÄN</t>
        </is>
      </c>
      <c r="E4257" t="inlineStr">
        <is>
          <t>ÖRNSKÖLDSVIK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42330-2024</t>
        </is>
      </c>
      <c r="B4258" s="1" t="n">
        <v>45562</v>
      </c>
      <c r="C4258" s="1" t="n">
        <v>45645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42338-2024</t>
        </is>
      </c>
      <c r="B4259" s="1" t="n">
        <v>45562</v>
      </c>
      <c r="C4259" s="1" t="n">
        <v>45645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42357-2024</t>
        </is>
      </c>
      <c r="B4260" s="1" t="n">
        <v>45562</v>
      </c>
      <c r="C4260" s="1" t="n">
        <v>45645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42419-2024</t>
        </is>
      </c>
      <c r="B4261" s="1" t="n">
        <v>45563</v>
      </c>
      <c r="C4261" s="1" t="n">
        <v>45645</v>
      </c>
      <c r="D4261" t="inlineStr">
        <is>
          <t>VÄSTERNORRLANDS LÄN</t>
        </is>
      </c>
      <c r="E4261" t="inlineStr">
        <is>
          <t>ÖRNSKÖLDSVIK</t>
        </is>
      </c>
      <c r="G4261" t="n">
        <v>5.9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45645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45645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42584-2024</t>
        </is>
      </c>
      <c r="B4264" s="1" t="n">
        <v>45565</v>
      </c>
      <c r="C4264" s="1" t="n">
        <v>45645</v>
      </c>
      <c r="D4264" t="inlineStr">
        <is>
          <t>VÄSTERNORRLANDS LÄN</t>
        </is>
      </c>
      <c r="E4264" t="inlineStr">
        <is>
          <t>ÖRNSKÖLDSVIK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42451-2024</t>
        </is>
      </c>
      <c r="B4265" s="1" t="n">
        <v>45565</v>
      </c>
      <c r="C4265" s="1" t="n">
        <v>45645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45645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42578-2024</t>
        </is>
      </c>
      <c r="B4267" s="1" t="n">
        <v>45565</v>
      </c>
      <c r="C4267" s="1" t="n">
        <v>45645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42566-2024</t>
        </is>
      </c>
      <c r="B4268" s="1" t="n">
        <v>45565</v>
      </c>
      <c r="C4268" s="1" t="n">
        <v>45645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42573-2024</t>
        </is>
      </c>
      <c r="B4269" s="1" t="n">
        <v>45565</v>
      </c>
      <c r="C4269" s="1" t="n">
        <v>45645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42532-2024</t>
        </is>
      </c>
      <c r="B4270" s="1" t="n">
        <v>45565</v>
      </c>
      <c r="C4270" s="1" t="n">
        <v>45645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42528-2024</t>
        </is>
      </c>
      <c r="B4271" s="1" t="n">
        <v>45565</v>
      </c>
      <c r="C4271" s="1" t="n">
        <v>45645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42450-2024</t>
        </is>
      </c>
      <c r="B4272" s="1" t="n">
        <v>45565</v>
      </c>
      <c r="C4272" s="1" t="n">
        <v>45645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42441-2024</t>
        </is>
      </c>
      <c r="B4273" s="1" t="n">
        <v>45565</v>
      </c>
      <c r="C4273" s="1" t="n">
        <v>45645</v>
      </c>
      <c r="D4273" t="inlineStr">
        <is>
          <t>VÄSTERNORRLANDS LÄN</t>
        </is>
      </c>
      <c r="E4273" t="inlineStr">
        <is>
          <t>ÖRNSKÖLDSVIK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42583-2024</t>
        </is>
      </c>
      <c r="B4274" s="1" t="n">
        <v>45565</v>
      </c>
      <c r="C4274" s="1" t="n">
        <v>45645</v>
      </c>
      <c r="D4274" t="inlineStr">
        <is>
          <t>VÄSTERNORRLANDS LÄN</t>
        </is>
      </c>
      <c r="E4274" t="inlineStr">
        <is>
          <t>ÖRNSKÖLDSVIK</t>
        </is>
      </c>
      <c r="G4274" t="n">
        <v>11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42492-2024</t>
        </is>
      </c>
      <c r="B4275" s="1" t="n">
        <v>45565</v>
      </c>
      <c r="C4275" s="1" t="n">
        <v>45645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42853-2024</t>
        </is>
      </c>
      <c r="B4276" s="1" t="n">
        <v>45566</v>
      </c>
      <c r="C4276" s="1" t="n">
        <v>45645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42813-2024</t>
        </is>
      </c>
      <c r="B4277" s="1" t="n">
        <v>45566</v>
      </c>
      <c r="C4277" s="1" t="n">
        <v>45645</v>
      </c>
      <c r="D4277" t="inlineStr">
        <is>
          <t>VÄSTERNORRLANDS LÄN</t>
        </is>
      </c>
      <c r="E4277" t="inlineStr">
        <is>
          <t>ÖRNSKÖLDSVIK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42733-2024</t>
        </is>
      </c>
      <c r="B4278" s="1" t="n">
        <v>45566</v>
      </c>
      <c r="C4278" s="1" t="n">
        <v>45645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42838-2024</t>
        </is>
      </c>
      <c r="B4279" s="1" t="n">
        <v>45566</v>
      </c>
      <c r="C4279" s="1" t="n">
        <v>45645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42807-2024</t>
        </is>
      </c>
      <c r="B4280" s="1" t="n">
        <v>45566</v>
      </c>
      <c r="C4280" s="1" t="n">
        <v>45645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42768-2024</t>
        </is>
      </c>
      <c r="B4281" s="1" t="n">
        <v>45566</v>
      </c>
      <c r="C4281" s="1" t="n">
        <v>45645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42944-2024</t>
        </is>
      </c>
      <c r="B4282" s="1" t="n">
        <v>45567</v>
      </c>
      <c r="C4282" s="1" t="n">
        <v>45645</v>
      </c>
      <c r="D4282" t="inlineStr">
        <is>
          <t>VÄSTERNORRLANDS LÄN</t>
        </is>
      </c>
      <c r="E4282" t="inlineStr">
        <is>
          <t>ÖRNSKÖLDSVIK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43138-2024</t>
        </is>
      </c>
      <c r="B4283" s="1" t="n">
        <v>45567</v>
      </c>
      <c r="C4283" s="1" t="n">
        <v>45645</v>
      </c>
      <c r="D4283" t="inlineStr">
        <is>
          <t>VÄSTERNORRLANDS LÄN</t>
        </is>
      </c>
      <c r="E4283" t="inlineStr">
        <is>
          <t>ÖRNSKÖLDSVIK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43146-2024</t>
        </is>
      </c>
      <c r="B4284" s="1" t="n">
        <v>45567</v>
      </c>
      <c r="C4284" s="1" t="n">
        <v>45645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43127-2024</t>
        </is>
      </c>
      <c r="B4285" s="1" t="n">
        <v>45567</v>
      </c>
      <c r="C4285" s="1" t="n">
        <v>45645</v>
      </c>
      <c r="D4285" t="inlineStr">
        <is>
          <t>VÄSTERNORRLANDS LÄN</t>
        </is>
      </c>
      <c r="E4285" t="inlineStr">
        <is>
          <t>ÖRNSKÖLDSVIK</t>
        </is>
      </c>
      <c r="G4285" t="n">
        <v>7.5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43209-2024</t>
        </is>
      </c>
      <c r="B4286" s="1" t="n">
        <v>45567</v>
      </c>
      <c r="C4286" s="1" t="n">
        <v>45645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43013-2024</t>
        </is>
      </c>
      <c r="B4287" s="1" t="n">
        <v>45567</v>
      </c>
      <c r="C4287" s="1" t="n">
        <v>45645</v>
      </c>
      <c r="D4287" t="inlineStr">
        <is>
          <t>VÄSTERNORRLANDS LÄN</t>
        </is>
      </c>
      <c r="E4287" t="inlineStr">
        <is>
          <t>ÖRNSKÖLDSVIK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43009-2024</t>
        </is>
      </c>
      <c r="B4288" s="1" t="n">
        <v>45567</v>
      </c>
      <c r="C4288" s="1" t="n">
        <v>45645</v>
      </c>
      <c r="D4288" t="inlineStr">
        <is>
          <t>VÄSTERNORRLANDS LÄN</t>
        </is>
      </c>
      <c r="E4288" t="inlineStr">
        <is>
          <t>ÖRNSKÖLDSVIK</t>
        </is>
      </c>
      <c r="G4288" t="n">
        <v>4.5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43169-2024</t>
        </is>
      </c>
      <c r="B4289" s="1" t="n">
        <v>45567</v>
      </c>
      <c r="C4289" s="1" t="n">
        <v>45645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43161-2024</t>
        </is>
      </c>
      <c r="B4290" s="1" t="n">
        <v>45567</v>
      </c>
      <c r="C4290" s="1" t="n">
        <v>45645</v>
      </c>
      <c r="D4290" t="inlineStr">
        <is>
          <t>VÄSTERNORRLANDS LÄN</t>
        </is>
      </c>
      <c r="E4290" t="inlineStr">
        <is>
          <t>ÖRNSKÖLDSVIK</t>
        </is>
      </c>
      <c r="G4290" t="n">
        <v>17.9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42939-2024</t>
        </is>
      </c>
      <c r="B4291" s="1" t="n">
        <v>45567</v>
      </c>
      <c r="C4291" s="1" t="n">
        <v>45645</v>
      </c>
      <c r="D4291" t="inlineStr">
        <is>
          <t>VÄSTERNORRLANDS LÄN</t>
        </is>
      </c>
      <c r="E4291" t="inlineStr">
        <is>
          <t>ÖRNSKÖLDSVIK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43407-2024</t>
        </is>
      </c>
      <c r="B4292" s="1" t="n">
        <v>45568</v>
      </c>
      <c r="C4292" s="1" t="n">
        <v>45645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43373-2024</t>
        </is>
      </c>
      <c r="B4293" s="1" t="n">
        <v>45568</v>
      </c>
      <c r="C4293" s="1" t="n">
        <v>45645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6.1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43337-2024</t>
        </is>
      </c>
      <c r="B4294" s="1" t="n">
        <v>45568</v>
      </c>
      <c r="C4294" s="1" t="n">
        <v>45645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43370-2024</t>
        </is>
      </c>
      <c r="B4295" s="1" t="n">
        <v>45568</v>
      </c>
      <c r="C4295" s="1" t="n">
        <v>45645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43304-2024</t>
        </is>
      </c>
      <c r="B4296" s="1" t="n">
        <v>45568</v>
      </c>
      <c r="C4296" s="1" t="n">
        <v>45645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43634-2024</t>
        </is>
      </c>
      <c r="B4297" s="1" t="n">
        <v>45569</v>
      </c>
      <c r="C4297" s="1" t="n">
        <v>45645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43693-2024</t>
        </is>
      </c>
      <c r="B4298" s="1" t="n">
        <v>45569</v>
      </c>
      <c r="C4298" s="1" t="n">
        <v>45645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43628-2024</t>
        </is>
      </c>
      <c r="B4299" s="1" t="n">
        <v>45569</v>
      </c>
      <c r="C4299" s="1" t="n">
        <v>45645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SCA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43826-2024</t>
        </is>
      </c>
      <c r="B4300" s="1" t="n">
        <v>45572</v>
      </c>
      <c r="C4300" s="1" t="n">
        <v>45645</v>
      </c>
      <c r="D4300" t="inlineStr">
        <is>
          <t>VÄSTERNORRLANDS LÄN</t>
        </is>
      </c>
      <c r="E4300" t="inlineStr">
        <is>
          <t>ÖRNSKÖLDSVIK</t>
        </is>
      </c>
      <c r="G4300" t="n">
        <v>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44159-2024</t>
        </is>
      </c>
      <c r="B4301" s="1" t="n">
        <v>45572</v>
      </c>
      <c r="C4301" s="1" t="n">
        <v>45645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44119-2024</t>
        </is>
      </c>
      <c r="B4302" s="1" t="n">
        <v>45572</v>
      </c>
      <c r="C4302" s="1" t="n">
        <v>45645</v>
      </c>
      <c r="D4302" t="inlineStr">
        <is>
          <t>VÄSTERNORRLANDS LÄN</t>
        </is>
      </c>
      <c r="E4302" t="inlineStr">
        <is>
          <t>ÖRNSKÖLDSVIK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43891-2024</t>
        </is>
      </c>
      <c r="B4303" s="1" t="n">
        <v>45572</v>
      </c>
      <c r="C4303" s="1" t="n">
        <v>45645</v>
      </c>
      <c r="D4303" t="inlineStr">
        <is>
          <t>VÄSTERNORRLANDS LÄN</t>
        </is>
      </c>
      <c r="E4303" t="inlineStr">
        <is>
          <t>ÖRNSKÖLDSVIK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43887-2024</t>
        </is>
      </c>
      <c r="B4304" s="1" t="n">
        <v>45572</v>
      </c>
      <c r="C4304" s="1" t="n">
        <v>45645</v>
      </c>
      <c r="D4304" t="inlineStr">
        <is>
          <t>VÄSTERNORRLANDS LÄN</t>
        </is>
      </c>
      <c r="E4304" t="inlineStr">
        <is>
          <t>ÖRNSKÖLDSVIK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44118-2024</t>
        </is>
      </c>
      <c r="B4305" s="1" t="n">
        <v>45572</v>
      </c>
      <c r="C4305" s="1" t="n">
        <v>45645</v>
      </c>
      <c r="D4305" t="inlineStr">
        <is>
          <t>VÄSTERNORRLANDS LÄN</t>
        </is>
      </c>
      <c r="E4305" t="inlineStr">
        <is>
          <t>ÖRNSKÖLDSVIK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44160-2024</t>
        </is>
      </c>
      <c r="B4306" s="1" t="n">
        <v>45572</v>
      </c>
      <c r="C4306" s="1" t="n">
        <v>45645</v>
      </c>
      <c r="D4306" t="inlineStr">
        <is>
          <t>VÄSTERNORRLANDS LÄN</t>
        </is>
      </c>
      <c r="E4306" t="inlineStr">
        <is>
          <t>ÖRNSKÖLDSVIK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43906-2024</t>
        </is>
      </c>
      <c r="B4307" s="1" t="n">
        <v>45572</v>
      </c>
      <c r="C4307" s="1" t="n">
        <v>45645</v>
      </c>
      <c r="D4307" t="inlineStr">
        <is>
          <t>VÄSTERNORRLANDS LÄN</t>
        </is>
      </c>
      <c r="E4307" t="inlineStr">
        <is>
          <t>ÖRNSKÖLDSVIK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44380-2024</t>
        </is>
      </c>
      <c r="B4308" s="1" t="n">
        <v>45573</v>
      </c>
      <c r="C4308" s="1" t="n">
        <v>45645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44250-2024</t>
        </is>
      </c>
      <c r="B4309" s="1" t="n">
        <v>45573</v>
      </c>
      <c r="C4309" s="1" t="n">
        <v>45645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44307-2024</t>
        </is>
      </c>
      <c r="B4310" s="1" t="n">
        <v>45573</v>
      </c>
      <c r="C4310" s="1" t="n">
        <v>45645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44316-2024</t>
        </is>
      </c>
      <c r="B4311" s="1" t="n">
        <v>45573</v>
      </c>
      <c r="C4311" s="1" t="n">
        <v>45645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44329-2024</t>
        </is>
      </c>
      <c r="B4312" s="1" t="n">
        <v>45573</v>
      </c>
      <c r="C4312" s="1" t="n">
        <v>45645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44345-2024</t>
        </is>
      </c>
      <c r="B4313" s="1" t="n">
        <v>45573</v>
      </c>
      <c r="C4313" s="1" t="n">
        <v>45645</v>
      </c>
      <c r="D4313" t="inlineStr">
        <is>
          <t>VÄSTERNORRLANDS LÄN</t>
        </is>
      </c>
      <c r="E4313" t="inlineStr">
        <is>
          <t>ÖRNSKÖLDSVIK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44219-2024</t>
        </is>
      </c>
      <c r="B4314" s="1" t="n">
        <v>45573</v>
      </c>
      <c r="C4314" s="1" t="n">
        <v>45645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44343-2024</t>
        </is>
      </c>
      <c r="B4315" s="1" t="n">
        <v>45573</v>
      </c>
      <c r="C4315" s="1" t="n">
        <v>45645</v>
      </c>
      <c r="D4315" t="inlineStr">
        <is>
          <t>VÄSTERNORRLANDS LÄN</t>
        </is>
      </c>
      <c r="E4315" t="inlineStr">
        <is>
          <t>ÖRNSKÖLDSVIK</t>
        </is>
      </c>
      <c r="G4315" t="n">
        <v>9.1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44631-2024</t>
        </is>
      </c>
      <c r="B4316" s="1" t="n">
        <v>45574</v>
      </c>
      <c r="C4316" s="1" t="n">
        <v>45645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45100-2024</t>
        </is>
      </c>
      <c r="B4317" s="1" t="n">
        <v>45575</v>
      </c>
      <c r="C4317" s="1" t="n">
        <v>45645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45645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44907-2024</t>
        </is>
      </c>
      <c r="B4319" s="1" t="n">
        <v>45575</v>
      </c>
      <c r="C4319" s="1" t="n">
        <v>45645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45139-2024</t>
        </is>
      </c>
      <c r="B4320" s="1" t="n">
        <v>45575</v>
      </c>
      <c r="C4320" s="1" t="n">
        <v>45645</v>
      </c>
      <c r="D4320" t="inlineStr">
        <is>
          <t>VÄSTERNORRLANDS LÄN</t>
        </is>
      </c>
      <c r="E4320" t="inlineStr">
        <is>
          <t>ÖRNSKÖLDSVIK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45174-2024</t>
        </is>
      </c>
      <c r="B4321" s="1" t="n">
        <v>45575</v>
      </c>
      <c r="C4321" s="1" t="n">
        <v>45645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45178-2024</t>
        </is>
      </c>
      <c r="B4322" s="1" t="n">
        <v>45575</v>
      </c>
      <c r="C4322" s="1" t="n">
        <v>45645</v>
      </c>
      <c r="D4322" t="inlineStr">
        <is>
          <t>VÄSTERNORRLANDS LÄN</t>
        </is>
      </c>
      <c r="E4322" t="inlineStr">
        <is>
          <t>ÖRNSKÖLDSVIK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45215-2024</t>
        </is>
      </c>
      <c r="B4323" s="1" t="n">
        <v>45575</v>
      </c>
      <c r="C4323" s="1" t="n">
        <v>45645</v>
      </c>
      <c r="D4323" t="inlineStr">
        <is>
          <t>VÄSTERNORRLANDS LÄN</t>
        </is>
      </c>
      <c r="E4323" t="inlineStr">
        <is>
          <t>ÖRNSKÖLDSVIK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44865-2024</t>
        </is>
      </c>
      <c r="B4324" s="1" t="n">
        <v>45575</v>
      </c>
      <c r="C4324" s="1" t="n">
        <v>45645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45217-2024</t>
        </is>
      </c>
      <c r="B4325" s="1" t="n">
        <v>45575</v>
      </c>
      <c r="C4325" s="1" t="n">
        <v>45645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45073-2024</t>
        </is>
      </c>
      <c r="B4326" s="1" t="n">
        <v>45575</v>
      </c>
      <c r="C4326" s="1" t="n">
        <v>45645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44937-2024</t>
        </is>
      </c>
      <c r="B4327" s="1" t="n">
        <v>45575</v>
      </c>
      <c r="C4327" s="1" t="n">
        <v>45645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45645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45645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45256-2024</t>
        </is>
      </c>
      <c r="B4330" s="1" t="n">
        <v>45576</v>
      </c>
      <c r="C4330" s="1" t="n">
        <v>45645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45272-2024</t>
        </is>
      </c>
      <c r="B4331" s="1" t="n">
        <v>45576</v>
      </c>
      <c r="C4331" s="1" t="n">
        <v>45645</v>
      </c>
      <c r="D4331" t="inlineStr">
        <is>
          <t>VÄSTERNORRLANDS LÄN</t>
        </is>
      </c>
      <c r="E4331" t="inlineStr">
        <is>
          <t>ÖRNSKÖLDSVIK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45288-2024</t>
        </is>
      </c>
      <c r="B4332" s="1" t="n">
        <v>45576</v>
      </c>
      <c r="C4332" s="1" t="n">
        <v>45645</v>
      </c>
      <c r="D4332" t="inlineStr">
        <is>
          <t>VÄSTERNORRLANDS LÄN</t>
        </is>
      </c>
      <c r="E4332" t="inlineStr">
        <is>
          <t>ÖRNSKÖLDSVIK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45296-2024</t>
        </is>
      </c>
      <c r="B4333" s="1" t="n">
        <v>45576</v>
      </c>
      <c r="C4333" s="1" t="n">
        <v>45645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45250-2024</t>
        </is>
      </c>
      <c r="B4334" s="1" t="n">
        <v>45576</v>
      </c>
      <c r="C4334" s="1" t="n">
        <v>45645</v>
      </c>
      <c r="D4334" t="inlineStr">
        <is>
          <t>VÄSTERNORRLANDS LÄN</t>
        </is>
      </c>
      <c r="E4334" t="inlineStr">
        <is>
          <t>ÖRNSKÖLDSVIK</t>
        </is>
      </c>
      <c r="G4334" t="n">
        <v>18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45437-2024</t>
        </is>
      </c>
      <c r="B4335" s="1" t="n">
        <v>45576</v>
      </c>
      <c r="C4335" s="1" t="n">
        <v>45645</v>
      </c>
      <c r="D4335" t="inlineStr">
        <is>
          <t>VÄSTERNORRLANDS LÄN</t>
        </is>
      </c>
      <c r="E4335" t="inlineStr">
        <is>
          <t>ÖRNSKÖLDSVIK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45423-2024</t>
        </is>
      </c>
      <c r="B4336" s="1" t="n">
        <v>45576</v>
      </c>
      <c r="C4336" s="1" t="n">
        <v>45645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45287-2024</t>
        </is>
      </c>
      <c r="B4337" s="1" t="n">
        <v>45576</v>
      </c>
      <c r="C4337" s="1" t="n">
        <v>45645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45269-2024</t>
        </is>
      </c>
      <c r="B4338" s="1" t="n">
        <v>45576</v>
      </c>
      <c r="C4338" s="1" t="n">
        <v>45645</v>
      </c>
      <c r="D4338" t="inlineStr">
        <is>
          <t>VÄSTERNORRLANDS LÄN</t>
        </is>
      </c>
      <c r="E4338" t="inlineStr">
        <is>
          <t>ÖRNSKÖLDSVIK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45257-2024</t>
        </is>
      </c>
      <c r="B4339" s="1" t="n">
        <v>45576</v>
      </c>
      <c r="C4339" s="1" t="n">
        <v>45645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45773-2024</t>
        </is>
      </c>
      <c r="B4340" s="1" t="n">
        <v>45579</v>
      </c>
      <c r="C4340" s="1" t="n">
        <v>45645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4.5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45734-2024</t>
        </is>
      </c>
      <c r="B4341" s="1" t="n">
        <v>45579</v>
      </c>
      <c r="C4341" s="1" t="n">
        <v>45645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45784-2024</t>
        </is>
      </c>
      <c r="B4342" s="1" t="n">
        <v>45579</v>
      </c>
      <c r="C4342" s="1" t="n">
        <v>45645</v>
      </c>
      <c r="D4342" t="inlineStr">
        <is>
          <t>VÄSTERNORRLANDS LÄN</t>
        </is>
      </c>
      <c r="E4342" t="inlineStr">
        <is>
          <t>ÖRNSKÖLDSVIK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45682-2024</t>
        </is>
      </c>
      <c r="B4343" s="1" t="n">
        <v>45579</v>
      </c>
      <c r="C4343" s="1" t="n">
        <v>45645</v>
      </c>
      <c r="D4343" t="inlineStr">
        <is>
          <t>VÄSTERNORRLANDS LÄN</t>
        </is>
      </c>
      <c r="E4343" t="inlineStr">
        <is>
          <t>ÖRNSKÖLDSVIK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45565-2024</t>
        </is>
      </c>
      <c r="B4344" s="1" t="n">
        <v>45579</v>
      </c>
      <c r="C4344" s="1" t="n">
        <v>45645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45791-2024</t>
        </is>
      </c>
      <c r="B4345" s="1" t="n">
        <v>45579</v>
      </c>
      <c r="C4345" s="1" t="n">
        <v>45645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45562-2024</t>
        </is>
      </c>
      <c r="B4346" s="1" t="n">
        <v>45579</v>
      </c>
      <c r="C4346" s="1" t="n">
        <v>45645</v>
      </c>
      <c r="D4346" t="inlineStr">
        <is>
          <t>VÄSTERNORRLANDS LÄN</t>
        </is>
      </c>
      <c r="E4346" t="inlineStr">
        <is>
          <t>ÖRNSKÖLDSVIK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45558-2024</t>
        </is>
      </c>
      <c r="B4347" s="1" t="n">
        <v>45579</v>
      </c>
      <c r="C4347" s="1" t="n">
        <v>45645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45826-2024</t>
        </is>
      </c>
      <c r="B4348" s="1" t="n">
        <v>45579</v>
      </c>
      <c r="C4348" s="1" t="n">
        <v>45645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45951-2024</t>
        </is>
      </c>
      <c r="B4349" s="1" t="n">
        <v>45580</v>
      </c>
      <c r="C4349" s="1" t="n">
        <v>45645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46008-2024</t>
        </is>
      </c>
      <c r="B4350" s="1" t="n">
        <v>45580</v>
      </c>
      <c r="C4350" s="1" t="n">
        <v>45645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45870-2024</t>
        </is>
      </c>
      <c r="B4351" s="1" t="n">
        <v>45580</v>
      </c>
      <c r="C4351" s="1" t="n">
        <v>45645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46010-2024</t>
        </is>
      </c>
      <c r="B4352" s="1" t="n">
        <v>45580</v>
      </c>
      <c r="C4352" s="1" t="n">
        <v>45645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46001-2024</t>
        </is>
      </c>
      <c r="B4353" s="1" t="n">
        <v>45580</v>
      </c>
      <c r="C4353" s="1" t="n">
        <v>45645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46005-2024</t>
        </is>
      </c>
      <c r="B4354" s="1" t="n">
        <v>45580</v>
      </c>
      <c r="C4354" s="1" t="n">
        <v>45645</v>
      </c>
      <c r="D4354" t="inlineStr">
        <is>
          <t>VÄSTERNORRLANDS LÄN</t>
        </is>
      </c>
      <c r="E4354" t="inlineStr">
        <is>
          <t>ÖRNSKÖLDSVIK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45970-2024</t>
        </is>
      </c>
      <c r="B4355" s="1" t="n">
        <v>45580</v>
      </c>
      <c r="C4355" s="1" t="n">
        <v>45645</v>
      </c>
      <c r="D4355" t="inlineStr">
        <is>
          <t>VÄSTERNORRLANDS LÄN</t>
        </is>
      </c>
      <c r="E4355" t="inlineStr">
        <is>
          <t>ÖRNSKÖLDSVIK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45986-2024</t>
        </is>
      </c>
      <c r="B4356" s="1" t="n">
        <v>45580</v>
      </c>
      <c r="C4356" s="1" t="n">
        <v>45645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46003-2024</t>
        </is>
      </c>
      <c r="B4357" s="1" t="n">
        <v>45580</v>
      </c>
      <c r="C4357" s="1" t="n">
        <v>45645</v>
      </c>
      <c r="D4357" t="inlineStr">
        <is>
          <t>VÄSTERNORRLANDS LÄN</t>
        </is>
      </c>
      <c r="E4357" t="inlineStr">
        <is>
          <t>ÖRNSKÖLDSVIK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46114-2024</t>
        </is>
      </c>
      <c r="B4358" s="1" t="n">
        <v>45581</v>
      </c>
      <c r="C4358" s="1" t="n">
        <v>45645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46105-2024</t>
        </is>
      </c>
      <c r="B4359" s="1" t="n">
        <v>45581</v>
      </c>
      <c r="C4359" s="1" t="n">
        <v>45645</v>
      </c>
      <c r="D4359" t="inlineStr">
        <is>
          <t>VÄSTERNORRLANDS LÄN</t>
        </is>
      </c>
      <c r="E4359" t="inlineStr">
        <is>
          <t>ÖRNSKÖLDSVIK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46215-2024</t>
        </is>
      </c>
      <c r="B4360" s="1" t="n">
        <v>45581</v>
      </c>
      <c r="C4360" s="1" t="n">
        <v>45645</v>
      </c>
      <c r="D4360" t="inlineStr">
        <is>
          <t>VÄSTERNORRLANDS LÄN</t>
        </is>
      </c>
      <c r="E4360" t="inlineStr">
        <is>
          <t>ÖRNSKÖLDSVIK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46204-2024</t>
        </is>
      </c>
      <c r="B4361" s="1" t="n">
        <v>45581</v>
      </c>
      <c r="C4361" s="1" t="n">
        <v>45645</v>
      </c>
      <c r="D4361" t="inlineStr">
        <is>
          <t>VÄSTERNORRLANDS LÄN</t>
        </is>
      </c>
      <c r="E4361" t="inlineStr">
        <is>
          <t>ÖRNSKÖLDSVIK</t>
        </is>
      </c>
      <c r="G4361" t="n">
        <v>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46155-2024</t>
        </is>
      </c>
      <c r="B4362" s="1" t="n">
        <v>45581</v>
      </c>
      <c r="C4362" s="1" t="n">
        <v>45645</v>
      </c>
      <c r="D4362" t="inlineStr">
        <is>
          <t>VÄSTERNORRLANDS LÄN</t>
        </is>
      </c>
      <c r="E4362" t="inlineStr">
        <is>
          <t>ÖRNSKÖLDSVIK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46265-2024</t>
        </is>
      </c>
      <c r="B4363" s="1" t="n">
        <v>45581</v>
      </c>
      <c r="C4363" s="1" t="n">
        <v>45645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46266-2024</t>
        </is>
      </c>
      <c r="B4364" s="1" t="n">
        <v>45581</v>
      </c>
      <c r="C4364" s="1" t="n">
        <v>45645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46210-2024</t>
        </is>
      </c>
      <c r="B4365" s="1" t="n">
        <v>45581</v>
      </c>
      <c r="C4365" s="1" t="n">
        <v>45645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46508-2024</t>
        </is>
      </c>
      <c r="B4366" s="1" t="n">
        <v>45582</v>
      </c>
      <c r="C4366" s="1" t="n">
        <v>45645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46568-2024</t>
        </is>
      </c>
      <c r="B4367" s="1" t="n">
        <v>45582</v>
      </c>
      <c r="C4367" s="1" t="n">
        <v>45645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46558-2024</t>
        </is>
      </c>
      <c r="B4368" s="1" t="n">
        <v>45582</v>
      </c>
      <c r="C4368" s="1" t="n">
        <v>45645</v>
      </c>
      <c r="D4368" t="inlineStr">
        <is>
          <t>VÄSTERNORRLANDS LÄN</t>
        </is>
      </c>
      <c r="E4368" t="inlineStr">
        <is>
          <t>ÖRNSKÖLDSVIK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46570-2024</t>
        </is>
      </c>
      <c r="B4369" s="1" t="n">
        <v>45582</v>
      </c>
      <c r="C4369" s="1" t="n">
        <v>45645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46350-2024</t>
        </is>
      </c>
      <c r="B4370" s="1" t="n">
        <v>45582</v>
      </c>
      <c r="C4370" s="1" t="n">
        <v>45645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46563-2024</t>
        </is>
      </c>
      <c r="B4371" s="1" t="n">
        <v>45582</v>
      </c>
      <c r="C4371" s="1" t="n">
        <v>45645</v>
      </c>
      <c r="D4371" t="inlineStr">
        <is>
          <t>VÄSTERNORRLANDS LÄN</t>
        </is>
      </c>
      <c r="E4371" t="inlineStr">
        <is>
          <t>ÖRNSKÖLDSVIK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46356-2024</t>
        </is>
      </c>
      <c r="B4372" s="1" t="n">
        <v>45582</v>
      </c>
      <c r="C4372" s="1" t="n">
        <v>45645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46553-2024</t>
        </is>
      </c>
      <c r="B4373" s="1" t="n">
        <v>45582</v>
      </c>
      <c r="C4373" s="1" t="n">
        <v>45645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46826-2024</t>
        </is>
      </c>
      <c r="B4374" s="1" t="n">
        <v>45583</v>
      </c>
      <c r="C4374" s="1" t="n">
        <v>45645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46685-2024</t>
        </is>
      </c>
      <c r="B4375" s="1" t="n">
        <v>45583</v>
      </c>
      <c r="C4375" s="1" t="n">
        <v>45645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46623-2024</t>
        </is>
      </c>
      <c r="B4376" s="1" t="n">
        <v>45583</v>
      </c>
      <c r="C4376" s="1" t="n">
        <v>45645</v>
      </c>
      <c r="D4376" t="inlineStr">
        <is>
          <t>VÄSTERNORRLANDS LÄN</t>
        </is>
      </c>
      <c r="E4376" t="inlineStr">
        <is>
          <t>ÖRNSKÖLDSVIK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46630-2024</t>
        </is>
      </c>
      <c r="B4377" s="1" t="n">
        <v>45583</v>
      </c>
      <c r="C4377" s="1" t="n">
        <v>45645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46971-2024</t>
        </is>
      </c>
      <c r="B4378" s="1" t="n">
        <v>45586</v>
      </c>
      <c r="C4378" s="1" t="n">
        <v>45645</v>
      </c>
      <c r="D4378" t="inlineStr">
        <is>
          <t>VÄSTERNORRLANDS LÄN</t>
        </is>
      </c>
      <c r="E4378" t="inlineStr">
        <is>
          <t>ÖRNSKÖLDSVIK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46977-2024</t>
        </is>
      </c>
      <c r="B4379" s="1" t="n">
        <v>45586</v>
      </c>
      <c r="C4379" s="1" t="n">
        <v>45645</v>
      </c>
      <c r="D4379" t="inlineStr">
        <is>
          <t>VÄSTERNORRLANDS LÄN</t>
        </is>
      </c>
      <c r="E4379" t="inlineStr">
        <is>
          <t>ÖRNSKÖLDSVIK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46992-2024</t>
        </is>
      </c>
      <c r="B4380" s="1" t="n">
        <v>45586</v>
      </c>
      <c r="C4380" s="1" t="n">
        <v>45645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47244-2024</t>
        </is>
      </c>
      <c r="B4381" s="1" t="n">
        <v>45586</v>
      </c>
      <c r="C4381" s="1" t="n">
        <v>45645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47208-2024</t>
        </is>
      </c>
      <c r="B4382" s="1" t="n">
        <v>45586</v>
      </c>
      <c r="C4382" s="1" t="n">
        <v>45645</v>
      </c>
      <c r="D4382" t="inlineStr">
        <is>
          <t>VÄSTERNORRLANDS LÄN</t>
        </is>
      </c>
      <c r="E4382" t="inlineStr">
        <is>
          <t>ÖRNSKÖLDSVIK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47015-2024</t>
        </is>
      </c>
      <c r="B4383" s="1" t="n">
        <v>45586</v>
      </c>
      <c r="C4383" s="1" t="n">
        <v>45645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46989-2024</t>
        </is>
      </c>
      <c r="B4384" s="1" t="n">
        <v>45586</v>
      </c>
      <c r="C4384" s="1" t="n">
        <v>45645</v>
      </c>
      <c r="D4384" t="inlineStr">
        <is>
          <t>VÄSTERNORRLANDS LÄN</t>
        </is>
      </c>
      <c r="E4384" t="inlineStr">
        <is>
          <t>ÖRNSKÖLDSVIK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46995-2024</t>
        </is>
      </c>
      <c r="B4385" s="1" t="n">
        <v>45586</v>
      </c>
      <c r="C4385" s="1" t="n">
        <v>45645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9.9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47033-2024</t>
        </is>
      </c>
      <c r="B4386" s="1" t="n">
        <v>45586</v>
      </c>
      <c r="C4386" s="1" t="n">
        <v>45645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47040-2024</t>
        </is>
      </c>
      <c r="B4387" s="1" t="n">
        <v>45586</v>
      </c>
      <c r="C4387" s="1" t="n">
        <v>45645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47016-2024</t>
        </is>
      </c>
      <c r="B4388" s="1" t="n">
        <v>45586</v>
      </c>
      <c r="C4388" s="1" t="n">
        <v>45645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46986-2024</t>
        </is>
      </c>
      <c r="B4389" s="1" t="n">
        <v>45586</v>
      </c>
      <c r="C4389" s="1" t="n">
        <v>45645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47178-2024</t>
        </is>
      </c>
      <c r="B4390" s="1" t="n">
        <v>45586</v>
      </c>
      <c r="C4390" s="1" t="n">
        <v>45645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10.4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47566-2024</t>
        </is>
      </c>
      <c r="B4391" s="1" t="n">
        <v>45587</v>
      </c>
      <c r="C4391" s="1" t="n">
        <v>45645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47535-2024</t>
        </is>
      </c>
      <c r="B4392" s="1" t="n">
        <v>45587</v>
      </c>
      <c r="C4392" s="1" t="n">
        <v>45645</v>
      </c>
      <c r="D4392" t="inlineStr">
        <is>
          <t>VÄSTERNORRLANDS LÄN</t>
        </is>
      </c>
      <c r="E4392" t="inlineStr">
        <is>
          <t>ÖRNSKÖLDSVIK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47469-2024</t>
        </is>
      </c>
      <c r="B4393" s="1" t="n">
        <v>45587</v>
      </c>
      <c r="C4393" s="1" t="n">
        <v>45645</v>
      </c>
      <c r="D4393" t="inlineStr">
        <is>
          <t>VÄSTERNORRLANDS LÄN</t>
        </is>
      </c>
      <c r="E4393" t="inlineStr">
        <is>
          <t>ÖRNSKÖLDSVIK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47477-2024</t>
        </is>
      </c>
      <c r="B4394" s="1" t="n">
        <v>45587</v>
      </c>
      <c r="C4394" s="1" t="n">
        <v>45645</v>
      </c>
      <c r="D4394" t="inlineStr">
        <is>
          <t>VÄSTERNORRLANDS LÄN</t>
        </is>
      </c>
      <c r="E4394" t="inlineStr">
        <is>
          <t>ÖRNSKÖLDSVIK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47480-2024</t>
        </is>
      </c>
      <c r="B4395" s="1" t="n">
        <v>45587</v>
      </c>
      <c r="C4395" s="1" t="n">
        <v>45645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47438-2024</t>
        </is>
      </c>
      <c r="B4396" s="1" t="n">
        <v>45587</v>
      </c>
      <c r="C4396" s="1" t="n">
        <v>45645</v>
      </c>
      <c r="D4396" t="inlineStr">
        <is>
          <t>VÄSTERNORRLANDS LÄN</t>
        </is>
      </c>
      <c r="E4396" t="inlineStr">
        <is>
          <t>ÖRNSKÖLDSVIK</t>
        </is>
      </c>
      <c r="G4396" t="n">
        <v>11.8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47312-2024</t>
        </is>
      </c>
      <c r="B4397" s="1" t="n">
        <v>45587</v>
      </c>
      <c r="C4397" s="1" t="n">
        <v>45645</v>
      </c>
      <c r="D4397" t="inlineStr">
        <is>
          <t>VÄSTERNORRLANDS LÄN</t>
        </is>
      </c>
      <c r="E4397" t="inlineStr">
        <is>
          <t>ÖRNSKÖLDSVIK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47339-2024</t>
        </is>
      </c>
      <c r="B4398" s="1" t="n">
        <v>45587</v>
      </c>
      <c r="C4398" s="1" t="n">
        <v>45645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47605-2024</t>
        </is>
      </c>
      <c r="B4399" s="1" t="n">
        <v>45587</v>
      </c>
      <c r="C4399" s="1" t="n">
        <v>45645</v>
      </c>
      <c r="D4399" t="inlineStr">
        <is>
          <t>VÄSTERNORRLANDS LÄN</t>
        </is>
      </c>
      <c r="E4399" t="inlineStr">
        <is>
          <t>ÖRNSKÖLDSVIK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47286-2024</t>
        </is>
      </c>
      <c r="B4400" s="1" t="n">
        <v>45587</v>
      </c>
      <c r="C4400" s="1" t="n">
        <v>45645</v>
      </c>
      <c r="D4400" t="inlineStr">
        <is>
          <t>VÄSTERNORRLANDS LÄN</t>
        </is>
      </c>
      <c r="E4400" t="inlineStr">
        <is>
          <t>ÖRNSKÖLDSVIK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47526-2024</t>
        </is>
      </c>
      <c r="B4401" s="1" t="n">
        <v>45587</v>
      </c>
      <c r="C4401" s="1" t="n">
        <v>45645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47542-2024</t>
        </is>
      </c>
      <c r="B4402" s="1" t="n">
        <v>45587</v>
      </c>
      <c r="C4402" s="1" t="n">
        <v>45645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47670-2024</t>
        </is>
      </c>
      <c r="B4403" s="1" t="n">
        <v>45588</v>
      </c>
      <c r="C4403" s="1" t="n">
        <v>45645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47704-2024</t>
        </is>
      </c>
      <c r="B4404" s="1" t="n">
        <v>45588</v>
      </c>
      <c r="C4404" s="1" t="n">
        <v>45645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47854-2024</t>
        </is>
      </c>
      <c r="B4405" s="1" t="n">
        <v>45588</v>
      </c>
      <c r="C4405" s="1" t="n">
        <v>45645</v>
      </c>
      <c r="D4405" t="inlineStr">
        <is>
          <t>VÄSTERNORRLANDS LÄN</t>
        </is>
      </c>
      <c r="E4405" t="inlineStr">
        <is>
          <t>ÖRNSKÖLDSVIK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47871-2024</t>
        </is>
      </c>
      <c r="B4406" s="1" t="n">
        <v>45588</v>
      </c>
      <c r="C4406" s="1" t="n">
        <v>45645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48133-2024</t>
        </is>
      </c>
      <c r="B4407" s="1" t="n">
        <v>45589</v>
      </c>
      <c r="C4407" s="1" t="n">
        <v>45645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48146-2024</t>
        </is>
      </c>
      <c r="B4408" s="1" t="n">
        <v>45589</v>
      </c>
      <c r="C4408" s="1" t="n">
        <v>45645</v>
      </c>
      <c r="D4408" t="inlineStr">
        <is>
          <t>VÄSTERNORRLANDS LÄN</t>
        </is>
      </c>
      <c r="E4408" t="inlineStr">
        <is>
          <t>ÖRNSKÖLDSVIK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48141-2024</t>
        </is>
      </c>
      <c r="B4409" s="1" t="n">
        <v>45589</v>
      </c>
      <c r="C4409" s="1" t="n">
        <v>45645</v>
      </c>
      <c r="D4409" t="inlineStr">
        <is>
          <t>VÄSTERNORRLANDS LÄN</t>
        </is>
      </c>
      <c r="E4409" t="inlineStr">
        <is>
          <t>ÖRNSKÖLDSVIK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48144-2024</t>
        </is>
      </c>
      <c r="B4410" s="1" t="n">
        <v>45589</v>
      </c>
      <c r="C4410" s="1" t="n">
        <v>45645</v>
      </c>
      <c r="D4410" t="inlineStr">
        <is>
          <t>VÄSTERNORRLANDS LÄN</t>
        </is>
      </c>
      <c r="E4410" t="inlineStr">
        <is>
          <t>ÖRNSKÖLDSVIK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47982-2024</t>
        </is>
      </c>
      <c r="B4411" s="1" t="n">
        <v>45589</v>
      </c>
      <c r="C4411" s="1" t="n">
        <v>45645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47962-2024</t>
        </is>
      </c>
      <c r="B4412" s="1" t="n">
        <v>45589</v>
      </c>
      <c r="C4412" s="1" t="n">
        <v>45645</v>
      </c>
      <c r="D4412" t="inlineStr">
        <is>
          <t>VÄSTERNORRLANDS LÄN</t>
        </is>
      </c>
      <c r="E4412" t="inlineStr">
        <is>
          <t>ÖRNSKÖLDSVIK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47968-2024</t>
        </is>
      </c>
      <c r="B4413" s="1" t="n">
        <v>45589</v>
      </c>
      <c r="C4413" s="1" t="n">
        <v>45645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47960-2024</t>
        </is>
      </c>
      <c r="B4414" s="1" t="n">
        <v>45589</v>
      </c>
      <c r="C4414" s="1" t="n">
        <v>45645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47948-2024</t>
        </is>
      </c>
      <c r="B4415" s="1" t="n">
        <v>45589</v>
      </c>
      <c r="C4415" s="1" t="n">
        <v>45645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48228-2024</t>
        </is>
      </c>
      <c r="B4416" s="1" t="n">
        <v>45590</v>
      </c>
      <c r="C4416" s="1" t="n">
        <v>45645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48280-2024</t>
        </is>
      </c>
      <c r="B4417" s="1" t="n">
        <v>45590</v>
      </c>
      <c r="C4417" s="1" t="n">
        <v>45645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48304-2024</t>
        </is>
      </c>
      <c r="B4418" s="1" t="n">
        <v>45590</v>
      </c>
      <c r="C4418" s="1" t="n">
        <v>45645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48361-2024</t>
        </is>
      </c>
      <c r="B4419" s="1" t="n">
        <v>45590</v>
      </c>
      <c r="C4419" s="1" t="n">
        <v>45645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33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48226-2024</t>
        </is>
      </c>
      <c r="B4420" s="1" t="n">
        <v>45590</v>
      </c>
      <c r="C4420" s="1" t="n">
        <v>45645</v>
      </c>
      <c r="D4420" t="inlineStr">
        <is>
          <t>VÄSTERNORRLANDS LÄN</t>
        </is>
      </c>
      <c r="E4420" t="inlineStr">
        <is>
          <t>ÖRNSKÖLDSVIK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48715-2024</t>
        </is>
      </c>
      <c r="B4421" s="1" t="n">
        <v>45593</v>
      </c>
      <c r="C4421" s="1" t="n">
        <v>45645</v>
      </c>
      <c r="D4421" t="inlineStr">
        <is>
          <t>VÄSTERNORRLANDS LÄN</t>
        </is>
      </c>
      <c r="E4421" t="inlineStr">
        <is>
          <t>ÖRNSKÖLDSVIK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48605-2024</t>
        </is>
      </c>
      <c r="B4422" s="1" t="n">
        <v>45593</v>
      </c>
      <c r="C4422" s="1" t="n">
        <v>45645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48609-2024</t>
        </is>
      </c>
      <c r="B4423" s="1" t="n">
        <v>45593</v>
      </c>
      <c r="C4423" s="1" t="n">
        <v>45645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48701-2024</t>
        </is>
      </c>
      <c r="B4424" s="1" t="n">
        <v>45593</v>
      </c>
      <c r="C4424" s="1" t="n">
        <v>45645</v>
      </c>
      <c r="D4424" t="inlineStr">
        <is>
          <t>VÄSTERNORRLANDS LÄN</t>
        </is>
      </c>
      <c r="E4424" t="inlineStr">
        <is>
          <t>ÖRNSKÖLDSVIK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48812-2024</t>
        </is>
      </c>
      <c r="B4425" s="1" t="n">
        <v>45593</v>
      </c>
      <c r="C4425" s="1" t="n">
        <v>45645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48827-2024</t>
        </is>
      </c>
      <c r="B4426" s="1" t="n">
        <v>45593</v>
      </c>
      <c r="C4426" s="1" t="n">
        <v>45645</v>
      </c>
      <c r="D4426" t="inlineStr">
        <is>
          <t>VÄSTERNORRLANDS LÄN</t>
        </is>
      </c>
      <c r="E4426" t="inlineStr">
        <is>
          <t>ÖRNSKÖLDSVIK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48513-2024</t>
        </is>
      </c>
      <c r="B4427" s="1" t="n">
        <v>45593</v>
      </c>
      <c r="C4427" s="1" t="n">
        <v>45645</v>
      </c>
      <c r="D4427" t="inlineStr">
        <is>
          <t>VÄSTERNORRLANDS LÄN</t>
        </is>
      </c>
      <c r="E4427" t="inlineStr">
        <is>
          <t>ÖRNSKÖLDSVIK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48602-2024</t>
        </is>
      </c>
      <c r="B4428" s="1" t="n">
        <v>45593</v>
      </c>
      <c r="C4428" s="1" t="n">
        <v>45645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5.4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48698-2024</t>
        </is>
      </c>
      <c r="B4429" s="1" t="n">
        <v>45593</v>
      </c>
      <c r="C4429" s="1" t="n">
        <v>45645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48828-2024</t>
        </is>
      </c>
      <c r="B4430" s="1" t="n">
        <v>45593</v>
      </c>
      <c r="C4430" s="1" t="n">
        <v>45645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48777-2024</t>
        </is>
      </c>
      <c r="B4431" s="1" t="n">
        <v>45593</v>
      </c>
      <c r="C4431" s="1" t="n">
        <v>45645</v>
      </c>
      <c r="D4431" t="inlineStr">
        <is>
          <t>VÄSTERNORRLANDS LÄN</t>
        </is>
      </c>
      <c r="E4431" t="inlineStr">
        <is>
          <t>ÖRNSKÖLDSVIK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48534-2024</t>
        </is>
      </c>
      <c r="B4432" s="1" t="n">
        <v>45593</v>
      </c>
      <c r="C4432" s="1" t="n">
        <v>45645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8.6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48547-2024</t>
        </is>
      </c>
      <c r="B4433" s="1" t="n">
        <v>45593</v>
      </c>
      <c r="C4433" s="1" t="n">
        <v>45645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48882-2024</t>
        </is>
      </c>
      <c r="B4434" s="1" t="n">
        <v>45594</v>
      </c>
      <c r="C4434" s="1" t="n">
        <v>45645</v>
      </c>
      <c r="D4434" t="inlineStr">
        <is>
          <t>VÄSTERNORRLANDS LÄN</t>
        </is>
      </c>
      <c r="E4434" t="inlineStr">
        <is>
          <t>ÖRNSKÖLDSVIK</t>
        </is>
      </c>
      <c r="G4434" t="n">
        <v>9.300000000000001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49023-2024</t>
        </is>
      </c>
      <c r="B4435" s="1" t="n">
        <v>45594</v>
      </c>
      <c r="C4435" s="1" t="n">
        <v>45645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49027-2024</t>
        </is>
      </c>
      <c r="B4436" s="1" t="n">
        <v>45594</v>
      </c>
      <c r="C4436" s="1" t="n">
        <v>45645</v>
      </c>
      <c r="D4436" t="inlineStr">
        <is>
          <t>VÄSTERNORRLANDS LÄN</t>
        </is>
      </c>
      <c r="E4436" t="inlineStr">
        <is>
          <t>ÖRNSKÖLDSVIK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48884-2024</t>
        </is>
      </c>
      <c r="B4437" s="1" t="n">
        <v>45594</v>
      </c>
      <c r="C4437" s="1" t="n">
        <v>45645</v>
      </c>
      <c r="D4437" t="inlineStr">
        <is>
          <t>VÄSTERNORRLANDS LÄN</t>
        </is>
      </c>
      <c r="E4437" t="inlineStr">
        <is>
          <t>ÖRNSKÖLDSVIK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48992-2024</t>
        </is>
      </c>
      <c r="B4438" s="1" t="n">
        <v>45594</v>
      </c>
      <c r="C4438" s="1" t="n">
        <v>45645</v>
      </c>
      <c r="D4438" t="inlineStr">
        <is>
          <t>VÄSTERNORRLANDS LÄN</t>
        </is>
      </c>
      <c r="E4438" t="inlineStr">
        <is>
          <t>ÖRNSKÖLDSVIK</t>
        </is>
      </c>
      <c r="G4438" t="n">
        <v>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48896-2024</t>
        </is>
      </c>
      <c r="B4439" s="1" t="n">
        <v>45594</v>
      </c>
      <c r="C4439" s="1" t="n">
        <v>45645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5.8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48886-2024</t>
        </is>
      </c>
      <c r="B4440" s="1" t="n">
        <v>45594</v>
      </c>
      <c r="C4440" s="1" t="n">
        <v>45645</v>
      </c>
      <c r="D4440" t="inlineStr">
        <is>
          <t>VÄSTERNORRLANDS LÄN</t>
        </is>
      </c>
      <c r="E4440" t="inlineStr">
        <is>
          <t>ÖRNSKÖLDSVIK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48881-2024</t>
        </is>
      </c>
      <c r="B4441" s="1" t="n">
        <v>45594</v>
      </c>
      <c r="C4441" s="1" t="n">
        <v>45645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48915-2024</t>
        </is>
      </c>
      <c r="B4442" s="1" t="n">
        <v>45594</v>
      </c>
      <c r="C4442" s="1" t="n">
        <v>45645</v>
      </c>
      <c r="D4442" t="inlineStr">
        <is>
          <t>VÄSTERNORRLANDS LÄN</t>
        </is>
      </c>
      <c r="E4442" t="inlineStr">
        <is>
          <t>ÖRNSKÖLDSVIK</t>
        </is>
      </c>
      <c r="G4442" t="n">
        <v>3.3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49093-2024</t>
        </is>
      </c>
      <c r="B4443" s="1" t="n">
        <v>45594</v>
      </c>
      <c r="C4443" s="1" t="n">
        <v>45645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49046-2024</t>
        </is>
      </c>
      <c r="B4444" s="1" t="n">
        <v>45594</v>
      </c>
      <c r="C4444" s="1" t="n">
        <v>45645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49169-2024</t>
        </is>
      </c>
      <c r="B4445" s="1" t="n">
        <v>45595</v>
      </c>
      <c r="C4445" s="1" t="n">
        <v>45645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49222-2024</t>
        </is>
      </c>
      <c r="B4446" s="1" t="n">
        <v>45595</v>
      </c>
      <c r="C4446" s="1" t="n">
        <v>45645</v>
      </c>
      <c r="D4446" t="inlineStr">
        <is>
          <t>VÄSTERNORRLANDS LÄN</t>
        </is>
      </c>
      <c r="E4446" t="inlineStr">
        <is>
          <t>ÖRNSKÖLDSVIK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49318-2024</t>
        </is>
      </c>
      <c r="B4447" s="1" t="n">
        <v>45595</v>
      </c>
      <c r="C4447" s="1" t="n">
        <v>45645</v>
      </c>
      <c r="D4447" t="inlineStr">
        <is>
          <t>VÄSTERNORRLANDS LÄN</t>
        </is>
      </c>
      <c r="E4447" t="inlineStr">
        <is>
          <t>ÖRNSKÖLDSVIK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49179-2024</t>
        </is>
      </c>
      <c r="B4448" s="1" t="n">
        <v>45595</v>
      </c>
      <c r="C4448" s="1" t="n">
        <v>45645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7.9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49312-2024</t>
        </is>
      </c>
      <c r="B4449" s="1" t="n">
        <v>45595</v>
      </c>
      <c r="C4449" s="1" t="n">
        <v>45645</v>
      </c>
      <c r="D4449" t="inlineStr">
        <is>
          <t>VÄSTERNORRLANDS LÄN</t>
        </is>
      </c>
      <c r="E4449" t="inlineStr">
        <is>
          <t>ÖRNSKÖLDSVIK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45645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45645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45645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49593-2024</t>
        </is>
      </c>
      <c r="B4453" s="1" t="n">
        <v>45596</v>
      </c>
      <c r="C4453" s="1" t="n">
        <v>45645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49494-2024</t>
        </is>
      </c>
      <c r="B4454" s="1" t="n">
        <v>45596</v>
      </c>
      <c r="C4454" s="1" t="n">
        <v>45645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49515-2024</t>
        </is>
      </c>
      <c r="B4455" s="1" t="n">
        <v>45596</v>
      </c>
      <c r="C4455" s="1" t="n">
        <v>45645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49790-2024</t>
        </is>
      </c>
      <c r="B4456" s="1" t="n">
        <v>45597</v>
      </c>
      <c r="C4456" s="1" t="n">
        <v>45645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45645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45645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49842-2024</t>
        </is>
      </c>
      <c r="B4459" s="1" t="n">
        <v>45597</v>
      </c>
      <c r="C4459" s="1" t="n">
        <v>45645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49860-2024</t>
        </is>
      </c>
      <c r="B4460" s="1" t="n">
        <v>45597</v>
      </c>
      <c r="C4460" s="1" t="n">
        <v>45645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49887-2024</t>
        </is>
      </c>
      <c r="B4461" s="1" t="n">
        <v>45597</v>
      </c>
      <c r="C4461" s="1" t="n">
        <v>45645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49868-2024</t>
        </is>
      </c>
      <c r="B4462" s="1" t="n">
        <v>45597</v>
      </c>
      <c r="C4462" s="1" t="n">
        <v>45645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50077-2024</t>
        </is>
      </c>
      <c r="B4463" s="1" t="n">
        <v>45600</v>
      </c>
      <c r="C4463" s="1" t="n">
        <v>45645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50067-2024</t>
        </is>
      </c>
      <c r="B4464" s="1" t="n">
        <v>45600</v>
      </c>
      <c r="C4464" s="1" t="n">
        <v>45645</v>
      </c>
      <c r="D4464" t="inlineStr">
        <is>
          <t>VÄSTERNORRLANDS LÄN</t>
        </is>
      </c>
      <c r="E4464" t="inlineStr">
        <is>
          <t>ÖRNSKÖLDSVIK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45645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45645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50223-2024</t>
        </is>
      </c>
      <c r="B4467" s="1" t="n">
        <v>45600</v>
      </c>
      <c r="C4467" s="1" t="n">
        <v>45645</v>
      </c>
      <c r="D4467" t="inlineStr">
        <is>
          <t>VÄSTERNORRLANDS LÄN</t>
        </is>
      </c>
      <c r="E4467" t="inlineStr">
        <is>
          <t>ÖRNSKÖLDSVIK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50243-2024</t>
        </is>
      </c>
      <c r="B4468" s="1" t="n">
        <v>45600</v>
      </c>
      <c r="C4468" s="1" t="n">
        <v>45645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50292-2024</t>
        </is>
      </c>
      <c r="B4469" s="1" t="n">
        <v>45600</v>
      </c>
      <c r="C4469" s="1" t="n">
        <v>45645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50402-2024</t>
        </is>
      </c>
      <c r="B4470" s="1" t="n">
        <v>45601</v>
      </c>
      <c r="C4470" s="1" t="n">
        <v>45645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45645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50484-2024</t>
        </is>
      </c>
      <c r="B4472" s="1" t="n">
        <v>45601</v>
      </c>
      <c r="C4472" s="1" t="n">
        <v>45645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45645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45645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50731-2024</t>
        </is>
      </c>
      <c r="B4475" s="1" t="n">
        <v>45601</v>
      </c>
      <c r="C4475" s="1" t="n">
        <v>45645</v>
      </c>
      <c r="D4475" t="inlineStr">
        <is>
          <t>VÄSTERNORRLANDS LÄN</t>
        </is>
      </c>
      <c r="E4475" t="inlineStr">
        <is>
          <t>ÖRNSKÖLDSVIK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50542-2024</t>
        </is>
      </c>
      <c r="B4476" s="1" t="n">
        <v>45601</v>
      </c>
      <c r="C4476" s="1" t="n">
        <v>45645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50485-2024</t>
        </is>
      </c>
      <c r="B4477" s="1" t="n">
        <v>45601</v>
      </c>
      <c r="C4477" s="1" t="n">
        <v>45645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SCA</t>
        </is>
      </c>
      <c r="G4477" t="n">
        <v>7.7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45645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45645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45645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45645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50767-2024</t>
        </is>
      </c>
      <c r="B4482" s="1" t="n">
        <v>45602</v>
      </c>
      <c r="C4482" s="1" t="n">
        <v>45645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50848-2024</t>
        </is>
      </c>
      <c r="B4483" s="1" t="n">
        <v>45602</v>
      </c>
      <c r="C4483" s="1" t="n">
        <v>45645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50839-2024</t>
        </is>
      </c>
      <c r="B4484" s="1" t="n">
        <v>45602</v>
      </c>
      <c r="C4484" s="1" t="n">
        <v>45645</v>
      </c>
      <c r="D4484" t="inlineStr">
        <is>
          <t>VÄSTERNORRLANDS LÄN</t>
        </is>
      </c>
      <c r="E4484" t="inlineStr">
        <is>
          <t>ÖRNSKÖLDSVIK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50949-2024</t>
        </is>
      </c>
      <c r="B4485" s="1" t="n">
        <v>45602</v>
      </c>
      <c r="C4485" s="1" t="n">
        <v>45645</v>
      </c>
      <c r="D4485" t="inlineStr">
        <is>
          <t>VÄSTERNORRLANDS LÄN</t>
        </is>
      </c>
      <c r="E4485" t="inlineStr">
        <is>
          <t>ÖRNSKÖLDSVIK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45645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51185-2024</t>
        </is>
      </c>
      <c r="B4487" s="1" t="n">
        <v>45603</v>
      </c>
      <c r="C4487" s="1" t="n">
        <v>45645</v>
      </c>
      <c r="D4487" t="inlineStr">
        <is>
          <t>VÄSTERNORRLANDS LÄN</t>
        </is>
      </c>
      <c r="E4487" t="inlineStr">
        <is>
          <t>ÖRNSKÖLDSVIK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51197-2024</t>
        </is>
      </c>
      <c r="B4488" s="1" t="n">
        <v>45603</v>
      </c>
      <c r="C4488" s="1" t="n">
        <v>45645</v>
      </c>
      <c r="D4488" t="inlineStr">
        <is>
          <t>VÄSTERNORRLANDS LÄN</t>
        </is>
      </c>
      <c r="E4488" t="inlineStr">
        <is>
          <t>ÖRNSKÖLDSVIK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45645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45645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51035-2024</t>
        </is>
      </c>
      <c r="B4491" s="1" t="n">
        <v>45603</v>
      </c>
      <c r="C4491" s="1" t="n">
        <v>45645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51166-2024</t>
        </is>
      </c>
      <c r="B4492" s="1" t="n">
        <v>45603</v>
      </c>
      <c r="C4492" s="1" t="n">
        <v>45645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51125-2024</t>
        </is>
      </c>
      <c r="B4493" s="1" t="n">
        <v>45603</v>
      </c>
      <c r="C4493" s="1" t="n">
        <v>45645</v>
      </c>
      <c r="D4493" t="inlineStr">
        <is>
          <t>VÄSTERNORRLANDS LÄN</t>
        </is>
      </c>
      <c r="E4493" t="inlineStr">
        <is>
          <t>ÖRNSKÖLDSVIK</t>
        </is>
      </c>
      <c r="G4493" t="n">
        <v>6.7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51303-2024</t>
        </is>
      </c>
      <c r="B4494" s="1" t="n">
        <v>45604</v>
      </c>
      <c r="C4494" s="1" t="n">
        <v>45645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51313-2024</t>
        </is>
      </c>
      <c r="B4495" s="1" t="n">
        <v>45604</v>
      </c>
      <c r="C4495" s="1" t="n">
        <v>45645</v>
      </c>
      <c r="D4495" t="inlineStr">
        <is>
          <t>VÄSTERNORRLANDS LÄN</t>
        </is>
      </c>
      <c r="E4495" t="inlineStr">
        <is>
          <t>ÖRNSKÖLDSVIK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45645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45645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51426-2024</t>
        </is>
      </c>
      <c r="B4498" s="1" t="n">
        <v>45604</v>
      </c>
      <c r="C4498" s="1" t="n">
        <v>45645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51456-2024</t>
        </is>
      </c>
      <c r="B4499" s="1" t="n">
        <v>45604</v>
      </c>
      <c r="C4499" s="1" t="n">
        <v>45645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51470-2024</t>
        </is>
      </c>
      <c r="B4500" s="1" t="n">
        <v>45604</v>
      </c>
      <c r="C4500" s="1" t="n">
        <v>45645</v>
      </c>
      <c r="D4500" t="inlineStr">
        <is>
          <t>VÄSTERNORRLANDS LÄN</t>
        </is>
      </c>
      <c r="E4500" t="inlineStr">
        <is>
          <t>ÖRNSKÖLDSVIK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45645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45645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45645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51437-2024</t>
        </is>
      </c>
      <c r="B4504" s="1" t="n">
        <v>45604</v>
      </c>
      <c r="C4504" s="1" t="n">
        <v>45645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51479-2024</t>
        </is>
      </c>
      <c r="B4505" s="1" t="n">
        <v>45604</v>
      </c>
      <c r="C4505" s="1" t="n">
        <v>45645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51493-2024</t>
        </is>
      </c>
      <c r="B4506" s="1" t="n">
        <v>45604</v>
      </c>
      <c r="C4506" s="1" t="n">
        <v>45645</v>
      </c>
      <c r="D4506" t="inlineStr">
        <is>
          <t>VÄSTERNORRLANDS LÄN</t>
        </is>
      </c>
      <c r="E4506" t="inlineStr">
        <is>
          <t>ÖRNSKÖLDSVIK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51576-2024</t>
        </is>
      </c>
      <c r="B4507" s="1" t="n">
        <v>45604</v>
      </c>
      <c r="C4507" s="1" t="n">
        <v>45645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51668-2024</t>
        </is>
      </c>
      <c r="B4508" s="1" t="n">
        <v>45606</v>
      </c>
      <c r="C4508" s="1" t="n">
        <v>45645</v>
      </c>
      <c r="D4508" t="inlineStr">
        <is>
          <t>VÄSTERNORRLANDS LÄN</t>
        </is>
      </c>
      <c r="E4508" t="inlineStr">
        <is>
          <t>ÖRNSKÖLDSVIK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45645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51717-2024</t>
        </is>
      </c>
      <c r="B4510" s="1" t="n">
        <v>45607</v>
      </c>
      <c r="C4510" s="1" t="n">
        <v>45645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51755-2024</t>
        </is>
      </c>
      <c r="B4511" s="1" t="n">
        <v>45607</v>
      </c>
      <c r="C4511" s="1" t="n">
        <v>45645</v>
      </c>
      <c r="D4511" t="inlineStr">
        <is>
          <t>VÄSTERNORRLANDS LÄN</t>
        </is>
      </c>
      <c r="E4511" t="inlineStr">
        <is>
          <t>ÖRNSKÖLDSVIK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51930-2024</t>
        </is>
      </c>
      <c r="B4512" s="1" t="n">
        <v>45607</v>
      </c>
      <c r="C4512" s="1" t="n">
        <v>45645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51982-2024</t>
        </is>
      </c>
      <c r="B4513" s="1" t="n">
        <v>45607</v>
      </c>
      <c r="C4513" s="1" t="n">
        <v>45645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51783-2024</t>
        </is>
      </c>
      <c r="B4514" s="1" t="n">
        <v>45607</v>
      </c>
      <c r="C4514" s="1" t="n">
        <v>45645</v>
      </c>
      <c r="D4514" t="inlineStr">
        <is>
          <t>VÄSTERNORRLANDS LÄN</t>
        </is>
      </c>
      <c r="E4514" t="inlineStr">
        <is>
          <t>ÖRNSKÖLDSVIK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51981-2024</t>
        </is>
      </c>
      <c r="B4515" s="1" t="n">
        <v>45607</v>
      </c>
      <c r="C4515" s="1" t="n">
        <v>45645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51854-2024</t>
        </is>
      </c>
      <c r="B4516" s="1" t="n">
        <v>45607</v>
      </c>
      <c r="C4516" s="1" t="n">
        <v>45645</v>
      </c>
      <c r="D4516" t="inlineStr">
        <is>
          <t>VÄSTERNORRLANDS LÄN</t>
        </is>
      </c>
      <c r="E4516" t="inlineStr">
        <is>
          <t>ÖRNSKÖLDSVIK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51799-2024</t>
        </is>
      </c>
      <c r="B4517" s="1" t="n">
        <v>45607</v>
      </c>
      <c r="C4517" s="1" t="n">
        <v>45645</v>
      </c>
      <c r="D4517" t="inlineStr">
        <is>
          <t>VÄSTERNORRLANDS LÄN</t>
        </is>
      </c>
      <c r="E4517" t="inlineStr">
        <is>
          <t>ÖRNSKÖLDSVIK</t>
        </is>
      </c>
      <c r="G4517" t="n">
        <v>29.6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45645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51760-2024</t>
        </is>
      </c>
      <c r="B4519" s="1" t="n">
        <v>45607</v>
      </c>
      <c r="C4519" s="1" t="n">
        <v>45645</v>
      </c>
      <c r="D4519" t="inlineStr">
        <is>
          <t>VÄSTERNORRLANDS LÄN</t>
        </is>
      </c>
      <c r="E4519" t="inlineStr">
        <is>
          <t>ÖRNSKÖLDSVIK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51682-2024</t>
        </is>
      </c>
      <c r="B4520" s="1" t="n">
        <v>45607</v>
      </c>
      <c r="C4520" s="1" t="n">
        <v>45645</v>
      </c>
      <c r="D4520" t="inlineStr">
        <is>
          <t>VÄSTERNORRLANDS LÄN</t>
        </is>
      </c>
      <c r="E4520" t="inlineStr">
        <is>
          <t>ÖRNSKÖLDSVIK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45645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45645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45645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45645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45645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52068-2024</t>
        </is>
      </c>
      <c r="B4526" s="1" t="n">
        <v>45608</v>
      </c>
      <c r="C4526" s="1" t="n">
        <v>45645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52088-2024</t>
        </is>
      </c>
      <c r="B4527" s="1" t="n">
        <v>45608</v>
      </c>
      <c r="C4527" s="1" t="n">
        <v>45645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52136-2024</t>
        </is>
      </c>
      <c r="B4528" s="1" t="n">
        <v>45608</v>
      </c>
      <c r="C4528" s="1" t="n">
        <v>45645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52326-2024</t>
        </is>
      </c>
      <c r="B4529" s="1" t="n">
        <v>45609</v>
      </c>
      <c r="C4529" s="1" t="n">
        <v>45645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52331-2024</t>
        </is>
      </c>
      <c r="B4530" s="1" t="n">
        <v>45609</v>
      </c>
      <c r="C4530" s="1" t="n">
        <v>45645</v>
      </c>
      <c r="D4530" t="inlineStr">
        <is>
          <t>VÄSTERNORRLANDS LÄN</t>
        </is>
      </c>
      <c r="E4530" t="inlineStr">
        <is>
          <t>ÖRNSKÖLDSVIK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52387-2024</t>
        </is>
      </c>
      <c r="B4531" s="1" t="n">
        <v>45609</v>
      </c>
      <c r="C4531" s="1" t="n">
        <v>45645</v>
      </c>
      <c r="D4531" t="inlineStr">
        <is>
          <t>VÄSTERNORRLANDS LÄN</t>
        </is>
      </c>
      <c r="E4531" t="inlineStr">
        <is>
          <t>ÖRNSKÖLDSVIK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45645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52396-2024</t>
        </is>
      </c>
      <c r="B4533" s="1" t="n">
        <v>45609</v>
      </c>
      <c r="C4533" s="1" t="n">
        <v>45645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45645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52544-2024</t>
        </is>
      </c>
      <c r="B4535" s="1" t="n">
        <v>45609</v>
      </c>
      <c r="C4535" s="1" t="n">
        <v>45645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52548-2024</t>
        </is>
      </c>
      <c r="B4536" s="1" t="n">
        <v>45609</v>
      </c>
      <c r="C4536" s="1" t="n">
        <v>45645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52340-2024</t>
        </is>
      </c>
      <c r="B4537" s="1" t="n">
        <v>45609</v>
      </c>
      <c r="C4537" s="1" t="n">
        <v>45645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52371-2024</t>
        </is>
      </c>
      <c r="B4538" s="1" t="n">
        <v>45609</v>
      </c>
      <c r="C4538" s="1" t="n">
        <v>45645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52379-2024</t>
        </is>
      </c>
      <c r="B4539" s="1" t="n">
        <v>45609</v>
      </c>
      <c r="C4539" s="1" t="n">
        <v>45645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52389-2024</t>
        </is>
      </c>
      <c r="B4540" s="1" t="n">
        <v>45609</v>
      </c>
      <c r="C4540" s="1" t="n">
        <v>45645</v>
      </c>
      <c r="D4540" t="inlineStr">
        <is>
          <t>VÄSTERNORRLANDS LÄN</t>
        </is>
      </c>
      <c r="E4540" t="inlineStr">
        <is>
          <t>ÖRNSKÖLDSVIK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52445-2024</t>
        </is>
      </c>
      <c r="B4541" s="1" t="n">
        <v>45609</v>
      </c>
      <c r="C4541" s="1" t="n">
        <v>45645</v>
      </c>
      <c r="D4541" t="inlineStr">
        <is>
          <t>VÄSTERNORRLANDS LÄN</t>
        </is>
      </c>
      <c r="E4541" t="inlineStr">
        <is>
          <t>ÖRNSKÖLDSVIK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52376-2024</t>
        </is>
      </c>
      <c r="B4542" s="1" t="n">
        <v>45609</v>
      </c>
      <c r="C4542" s="1" t="n">
        <v>45645</v>
      </c>
      <c r="D4542" t="inlineStr">
        <is>
          <t>VÄSTERNORRLANDS LÄN</t>
        </is>
      </c>
      <c r="E4542" t="inlineStr">
        <is>
          <t>ÖRNSKÖLDSVIK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52395-2024</t>
        </is>
      </c>
      <c r="B4543" s="1" t="n">
        <v>45609</v>
      </c>
      <c r="C4543" s="1" t="n">
        <v>45645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52399-2024</t>
        </is>
      </c>
      <c r="B4544" s="1" t="n">
        <v>45609</v>
      </c>
      <c r="C4544" s="1" t="n">
        <v>45645</v>
      </c>
      <c r="D4544" t="inlineStr">
        <is>
          <t>VÄSTERNORRLANDS LÄN</t>
        </is>
      </c>
      <c r="E4544" t="inlineStr">
        <is>
          <t>ÖRNSKÖLDSVIK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52586-2024</t>
        </is>
      </c>
      <c r="B4545" s="1" t="n">
        <v>45609</v>
      </c>
      <c r="C4545" s="1" t="n">
        <v>45645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52626-2024</t>
        </is>
      </c>
      <c r="B4546" s="1" t="n">
        <v>45609</v>
      </c>
      <c r="C4546" s="1" t="n">
        <v>45645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52713-2024</t>
        </is>
      </c>
      <c r="B4547" s="1" t="n">
        <v>45610</v>
      </c>
      <c r="C4547" s="1" t="n">
        <v>45645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52717-2024</t>
        </is>
      </c>
      <c r="B4548" s="1" t="n">
        <v>45610</v>
      </c>
      <c r="C4548" s="1" t="n">
        <v>45645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52721-2024</t>
        </is>
      </c>
      <c r="B4549" s="1" t="n">
        <v>45610</v>
      </c>
      <c r="C4549" s="1" t="n">
        <v>45645</v>
      </c>
      <c r="D4549" t="inlineStr">
        <is>
          <t>VÄSTERNORRLANDS LÄN</t>
        </is>
      </c>
      <c r="E4549" t="inlineStr">
        <is>
          <t>ÖRNSKÖLDSVIK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52633-2024</t>
        </is>
      </c>
      <c r="B4550" s="1" t="n">
        <v>45610</v>
      </c>
      <c r="C4550" s="1" t="n">
        <v>45645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52865-2024</t>
        </is>
      </c>
      <c r="B4551" s="1" t="n">
        <v>45610</v>
      </c>
      <c r="C4551" s="1" t="n">
        <v>45645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52704-2024</t>
        </is>
      </c>
      <c r="B4552" s="1" t="n">
        <v>45610</v>
      </c>
      <c r="C4552" s="1" t="n">
        <v>45645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52716-2024</t>
        </is>
      </c>
      <c r="B4553" s="1" t="n">
        <v>45610</v>
      </c>
      <c r="C4553" s="1" t="n">
        <v>45645</v>
      </c>
      <c r="D4553" t="inlineStr">
        <is>
          <t>VÄSTERNORRLANDS LÄN</t>
        </is>
      </c>
      <c r="E4553" t="inlineStr">
        <is>
          <t>ÖRNSKÖLDSVIK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52724-2024</t>
        </is>
      </c>
      <c r="B4554" s="1" t="n">
        <v>45610</v>
      </c>
      <c r="C4554" s="1" t="n">
        <v>45645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52736-2024</t>
        </is>
      </c>
      <c r="B4555" s="1" t="n">
        <v>45610</v>
      </c>
      <c r="C4555" s="1" t="n">
        <v>45645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19.5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45645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52719-2024</t>
        </is>
      </c>
      <c r="B4557" s="1" t="n">
        <v>45610</v>
      </c>
      <c r="C4557" s="1" t="n">
        <v>45645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52763-2024</t>
        </is>
      </c>
      <c r="B4558" s="1" t="n">
        <v>45610</v>
      </c>
      <c r="C4558" s="1" t="n">
        <v>45645</v>
      </c>
      <c r="D4558" t="inlineStr">
        <is>
          <t>VÄSTERNORRLANDS LÄN</t>
        </is>
      </c>
      <c r="E4558" t="inlineStr">
        <is>
          <t>ÖRNSKÖLDSVIK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52658-2024</t>
        </is>
      </c>
      <c r="B4559" s="1" t="n">
        <v>45610</v>
      </c>
      <c r="C4559" s="1" t="n">
        <v>45645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52988-2024</t>
        </is>
      </c>
      <c r="B4560" s="1" t="n">
        <v>45611</v>
      </c>
      <c r="C4560" s="1" t="n">
        <v>45645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52996-2024</t>
        </is>
      </c>
      <c r="B4561" s="1" t="n">
        <v>45611</v>
      </c>
      <c r="C4561" s="1" t="n">
        <v>45645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SCA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53045-2024</t>
        </is>
      </c>
      <c r="B4562" s="1" t="n">
        <v>45611</v>
      </c>
      <c r="C4562" s="1" t="n">
        <v>45645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53191-2024</t>
        </is>
      </c>
      <c r="B4563" s="1" t="n">
        <v>45611</v>
      </c>
      <c r="C4563" s="1" t="n">
        <v>45645</v>
      </c>
      <c r="D4563" t="inlineStr">
        <is>
          <t>VÄSTERNORRLANDS LÄN</t>
        </is>
      </c>
      <c r="E4563" t="inlineStr">
        <is>
          <t>ÖRNSKÖLDSVIK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53068-2024</t>
        </is>
      </c>
      <c r="B4564" s="1" t="n">
        <v>45611</v>
      </c>
      <c r="C4564" s="1" t="n">
        <v>45645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53004-2024</t>
        </is>
      </c>
      <c r="B4565" s="1" t="n">
        <v>45611</v>
      </c>
      <c r="C4565" s="1" t="n">
        <v>45645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53160-2024</t>
        </is>
      </c>
      <c r="B4566" s="1" t="n">
        <v>45611</v>
      </c>
      <c r="C4566" s="1" t="n">
        <v>45645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53112-2024</t>
        </is>
      </c>
      <c r="B4567" s="1" t="n">
        <v>45611</v>
      </c>
      <c r="C4567" s="1" t="n">
        <v>45645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52982-2024</t>
        </is>
      </c>
      <c r="B4568" s="1" t="n">
        <v>45611</v>
      </c>
      <c r="C4568" s="1" t="n">
        <v>45645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53441-2024</t>
        </is>
      </c>
      <c r="B4569" s="1" t="n">
        <v>45614</v>
      </c>
      <c r="C4569" s="1" t="n">
        <v>45645</v>
      </c>
      <c r="D4569" t="inlineStr">
        <is>
          <t>VÄSTERNORRLANDS LÄN</t>
        </is>
      </c>
      <c r="E4569" t="inlineStr">
        <is>
          <t>ÖRNSKÖLDSVIK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53687-2024</t>
        </is>
      </c>
      <c r="B4570" s="1" t="n">
        <v>45615</v>
      </c>
      <c r="C4570" s="1" t="n">
        <v>45645</v>
      </c>
      <c r="D4570" t="inlineStr">
        <is>
          <t>VÄSTERNORRLANDS LÄN</t>
        </is>
      </c>
      <c r="E4570" t="inlineStr">
        <is>
          <t>ÖRNSKÖLDSVIK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53694-2024</t>
        </is>
      </c>
      <c r="B4571" s="1" t="n">
        <v>45615</v>
      </c>
      <c r="C4571" s="1" t="n">
        <v>45645</v>
      </c>
      <c r="D4571" t="inlineStr">
        <is>
          <t>VÄSTERNORRLANDS LÄN</t>
        </is>
      </c>
      <c r="E4571" t="inlineStr">
        <is>
          <t>ÖRNSKÖLDSVIK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53693-2024</t>
        </is>
      </c>
      <c r="B4572" s="1" t="n">
        <v>45615</v>
      </c>
      <c r="C4572" s="1" t="n">
        <v>45645</v>
      </c>
      <c r="D4572" t="inlineStr">
        <is>
          <t>VÄSTERNORRLANDS LÄN</t>
        </is>
      </c>
      <c r="E4572" t="inlineStr">
        <is>
          <t>ÖRNSKÖLDSVIK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53689-2024</t>
        </is>
      </c>
      <c r="B4573" s="1" t="n">
        <v>45615</v>
      </c>
      <c r="C4573" s="1" t="n">
        <v>45645</v>
      </c>
      <c r="D4573" t="inlineStr">
        <is>
          <t>VÄSTERNORRLANDS LÄN</t>
        </is>
      </c>
      <c r="E4573" t="inlineStr">
        <is>
          <t>ÖRNSKÖLDSVIK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53705-2024</t>
        </is>
      </c>
      <c r="B4574" s="1" t="n">
        <v>45615</v>
      </c>
      <c r="C4574" s="1" t="n">
        <v>45645</v>
      </c>
      <c r="D4574" t="inlineStr">
        <is>
          <t>VÄSTERNORRLANDS LÄN</t>
        </is>
      </c>
      <c r="E4574" t="inlineStr">
        <is>
          <t>ÖRNSKÖLDSVIK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53997-2024</t>
        </is>
      </c>
      <c r="B4575" s="1" t="n">
        <v>45616</v>
      </c>
      <c r="C4575" s="1" t="n">
        <v>45645</v>
      </c>
      <c r="D4575" t="inlineStr">
        <is>
          <t>VÄSTERNORRLANDS LÄN</t>
        </is>
      </c>
      <c r="E4575" t="inlineStr">
        <is>
          <t>ÖRNSKÖLDSVIK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53976-2024</t>
        </is>
      </c>
      <c r="B4576" s="1" t="n">
        <v>45616</v>
      </c>
      <c r="C4576" s="1" t="n">
        <v>45645</v>
      </c>
      <c r="D4576" t="inlineStr">
        <is>
          <t>VÄSTERNORRLANDS LÄN</t>
        </is>
      </c>
      <c r="E4576" t="inlineStr">
        <is>
          <t>ÖRNSKÖLDSVIK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54000-2024</t>
        </is>
      </c>
      <c r="B4577" s="1" t="n">
        <v>45616</v>
      </c>
      <c r="C4577" s="1" t="n">
        <v>45645</v>
      </c>
      <c r="D4577" t="inlineStr">
        <is>
          <t>VÄSTERNORRLANDS LÄN</t>
        </is>
      </c>
      <c r="E4577" t="inlineStr">
        <is>
          <t>ÖRNSKÖLDSVIK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54138-2024</t>
        </is>
      </c>
      <c r="B4578" s="1" t="n">
        <v>45616</v>
      </c>
      <c r="C4578" s="1" t="n">
        <v>45645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54192-2024</t>
        </is>
      </c>
      <c r="B4579" s="1" t="n">
        <v>45616</v>
      </c>
      <c r="C4579" s="1" t="n">
        <v>45645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8.1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54200-2024</t>
        </is>
      </c>
      <c r="B4580" s="1" t="n">
        <v>45616</v>
      </c>
      <c r="C4580" s="1" t="n">
        <v>45645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54285-2024</t>
        </is>
      </c>
      <c r="B4581" s="1" t="n">
        <v>45616</v>
      </c>
      <c r="C4581" s="1" t="n">
        <v>45645</v>
      </c>
      <c r="D4581" t="inlineStr">
        <is>
          <t>VÄSTERNORRLANDS LÄN</t>
        </is>
      </c>
      <c r="E4581" t="inlineStr">
        <is>
          <t>ÖRNSKÖLDSVIK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54351-2024</t>
        </is>
      </c>
      <c r="B4582" s="1" t="n">
        <v>45617</v>
      </c>
      <c r="C4582" s="1" t="n">
        <v>45645</v>
      </c>
      <c r="D4582" t="inlineStr">
        <is>
          <t>VÄSTERNORRLANDS LÄN</t>
        </is>
      </c>
      <c r="E4582" t="inlineStr">
        <is>
          <t>ÖRNSKÖLDSVIK</t>
        </is>
      </c>
      <c r="G4582" t="n">
        <v>9.5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45645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54422-2024</t>
        </is>
      </c>
      <c r="B4584" s="1" t="n">
        <v>45617</v>
      </c>
      <c r="C4584" s="1" t="n">
        <v>45645</v>
      </c>
      <c r="D4584" t="inlineStr">
        <is>
          <t>VÄSTERNORRLANDS LÄN</t>
        </is>
      </c>
      <c r="E4584" t="inlineStr">
        <is>
          <t>ÖRNSKÖLDSVIK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54407-2024</t>
        </is>
      </c>
      <c r="B4585" s="1" t="n">
        <v>45617</v>
      </c>
      <c r="C4585" s="1" t="n">
        <v>45645</v>
      </c>
      <c r="D4585" t="inlineStr">
        <is>
          <t>VÄSTERNORRLANDS LÄN</t>
        </is>
      </c>
      <c r="E4585" t="inlineStr">
        <is>
          <t>ÖRNSKÖLDSVIK</t>
        </is>
      </c>
      <c r="G4585" t="n">
        <v>8.9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54434-2024</t>
        </is>
      </c>
      <c r="B4586" s="1" t="n">
        <v>45617</v>
      </c>
      <c r="C4586" s="1" t="n">
        <v>45645</v>
      </c>
      <c r="D4586" t="inlineStr">
        <is>
          <t>VÄSTERNORRLANDS LÄN</t>
        </is>
      </c>
      <c r="E4586" t="inlineStr">
        <is>
          <t>ÖRNSKÖLDSVIK</t>
        </is>
      </c>
      <c r="G4586" t="n">
        <v>3.4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45645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54513-2024</t>
        </is>
      </c>
      <c r="B4588" s="1" t="n">
        <v>45617</v>
      </c>
      <c r="C4588" s="1" t="n">
        <v>45645</v>
      </c>
      <c r="D4588" t="inlineStr">
        <is>
          <t>VÄSTERNORRLANDS LÄN</t>
        </is>
      </c>
      <c r="E4588" t="inlineStr">
        <is>
          <t>ÖRNSKÖLDSVIK</t>
        </is>
      </c>
      <c r="G4588" t="n">
        <v>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54549-2024</t>
        </is>
      </c>
      <c r="B4589" s="1" t="n">
        <v>45617</v>
      </c>
      <c r="C4589" s="1" t="n">
        <v>45645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54563-2024</t>
        </is>
      </c>
      <c r="B4590" s="1" t="n">
        <v>45617</v>
      </c>
      <c r="C4590" s="1" t="n">
        <v>45645</v>
      </c>
      <c r="D4590" t="inlineStr">
        <is>
          <t>VÄSTERNORRLANDS LÄN</t>
        </is>
      </c>
      <c r="E4590" t="inlineStr">
        <is>
          <t>ÖRNSKÖLDSVIK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54561-2024</t>
        </is>
      </c>
      <c r="B4591" s="1" t="n">
        <v>45617</v>
      </c>
      <c r="C4591" s="1" t="n">
        <v>45645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54613-2024</t>
        </is>
      </c>
      <c r="B4592" s="1" t="n">
        <v>45617</v>
      </c>
      <c r="C4592" s="1" t="n">
        <v>45645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54617-2024</t>
        </is>
      </c>
      <c r="B4593" s="1" t="n">
        <v>45617</v>
      </c>
      <c r="C4593" s="1" t="n">
        <v>45645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54625-2024</t>
        </is>
      </c>
      <c r="B4594" s="1" t="n">
        <v>45617</v>
      </c>
      <c r="C4594" s="1" t="n">
        <v>45645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45645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45645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45645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45645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54599-2024</t>
        </is>
      </c>
      <c r="B4599" s="1" t="n">
        <v>45617</v>
      </c>
      <c r="C4599" s="1" t="n">
        <v>45645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54677-2024</t>
        </is>
      </c>
      <c r="B4600" s="1" t="n">
        <v>45618</v>
      </c>
      <c r="C4600" s="1" t="n">
        <v>45645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54688-2024</t>
        </is>
      </c>
      <c r="B4601" s="1" t="n">
        <v>45618</v>
      </c>
      <c r="C4601" s="1" t="n">
        <v>45645</v>
      </c>
      <c r="D4601" t="inlineStr">
        <is>
          <t>VÄSTERNORRLANDS LÄN</t>
        </is>
      </c>
      <c r="E4601" t="inlineStr">
        <is>
          <t>ÖRNSKÖLDSVIK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54728-2024</t>
        </is>
      </c>
      <c r="B4602" s="1" t="n">
        <v>45618</v>
      </c>
      <c r="C4602" s="1" t="n">
        <v>45645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SCA</t>
        </is>
      </c>
      <c r="G4602" t="n">
        <v>26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54798-2024</t>
        </is>
      </c>
      <c r="B4603" s="1" t="n">
        <v>45618</v>
      </c>
      <c r="C4603" s="1" t="n">
        <v>45645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54791-2024</t>
        </is>
      </c>
      <c r="B4604" s="1" t="n">
        <v>45618</v>
      </c>
      <c r="C4604" s="1" t="n">
        <v>45645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54841-2024</t>
        </is>
      </c>
      <c r="B4605" s="1" t="n">
        <v>45618</v>
      </c>
      <c r="C4605" s="1" t="n">
        <v>45645</v>
      </c>
      <c r="D4605" t="inlineStr">
        <is>
          <t>VÄSTERNORRLANDS LÄN</t>
        </is>
      </c>
      <c r="E4605" t="inlineStr">
        <is>
          <t>ÖRNSKÖLDSVIK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45645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54949-2024</t>
        </is>
      </c>
      <c r="B4607" s="1" t="n">
        <v>45619</v>
      </c>
      <c r="C4607" s="1" t="n">
        <v>45645</v>
      </c>
      <c r="D4607" t="inlineStr">
        <is>
          <t>VÄSTERNORRLANDS LÄN</t>
        </is>
      </c>
      <c r="E4607" t="inlineStr">
        <is>
          <t>ÖRNSKÖLDSVIK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54950-2024</t>
        </is>
      </c>
      <c r="B4608" s="1" t="n">
        <v>45619</v>
      </c>
      <c r="C4608" s="1" t="n">
        <v>45645</v>
      </c>
      <c r="D4608" t="inlineStr">
        <is>
          <t>VÄSTERNORRLANDS LÄN</t>
        </is>
      </c>
      <c r="E4608" t="inlineStr">
        <is>
          <t>ÖRNSKÖLDSVIK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55166-2024</t>
        </is>
      </c>
      <c r="B4609" s="1" t="n">
        <v>45621</v>
      </c>
      <c r="C4609" s="1" t="n">
        <v>45645</v>
      </c>
      <c r="D4609" t="inlineStr">
        <is>
          <t>VÄSTERNORRLANDS LÄN</t>
        </is>
      </c>
      <c r="E4609" t="inlineStr">
        <is>
          <t>ÖRNSKÖLDSVIK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55207-2024</t>
        </is>
      </c>
      <c r="B4610" s="1" t="n">
        <v>45621</v>
      </c>
      <c r="C4610" s="1" t="n">
        <v>45645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45645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55417-2024</t>
        </is>
      </c>
      <c r="B4612" s="1" t="n">
        <v>45622</v>
      </c>
      <c r="C4612" s="1" t="n">
        <v>45645</v>
      </c>
      <c r="D4612" t="inlineStr">
        <is>
          <t>VÄSTERNORRLANDS LÄN</t>
        </is>
      </c>
      <c r="E4612" t="inlineStr">
        <is>
          <t>ÖRNSKÖLDSVIK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55470-2024</t>
        </is>
      </c>
      <c r="B4613" s="1" t="n">
        <v>45622</v>
      </c>
      <c r="C4613" s="1" t="n">
        <v>45645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55480-2024</t>
        </is>
      </c>
      <c r="B4614" s="1" t="n">
        <v>45622</v>
      </c>
      <c r="C4614" s="1" t="n">
        <v>45645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55447-2024</t>
        </is>
      </c>
      <c r="B4615" s="1" t="n">
        <v>45622</v>
      </c>
      <c r="C4615" s="1" t="n">
        <v>45645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55636-2024</t>
        </is>
      </c>
      <c r="B4616" s="1" t="n">
        <v>45622</v>
      </c>
      <c r="C4616" s="1" t="n">
        <v>45645</v>
      </c>
      <c r="D4616" t="inlineStr">
        <is>
          <t>VÄSTERNORRLANDS LÄN</t>
        </is>
      </c>
      <c r="E4616" t="inlineStr">
        <is>
          <t>ÖRNSKÖLDSVIK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45645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45645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45645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55829-2024</t>
        </is>
      </c>
      <c r="B4620" s="1" t="n">
        <v>45623</v>
      </c>
      <c r="C4620" s="1" t="n">
        <v>45645</v>
      </c>
      <c r="D4620" t="inlineStr">
        <is>
          <t>VÄSTERNORRLANDS LÄN</t>
        </is>
      </c>
      <c r="E4620" t="inlineStr">
        <is>
          <t>ÖRNSKÖLDSVIK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45645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45645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55934-2024</t>
        </is>
      </c>
      <c r="B4623" s="1" t="n">
        <v>45623</v>
      </c>
      <c r="C4623" s="1" t="n">
        <v>45645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55972-2024</t>
        </is>
      </c>
      <c r="B4624" s="1" t="n">
        <v>45623</v>
      </c>
      <c r="C4624" s="1" t="n">
        <v>45645</v>
      </c>
      <c r="D4624" t="inlineStr">
        <is>
          <t>VÄSTERNORRLANDS LÄN</t>
        </is>
      </c>
      <c r="E4624" t="inlineStr">
        <is>
          <t>ÖRNSKÖLDSVIK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56070-2024</t>
        </is>
      </c>
      <c r="B4625" s="1" t="n">
        <v>45624</v>
      </c>
      <c r="C4625" s="1" t="n">
        <v>45645</v>
      </c>
      <c r="D4625" t="inlineStr">
        <is>
          <t>VÄSTERNORRLANDS LÄN</t>
        </is>
      </c>
      <c r="E4625" t="inlineStr">
        <is>
          <t>ÖRNSKÖLDSVIK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56076-2024</t>
        </is>
      </c>
      <c r="B4626" s="1" t="n">
        <v>45624</v>
      </c>
      <c r="C4626" s="1" t="n">
        <v>45645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56217-2024</t>
        </is>
      </c>
      <c r="B4627" s="1" t="n">
        <v>45624</v>
      </c>
      <c r="C4627" s="1" t="n">
        <v>45645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56095-2024</t>
        </is>
      </c>
      <c r="B4628" s="1" t="n">
        <v>45624</v>
      </c>
      <c r="C4628" s="1" t="n">
        <v>45645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56198-2024</t>
        </is>
      </c>
      <c r="B4629" s="1" t="n">
        <v>45624</v>
      </c>
      <c r="C4629" s="1" t="n">
        <v>45645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56250-2024</t>
        </is>
      </c>
      <c r="B4630" s="1" t="n">
        <v>45624</v>
      </c>
      <c r="C4630" s="1" t="n">
        <v>45645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56200-2024</t>
        </is>
      </c>
      <c r="B4631" s="1" t="n">
        <v>45624</v>
      </c>
      <c r="C4631" s="1" t="n">
        <v>45645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56256-2024</t>
        </is>
      </c>
      <c r="B4632" s="1" t="n">
        <v>45624</v>
      </c>
      <c r="C4632" s="1" t="n">
        <v>45645</v>
      </c>
      <c r="D4632" t="inlineStr">
        <is>
          <t>VÄSTERNORRLANDS LÄN</t>
        </is>
      </c>
      <c r="E4632" t="inlineStr">
        <is>
          <t>ÖRNSKÖLDSVIK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56306-2024</t>
        </is>
      </c>
      <c r="B4633" s="1" t="n">
        <v>45624</v>
      </c>
      <c r="C4633" s="1" t="n">
        <v>45645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56322-2024</t>
        </is>
      </c>
      <c r="B4634" s="1" t="n">
        <v>45624</v>
      </c>
      <c r="C4634" s="1" t="n">
        <v>45645</v>
      </c>
      <c r="D4634" t="inlineStr">
        <is>
          <t>VÄSTERNORRLANDS LÄN</t>
        </is>
      </c>
      <c r="E4634" t="inlineStr">
        <is>
          <t>ÖRNSKÖLDSVIK</t>
        </is>
      </c>
      <c r="G4634" t="n">
        <v>7.8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56337-2024</t>
        </is>
      </c>
      <c r="B4635" s="1" t="n">
        <v>45624</v>
      </c>
      <c r="C4635" s="1" t="n">
        <v>45645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56349-2024</t>
        </is>
      </c>
      <c r="B4636" s="1" t="n">
        <v>45624</v>
      </c>
      <c r="C4636" s="1" t="n">
        <v>45645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56389-2024</t>
        </is>
      </c>
      <c r="B4637" s="1" t="n">
        <v>45625</v>
      </c>
      <c r="C4637" s="1" t="n">
        <v>45645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56402-2024</t>
        </is>
      </c>
      <c r="B4638" s="1" t="n">
        <v>45625</v>
      </c>
      <c r="C4638" s="1" t="n">
        <v>45645</v>
      </c>
      <c r="D4638" t="inlineStr">
        <is>
          <t>VÄSTERNORRLANDS LÄN</t>
        </is>
      </c>
      <c r="E4638" t="inlineStr">
        <is>
          <t>ÖRNSKÖLDSVIK</t>
        </is>
      </c>
      <c r="G4638" t="n">
        <v>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56424-2024</t>
        </is>
      </c>
      <c r="B4639" s="1" t="n">
        <v>45625</v>
      </c>
      <c r="C4639" s="1" t="n">
        <v>45645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56397-2024</t>
        </is>
      </c>
      <c r="B4640" s="1" t="n">
        <v>45625</v>
      </c>
      <c r="C4640" s="1" t="n">
        <v>45645</v>
      </c>
      <c r="D4640" t="inlineStr">
        <is>
          <t>VÄSTERNORRLANDS LÄN</t>
        </is>
      </c>
      <c r="E4640" t="inlineStr">
        <is>
          <t>ÖRNSKÖLDSVIK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56566-2024</t>
        </is>
      </c>
      <c r="B4641" s="1" t="n">
        <v>45625</v>
      </c>
      <c r="C4641" s="1" t="n">
        <v>45645</v>
      </c>
      <c r="D4641" t="inlineStr">
        <is>
          <t>VÄSTERNORRLANDS LÄN</t>
        </is>
      </c>
      <c r="E4641" t="inlineStr">
        <is>
          <t>ÖRNSKÖLDSVIK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56421-2024</t>
        </is>
      </c>
      <c r="B4642" s="1" t="n">
        <v>45625</v>
      </c>
      <c r="C4642" s="1" t="n">
        <v>45645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56775-2024</t>
        </is>
      </c>
      <c r="B4643" s="1" t="n">
        <v>45628</v>
      </c>
      <c r="C4643" s="1" t="n">
        <v>45645</v>
      </c>
      <c r="D4643" t="inlineStr">
        <is>
          <t>VÄSTERNORRLANDS LÄN</t>
        </is>
      </c>
      <c r="E4643" t="inlineStr">
        <is>
          <t>ÖRNSKÖLDSVIK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45645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45645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45645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56869-2024</t>
        </is>
      </c>
      <c r="B4647" s="1" t="n">
        <v>45628</v>
      </c>
      <c r="C4647" s="1" t="n">
        <v>45645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56966-2024</t>
        </is>
      </c>
      <c r="B4648" s="1" t="n">
        <v>45628</v>
      </c>
      <c r="C4648" s="1" t="n">
        <v>45645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56979-2024</t>
        </is>
      </c>
      <c r="B4649" s="1" t="n">
        <v>45628</v>
      </c>
      <c r="C4649" s="1" t="n">
        <v>45645</v>
      </c>
      <c r="D4649" t="inlineStr">
        <is>
          <t>VÄSTERNORRLANDS LÄN</t>
        </is>
      </c>
      <c r="E4649" t="inlineStr">
        <is>
          <t>ÖRNSKÖLDSVIK</t>
        </is>
      </c>
      <c r="G4649" t="n">
        <v>11.6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56992-2024</t>
        </is>
      </c>
      <c r="B4650" s="1" t="n">
        <v>45628</v>
      </c>
      <c r="C4650" s="1" t="n">
        <v>45645</v>
      </c>
      <c r="D4650" t="inlineStr">
        <is>
          <t>VÄSTERNORRLANDS LÄN</t>
        </is>
      </c>
      <c r="E4650" t="inlineStr">
        <is>
          <t>ÖRNSKÖLDSVIK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45645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45645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57120-2024</t>
        </is>
      </c>
      <c r="B4653" s="1" t="n">
        <v>45629</v>
      </c>
      <c r="C4653" s="1" t="n">
        <v>45645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45645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57123-2024</t>
        </is>
      </c>
      <c r="B4655" s="1" t="n">
        <v>45629</v>
      </c>
      <c r="C4655" s="1" t="n">
        <v>45645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4.8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45645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57073-2024</t>
        </is>
      </c>
      <c r="B4657" s="1" t="n">
        <v>45629</v>
      </c>
      <c r="C4657" s="1" t="n">
        <v>45645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57333-2024</t>
        </is>
      </c>
      <c r="B4658" s="1" t="n">
        <v>45629</v>
      </c>
      <c r="C4658" s="1" t="n">
        <v>45645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57097-2024</t>
        </is>
      </c>
      <c r="B4659" s="1" t="n">
        <v>45629</v>
      </c>
      <c r="C4659" s="1" t="n">
        <v>45645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57309-2024</t>
        </is>
      </c>
      <c r="B4660" s="1" t="n">
        <v>45629</v>
      </c>
      <c r="C4660" s="1" t="n">
        <v>45645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6.8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45645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45645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45645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45645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57362-2024</t>
        </is>
      </c>
      <c r="B4665" s="1" t="n">
        <v>45629</v>
      </c>
      <c r="C4665" s="1" t="n">
        <v>45645</v>
      </c>
      <c r="D4665" t="inlineStr">
        <is>
          <t>VÄSTERNORRLANDS LÄN</t>
        </is>
      </c>
      <c r="E4665" t="inlineStr">
        <is>
          <t>ÖRNSKÖLDSVIK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57676-2024</t>
        </is>
      </c>
      <c r="B4666" s="1" t="n">
        <v>45630</v>
      </c>
      <c r="C4666" s="1" t="n">
        <v>45645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7.4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57680-2024</t>
        </is>
      </c>
      <c r="B4667" s="1" t="n">
        <v>45630</v>
      </c>
      <c r="C4667" s="1" t="n">
        <v>45645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45645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57807-2024</t>
        </is>
      </c>
      <c r="B4669" s="1" t="n">
        <v>45631</v>
      </c>
      <c r="C4669" s="1" t="n">
        <v>45645</v>
      </c>
      <c r="D4669" t="inlineStr">
        <is>
          <t>VÄSTERNORRLANDS LÄN</t>
        </is>
      </c>
      <c r="E4669" t="inlineStr">
        <is>
          <t>ÖRNSKÖLDSVIK</t>
        </is>
      </c>
      <c r="G4669" t="n">
        <v>10.3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57958-2024</t>
        </is>
      </c>
      <c r="B4670" s="1" t="n">
        <v>45631</v>
      </c>
      <c r="C4670" s="1" t="n">
        <v>45645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57970-2024</t>
        </is>
      </c>
      <c r="B4671" s="1" t="n">
        <v>45631</v>
      </c>
      <c r="C4671" s="1" t="n">
        <v>45645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58046-2024</t>
        </is>
      </c>
      <c r="B4672" s="1" t="n">
        <v>45631</v>
      </c>
      <c r="C4672" s="1" t="n">
        <v>45645</v>
      </c>
      <c r="D4672" t="inlineStr">
        <is>
          <t>VÄSTERNORRLANDS LÄN</t>
        </is>
      </c>
      <c r="E4672" t="inlineStr">
        <is>
          <t>ÖRNSKÖLDSVIK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58054-2024</t>
        </is>
      </c>
      <c r="B4673" s="1" t="n">
        <v>45631</v>
      </c>
      <c r="C4673" s="1" t="n">
        <v>45645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45645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58068-2024</t>
        </is>
      </c>
      <c r="B4675" s="1" t="n">
        <v>45631</v>
      </c>
      <c r="C4675" s="1" t="n">
        <v>45645</v>
      </c>
      <c r="D4675" t="inlineStr">
        <is>
          <t>VÄSTERNORRLANDS LÄN</t>
        </is>
      </c>
      <c r="E4675" t="inlineStr">
        <is>
          <t>ÖRNSKÖLDSVIK</t>
        </is>
      </c>
      <c r="G4675" t="n">
        <v>14.1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45645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45645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58069-2024</t>
        </is>
      </c>
      <c r="B4678" s="1" t="n">
        <v>45631</v>
      </c>
      <c r="C4678" s="1" t="n">
        <v>45645</v>
      </c>
      <c r="D4678" t="inlineStr">
        <is>
          <t>VÄSTERNORRLANDS LÄN</t>
        </is>
      </c>
      <c r="E4678" t="inlineStr">
        <is>
          <t>ÖRNSKÖLDSVIK</t>
        </is>
      </c>
      <c r="G4678" t="n">
        <v>5.6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58267-2024</t>
        </is>
      </c>
      <c r="B4679" s="1" t="n">
        <v>45632</v>
      </c>
      <c r="C4679" s="1" t="n">
        <v>45645</v>
      </c>
      <c r="D4679" t="inlineStr">
        <is>
          <t>VÄSTERNORRLANDS LÄN</t>
        </is>
      </c>
      <c r="E4679" t="inlineStr">
        <is>
          <t>ÖRNSKÖLDSVIK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58275-2024</t>
        </is>
      </c>
      <c r="B4680" s="1" t="n">
        <v>45632</v>
      </c>
      <c r="C4680" s="1" t="n">
        <v>45645</v>
      </c>
      <c r="D4680" t="inlineStr">
        <is>
          <t>VÄSTERNORRLANDS LÄN</t>
        </is>
      </c>
      <c r="E4680" t="inlineStr">
        <is>
          <t>ÖRNSKÖLDSVIK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58287-2024</t>
        </is>
      </c>
      <c r="B4681" s="1" t="n">
        <v>45632</v>
      </c>
      <c r="C4681" s="1" t="n">
        <v>45645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58311-2024</t>
        </is>
      </c>
      <c r="B4682" s="1" t="n">
        <v>45632</v>
      </c>
      <c r="C4682" s="1" t="n">
        <v>45645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58342-2024</t>
        </is>
      </c>
      <c r="B4683" s="1" t="n">
        <v>45632</v>
      </c>
      <c r="C4683" s="1" t="n">
        <v>45645</v>
      </c>
      <c r="D4683" t="inlineStr">
        <is>
          <t>VÄSTERNORRLANDS LÄN</t>
        </is>
      </c>
      <c r="E4683" t="inlineStr">
        <is>
          <t>ÖRNSKÖLDSVIK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45645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58441-2024</t>
        </is>
      </c>
      <c r="B4685" s="1" t="n">
        <v>45635</v>
      </c>
      <c r="C4685" s="1" t="n">
        <v>45645</v>
      </c>
      <c r="D4685" t="inlineStr">
        <is>
          <t>VÄSTERNORRLANDS LÄN</t>
        </is>
      </c>
      <c r="E4685" t="inlineStr">
        <is>
          <t>ÖRNSKÖLDSVIK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58485-2024</t>
        </is>
      </c>
      <c r="B4686" s="1" t="n">
        <v>45635</v>
      </c>
      <c r="C4686" s="1" t="n">
        <v>45645</v>
      </c>
      <c r="D4686" t="inlineStr">
        <is>
          <t>VÄSTERNORRLANDS LÄN</t>
        </is>
      </c>
      <c r="E4686" t="inlineStr">
        <is>
          <t>ÖRNSKÖLDSVIK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58526-2024</t>
        </is>
      </c>
      <c r="B4687" s="1" t="n">
        <v>45635</v>
      </c>
      <c r="C4687" s="1" t="n">
        <v>45645</v>
      </c>
      <c r="D4687" t="inlineStr">
        <is>
          <t>VÄSTERNORRLANDS LÄN</t>
        </is>
      </c>
      <c r="E4687" t="inlineStr">
        <is>
          <t>ÖRNSKÖLDSVIK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45645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45645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45645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58725-2024</t>
        </is>
      </c>
      <c r="B4691" s="1" t="n">
        <v>45635</v>
      </c>
      <c r="C4691" s="1" t="n">
        <v>45645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58850-2024</t>
        </is>
      </c>
      <c r="B4692" s="1" t="n">
        <v>45636</v>
      </c>
      <c r="C4692" s="1" t="n">
        <v>45645</v>
      </c>
      <c r="D4692" t="inlineStr">
        <is>
          <t>VÄSTERNORRLANDS LÄN</t>
        </is>
      </c>
      <c r="E4692" t="inlineStr">
        <is>
          <t>ÖRNSKÖLDSVIK</t>
        </is>
      </c>
      <c r="G4692" t="n">
        <v>5.9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58936-2024</t>
        </is>
      </c>
      <c r="B4693" s="1" t="n">
        <v>45636</v>
      </c>
      <c r="C4693" s="1" t="n">
        <v>45645</v>
      </c>
      <c r="D4693" t="inlineStr">
        <is>
          <t>VÄSTERNORRLANDS LÄN</t>
        </is>
      </c>
      <c r="E4693" t="inlineStr">
        <is>
          <t>ÖRNSKÖLDSVIK</t>
        </is>
      </c>
      <c r="G4693" t="n">
        <v>7.3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59041-2024</t>
        </is>
      </c>
      <c r="B4694" s="1" t="n">
        <v>45636</v>
      </c>
      <c r="C4694" s="1" t="n">
        <v>45645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59040-2024</t>
        </is>
      </c>
      <c r="B4695" s="1" t="n">
        <v>45636</v>
      </c>
      <c r="C4695" s="1" t="n">
        <v>45645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SCA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59162-2024</t>
        </is>
      </c>
      <c r="B4696" s="1" t="n">
        <v>45637</v>
      </c>
      <c r="C4696" s="1" t="n">
        <v>45645</v>
      </c>
      <c r="D4696" t="inlineStr">
        <is>
          <t>VÄSTERNORRLANDS LÄN</t>
        </is>
      </c>
      <c r="E4696" t="inlineStr">
        <is>
          <t>ÖRNSKÖLDSVIK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59313-2024</t>
        </is>
      </c>
      <c r="B4697" s="1" t="n">
        <v>45637</v>
      </c>
      <c r="C4697" s="1" t="n">
        <v>45645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59281-2024</t>
        </is>
      </c>
      <c r="B4698" s="1" t="n">
        <v>45637</v>
      </c>
      <c r="C4698" s="1" t="n">
        <v>45645</v>
      </c>
      <c r="D4698" t="inlineStr">
        <is>
          <t>VÄSTERNORRLANDS LÄN</t>
        </is>
      </c>
      <c r="E4698" t="inlineStr">
        <is>
          <t>ÖRNSKÖLDSVIK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59163-2024</t>
        </is>
      </c>
      <c r="B4699" s="1" t="n">
        <v>45637</v>
      </c>
      <c r="C4699" s="1" t="n">
        <v>45645</v>
      </c>
      <c r="D4699" t="inlineStr">
        <is>
          <t>VÄSTERNORRLANDS LÄN</t>
        </is>
      </c>
      <c r="E4699" t="inlineStr">
        <is>
          <t>ÖRNSKÖLDSVIK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45645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59392-2024</t>
        </is>
      </c>
      <c r="B4701" s="1" t="n">
        <v>45637</v>
      </c>
      <c r="C4701" s="1" t="n">
        <v>45645</v>
      </c>
      <c r="D4701" t="inlineStr">
        <is>
          <t>VÄSTERNORRLANDS LÄN</t>
        </is>
      </c>
      <c r="E4701" t="inlineStr">
        <is>
          <t>ÖRNSKÖLDSVIK</t>
        </is>
      </c>
      <c r="G4701" t="n">
        <v>8.5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45645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45645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45645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59458-2024</t>
        </is>
      </c>
      <c r="B4705" s="1" t="n">
        <v>45638</v>
      </c>
      <c r="C4705" s="1" t="n">
        <v>45645</v>
      </c>
      <c r="D4705" t="inlineStr">
        <is>
          <t>VÄSTERNORRLANDS LÄN</t>
        </is>
      </c>
      <c r="E4705" t="inlineStr">
        <is>
          <t>ÖRNSKÖLDSVIK</t>
        </is>
      </c>
      <c r="G4705" t="n">
        <v>5.1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59453-2024</t>
        </is>
      </c>
      <c r="B4706" s="1" t="n">
        <v>45638</v>
      </c>
      <c r="C4706" s="1" t="n">
        <v>45645</v>
      </c>
      <c r="D4706" t="inlineStr">
        <is>
          <t>VÄSTERNORRLANDS LÄN</t>
        </is>
      </c>
      <c r="E4706" t="inlineStr">
        <is>
          <t>ÖRNSKÖLDSVIK</t>
        </is>
      </c>
      <c r="G4706" t="n">
        <v>6.3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59769-2024</t>
        </is>
      </c>
      <c r="B4707" s="1" t="n">
        <v>45638</v>
      </c>
      <c r="C4707" s="1" t="n">
        <v>45645</v>
      </c>
      <c r="D4707" t="inlineStr">
        <is>
          <t>VÄSTERNORRLANDS LÄN</t>
        </is>
      </c>
      <c r="E4707" t="inlineStr">
        <is>
          <t>ÖRNSKÖLDSVIK</t>
        </is>
      </c>
      <c r="G4707" t="n">
        <v>4.4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59834-2024</t>
        </is>
      </c>
      <c r="B4708" s="1" t="n">
        <v>45638</v>
      </c>
      <c r="C4708" s="1" t="n">
        <v>45645</v>
      </c>
      <c r="D4708" t="inlineStr">
        <is>
          <t>VÄSTERNORRLANDS LÄN</t>
        </is>
      </c>
      <c r="E4708" t="inlineStr">
        <is>
          <t>ÖRNSKÖLDSVIK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59485-2024</t>
        </is>
      </c>
      <c r="B4709" s="1" t="n">
        <v>45638</v>
      </c>
      <c r="C4709" s="1" t="n">
        <v>45645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SCA</t>
        </is>
      </c>
      <c r="G4709" t="n">
        <v>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45645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45645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59596-2024</t>
        </is>
      </c>
      <c r="B4712" s="1" t="n">
        <v>45638</v>
      </c>
      <c r="C4712" s="1" t="n">
        <v>45645</v>
      </c>
      <c r="D4712" t="inlineStr">
        <is>
          <t>VÄSTERNORRLANDS LÄN</t>
        </is>
      </c>
      <c r="E4712" t="inlineStr">
        <is>
          <t>ÖRNSKÖLDSVIK</t>
        </is>
      </c>
      <c r="G4712" t="n">
        <v>3.5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59771-2024</t>
        </is>
      </c>
      <c r="B4713" s="1" t="n">
        <v>45638</v>
      </c>
      <c r="C4713" s="1" t="n">
        <v>45645</v>
      </c>
      <c r="D4713" t="inlineStr">
        <is>
          <t>VÄSTERNORRLANDS LÄN</t>
        </is>
      </c>
      <c r="E4713" t="inlineStr">
        <is>
          <t>ÖRNSKÖLDSVIK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59835-2024</t>
        </is>
      </c>
      <c r="B4714" s="1" t="n">
        <v>45638</v>
      </c>
      <c r="C4714" s="1" t="n">
        <v>45645</v>
      </c>
      <c r="D4714" t="inlineStr">
        <is>
          <t>VÄSTERNORRLANDS LÄN</t>
        </is>
      </c>
      <c r="E4714" t="inlineStr">
        <is>
          <t>ÖRNSKÖLDSVIK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45645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45645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45645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59654-2024</t>
        </is>
      </c>
      <c r="B4718" s="1" t="n">
        <v>45639</v>
      </c>
      <c r="C4718" s="1" t="n">
        <v>45645</v>
      </c>
      <c r="D4718" t="inlineStr">
        <is>
          <t>VÄSTERNORRLANDS LÄN</t>
        </is>
      </c>
      <c r="E4718" t="inlineStr">
        <is>
          <t>ÖRNSKÖLDSVIK</t>
        </is>
      </c>
      <c r="G4718" t="n">
        <v>6.5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59794-2024</t>
        </is>
      </c>
      <c r="B4719" s="1" t="n">
        <v>45639</v>
      </c>
      <c r="C4719" s="1" t="n">
        <v>45645</v>
      </c>
      <c r="D4719" t="inlineStr">
        <is>
          <t>VÄSTERNORRLANDS LÄN</t>
        </is>
      </c>
      <c r="E4719" t="inlineStr">
        <is>
          <t>ÖRNSKÖLDSVIK</t>
        </is>
      </c>
      <c r="G4719" t="n">
        <v>7.1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59978-2024</t>
        </is>
      </c>
      <c r="B4720" s="1" t="n">
        <v>45639</v>
      </c>
      <c r="C4720" s="1" t="n">
        <v>45645</v>
      </c>
      <c r="D4720" t="inlineStr">
        <is>
          <t>VÄSTERNORRLANDS LÄN</t>
        </is>
      </c>
      <c r="E4720" t="inlineStr">
        <is>
          <t>ÖRNSKÖLDSVIK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45645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45645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59817-2024</t>
        </is>
      </c>
      <c r="B4723" s="1" t="n">
        <v>45639</v>
      </c>
      <c r="C4723" s="1" t="n">
        <v>45645</v>
      </c>
      <c r="D4723" t="inlineStr">
        <is>
          <t>VÄSTERNORRLANDS LÄN</t>
        </is>
      </c>
      <c r="E4723" t="inlineStr">
        <is>
          <t>ÖRNSKÖLDSVIK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59967-2024</t>
        </is>
      </c>
      <c r="B4724" s="1" t="n">
        <v>45639</v>
      </c>
      <c r="C4724" s="1" t="n">
        <v>45645</v>
      </c>
      <c r="D4724" t="inlineStr">
        <is>
          <t>VÄSTERNORRLANDS LÄN</t>
        </is>
      </c>
      <c r="E4724" t="inlineStr">
        <is>
          <t>ÖRNSKÖLDSVIK</t>
        </is>
      </c>
      <c r="G4724" t="n">
        <v>21.4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59933-2024</t>
        </is>
      </c>
      <c r="B4725" s="1" t="n">
        <v>45642</v>
      </c>
      <c r="C4725" s="1" t="n">
        <v>45645</v>
      </c>
      <c r="D4725" t="inlineStr">
        <is>
          <t>VÄSTERNORRLANDS LÄN</t>
        </is>
      </c>
      <c r="E4725" t="inlineStr">
        <is>
          <t>ÖRNSKÖLDSVIK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60029-2024</t>
        </is>
      </c>
      <c r="B4726" s="1" t="n">
        <v>45642</v>
      </c>
      <c r="C4726" s="1" t="n">
        <v>45645</v>
      </c>
      <c r="D4726" t="inlineStr">
        <is>
          <t>VÄSTERNORRLANDS LÄN</t>
        </is>
      </c>
      <c r="E4726" t="inlineStr">
        <is>
          <t>ÖRNSKÖLDSVIK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60115-2024</t>
        </is>
      </c>
      <c r="B4727" s="1" t="n">
        <v>45642</v>
      </c>
      <c r="C4727" s="1" t="n">
        <v>45645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45645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45645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45645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45645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45645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60412-2024</t>
        </is>
      </c>
      <c r="B4733" s="1" t="n">
        <v>45643</v>
      </c>
      <c r="C4733" s="1" t="n">
        <v>45645</v>
      </c>
      <c r="D4733" t="inlineStr">
        <is>
          <t>VÄSTERNORRLANDS LÄN</t>
        </is>
      </c>
      <c r="E4733" t="inlineStr">
        <is>
          <t>ÖRNSKÖLDSVIK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45645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60494-2024</t>
        </is>
      </c>
      <c r="B4735" s="1" t="n">
        <v>45643</v>
      </c>
      <c r="C4735" s="1" t="n">
        <v>45645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45645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45645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60600-2024</t>
        </is>
      </c>
      <c r="B4738" s="1" t="n">
        <v>45644</v>
      </c>
      <c r="C4738" s="1" t="n">
        <v>45645</v>
      </c>
      <c r="D4738" t="inlineStr">
        <is>
          <t>VÄSTERNORRLANDS LÄN</t>
        </is>
      </c>
      <c r="E4738" t="inlineStr">
        <is>
          <t>ÖRNSKÖLDSVIK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45645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60642-2024</t>
        </is>
      </c>
      <c r="B4740" s="1" t="n">
        <v>45644</v>
      </c>
      <c r="C4740" s="1" t="n">
        <v>45645</v>
      </c>
      <c r="D4740" t="inlineStr">
        <is>
          <t>VÄSTERNORRLANDS LÄN</t>
        </is>
      </c>
      <c r="E4740" t="inlineStr">
        <is>
          <t>ÖRNSKÖLDSVIK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45645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>
      <c r="A4742" t="inlineStr">
        <is>
          <t>A 60690-2024</t>
        </is>
      </c>
      <c r="B4742" s="1" t="n">
        <v>45644</v>
      </c>
      <c r="C4742" s="1" t="n">
        <v>45645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2024-12-19T14:50:36Z</dcterms:created>
  <dcterms:modified xmlns:dcterms="http://purl.org/dc/terms/" xmlns:xsi="http://www.w3.org/2001/XMLSchema-instance" xsi:type="dcterms:W3CDTF">2024-12-19T14:50:40Z</dcterms:modified>
</cp:coreProperties>
</file>